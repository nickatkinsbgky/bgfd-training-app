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cert Status" sheetId="1" state="visible" r:id="rId2"/>
    <sheet name="Training Detail" sheetId="2" state="visible" r:id="rId3"/>
    <sheet name="Requirements" sheetId="3" state="visible" r:id="rId4"/>
    <sheet name="Standards" sheetId="4" state="hidden" r:id="rId5"/>
    <sheet name="Notes" sheetId="5" state="visible" r:id="rId6"/>
  </sheets>
  <definedNames>
    <definedName function="false" hidden="false" localSheetId="0" name="_xlnm.Print_Titles" vbProcedure="false">'Recert Status'!$1:$7</definedName>
    <definedName function="false" hidden="true" localSheetId="0" name="_xlnm._FilterDatabase" vbProcedure="false">'Recert Status'!$A$7:$O$185</definedName>
    <definedName function="false" hidden="false" localSheetId="1" name="_xlnm.Print_Titles" vbProcedure="false">'Training Detail'!$1:$4</definedName>
    <definedName function="false" hidden="true" localSheetId="1" name="_xlnm._FilterDatabase" vbProcedure="false">'Training Detail'!$A$4:$P$2973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<sst xmlns="http://schemas.openxmlformats.org/spreadsheetml/2006/main" count="26099" uniqueCount="1808">
  <si>
    <t xml:space="preserve">Kentucky EMT recertification status</t>
  </si>
  <si>
    <t xml:space="preserve">Change the yellow expiration date and the hours recalculate for that cycle only: January 1 of the year before expiration through December 31 of the expiration year. Example: 12/31/2026 uses 2025 and 2026. 12/31/2027 uses 2026 and 2027.</t>
  </si>
  <si>
    <t xml:space="preserve">Met</t>
  </si>
  <si>
    <t xml:space="preserve">Short</t>
  </si>
  <si>
    <t xml:space="preserve">Needs exp date</t>
  </si>
  <si>
    <t xml:space="preserve">Attendee</t>
  </si>
  <si>
    <t xml:space="preserve">KEMSIS ID</t>
  </si>
  <si>
    <t xml:space="preserve">Current Exp Date</t>
  </si>
  <si>
    <t xml:space="preserve">Cycle Start</t>
  </si>
  <si>
    <t xml:space="preserve">Cycle End</t>
  </si>
  <si>
    <t xml:space="preserve">Status</t>
  </si>
  <si>
    <t xml:space="preserve">Still needed</t>
  </si>
  <si>
    <t xml:space="preserve">Abell, Jeremy</t>
  </si>
  <si>
    <t xml:space="preserve">1118034</t>
  </si>
  <si>
    <t xml:space="preserve">Adams, Jerry</t>
  </si>
  <si>
    <t xml:space="preserve">1127358</t>
  </si>
  <si>
    <t xml:space="preserve">Akins, Brad</t>
  </si>
  <si>
    <t xml:space="preserve">1055741</t>
  </si>
  <si>
    <t xml:space="preserve">Alexander, Mike</t>
  </si>
  <si>
    <t xml:space="preserve">1046585</t>
  </si>
  <si>
    <t xml:space="preserve">Anthony, Isaac</t>
  </si>
  <si>
    <t xml:space="preserve">1050020</t>
  </si>
  <si>
    <t xml:space="preserve">Anthony, Levi</t>
  </si>
  <si>
    <t xml:space="preserve">1127964</t>
  </si>
  <si>
    <t xml:space="preserve">Ashley, Daniel</t>
  </si>
  <si>
    <t xml:space="preserve">1051669</t>
  </si>
  <si>
    <t xml:space="preserve">Atkins, Nick</t>
  </si>
  <si>
    <t xml:space="preserve">1123453</t>
  </si>
  <si>
    <t xml:space="preserve">Atkins, Ronnie</t>
  </si>
  <si>
    <t xml:space="preserve">Ballance, John</t>
  </si>
  <si>
    <t xml:space="preserve">Barnhart, Zach</t>
  </si>
  <si>
    <t xml:space="preserve">1121401</t>
  </si>
  <si>
    <t xml:space="preserve">Barrick, Ayden</t>
  </si>
  <si>
    <t xml:space="preserve">1128971</t>
  </si>
  <si>
    <t xml:space="preserve">Bates, Christopher</t>
  </si>
  <si>
    <t xml:space="preserve">1117055</t>
  </si>
  <si>
    <t xml:space="preserve">Bean, Michael</t>
  </si>
  <si>
    <t xml:space="preserve">1048888</t>
  </si>
  <si>
    <t xml:space="preserve">Blair, Dustin</t>
  </si>
  <si>
    <t xml:space="preserve">Blair, Scott</t>
  </si>
  <si>
    <t xml:space="preserve">1053283</t>
  </si>
  <si>
    <t xml:space="preserve">Britton, Chris</t>
  </si>
  <si>
    <t xml:space="preserve">1117145</t>
  </si>
  <si>
    <t xml:space="preserve">Buchanon, Chris</t>
  </si>
  <si>
    <t xml:space="preserve">1051664</t>
  </si>
  <si>
    <t xml:space="preserve">Buchanon, Tim</t>
  </si>
  <si>
    <t xml:space="preserve">1040899</t>
  </si>
  <si>
    <t xml:space="preserve">Burton, Cole</t>
  </si>
  <si>
    <t xml:space="preserve">1125105</t>
  </si>
  <si>
    <t xml:space="preserve">Buselmeier, DJ</t>
  </si>
  <si>
    <t xml:space="preserve">1120179</t>
  </si>
  <si>
    <t xml:space="preserve">Bush, Alan</t>
  </si>
  <si>
    <t xml:space="preserve">1119984</t>
  </si>
  <si>
    <t xml:space="preserve">Caffey, Brad</t>
  </si>
  <si>
    <t xml:space="preserve">1108112</t>
  </si>
  <si>
    <t xml:space="preserve">Calixte, Ketler</t>
  </si>
  <si>
    <t xml:space="preserve">1119753</t>
  </si>
  <si>
    <t xml:space="preserve">Candela, Steve</t>
  </si>
  <si>
    <t xml:space="preserve">1113529</t>
  </si>
  <si>
    <t xml:space="preserve">Cannon, Tyler</t>
  </si>
  <si>
    <t xml:space="preserve">1108886</t>
  </si>
  <si>
    <t xml:space="preserve">Carlson, Evron</t>
  </si>
  <si>
    <t xml:space="preserve">Carter, David</t>
  </si>
  <si>
    <t xml:space="preserve">1105173</t>
  </si>
  <si>
    <t xml:space="preserve">Carver, Mark</t>
  </si>
  <si>
    <t xml:space="preserve">1057145</t>
  </si>
  <si>
    <t xml:space="preserve">Cassady, Drew</t>
  </si>
  <si>
    <t xml:space="preserve">1109274</t>
  </si>
  <si>
    <t xml:space="preserve">Chambers, Brian</t>
  </si>
  <si>
    <t xml:space="preserve">1050790</t>
  </si>
  <si>
    <t xml:space="preserve">Chandler, Bryce</t>
  </si>
  <si>
    <t xml:space="preserve">1128126</t>
  </si>
  <si>
    <t xml:space="preserve">Chidester, John</t>
  </si>
  <si>
    <t xml:space="preserve">1110324</t>
  </si>
  <si>
    <t xml:space="preserve">Childress, Jarrid</t>
  </si>
  <si>
    <t xml:space="preserve">1126349</t>
  </si>
  <si>
    <t xml:space="preserve">Clapp, Adam Bradley</t>
  </si>
  <si>
    <t xml:space="preserve">1130588</t>
  </si>
  <si>
    <t xml:space="preserve">Clark, Tim</t>
  </si>
  <si>
    <t xml:space="preserve">1131188</t>
  </si>
  <si>
    <t xml:space="preserve">Cline, Brandon</t>
  </si>
  <si>
    <t xml:space="preserve">1127192</t>
  </si>
  <si>
    <t xml:space="preserve">Compton, Dominique Martez</t>
  </si>
  <si>
    <t xml:space="preserve">1130567</t>
  </si>
  <si>
    <t xml:space="preserve">Conner, Austin</t>
  </si>
  <si>
    <t xml:space="preserve">Conrad, Joseph Hall</t>
  </si>
  <si>
    <t xml:space="preserve">Cornwell, Michael</t>
  </si>
  <si>
    <t xml:space="preserve">1058341</t>
  </si>
  <si>
    <t xml:space="preserve">Cowles, Ryan</t>
  </si>
  <si>
    <t xml:space="preserve">1130295</t>
  </si>
  <si>
    <t xml:space="preserve">Cranor, Logan Adam</t>
  </si>
  <si>
    <t xml:space="preserve">1128559</t>
  </si>
  <si>
    <t xml:space="preserve">Crawford, Andy</t>
  </si>
  <si>
    <t xml:space="preserve">1114217</t>
  </si>
  <si>
    <t xml:space="preserve">Cross, Colton</t>
  </si>
  <si>
    <t xml:space="preserve">1119387</t>
  </si>
  <si>
    <t xml:space="preserve">Daniels, Dalton Loye</t>
  </si>
  <si>
    <t xml:space="preserve">1130706</t>
  </si>
  <si>
    <t xml:space="preserve">Davis, Charles</t>
  </si>
  <si>
    <t xml:space="preserve">1129005</t>
  </si>
  <si>
    <t xml:space="preserve">Dezern, Alan</t>
  </si>
  <si>
    <t xml:space="preserve">1057229</t>
  </si>
  <si>
    <t xml:space="preserve">Donnelly, Brian</t>
  </si>
  <si>
    <t xml:space="preserve">1125614</t>
  </si>
  <si>
    <t xml:space="preserve">Donnelly, Justin</t>
  </si>
  <si>
    <t xml:space="preserve">1117373</t>
  </si>
  <si>
    <t xml:space="preserve">Dukes, Mark</t>
  </si>
  <si>
    <t xml:space="preserve">1127456</t>
  </si>
  <si>
    <t xml:space="preserve">Durbin, Chris</t>
  </si>
  <si>
    <t xml:space="preserve">1115222</t>
  </si>
  <si>
    <t xml:space="preserve">Dylan, Matthew</t>
  </si>
  <si>
    <t xml:space="preserve">1058333</t>
  </si>
  <si>
    <t xml:space="preserve">Embrey, John</t>
  </si>
  <si>
    <t xml:space="preserve">1127820</t>
  </si>
  <si>
    <t xml:space="preserve">Embry, Andy</t>
  </si>
  <si>
    <t xml:space="preserve">1052315</t>
  </si>
  <si>
    <t xml:space="preserve">Ennis, Chad</t>
  </si>
  <si>
    <t xml:space="preserve">1107657</t>
  </si>
  <si>
    <t xml:space="preserve">Estes, Stephen</t>
  </si>
  <si>
    <t xml:space="preserve">1121565</t>
  </si>
  <si>
    <t xml:space="preserve">Ferguson, Matt</t>
  </si>
  <si>
    <t xml:space="preserve">1049131</t>
  </si>
  <si>
    <t xml:space="preserve">Ferizovic, Esmir</t>
  </si>
  <si>
    <t xml:space="preserve">1118121</t>
  </si>
  <si>
    <t xml:space="preserve">Flora, Greg</t>
  </si>
  <si>
    <t xml:space="preserve">1048542</t>
  </si>
  <si>
    <t xml:space="preserve">Fulton, Bryan</t>
  </si>
  <si>
    <t xml:space="preserve">Gaoa, Solomona</t>
  </si>
  <si>
    <t xml:space="preserve">1127699</t>
  </si>
  <si>
    <t xml:space="preserve">Gentry, Justin</t>
  </si>
  <si>
    <t xml:space="preserve">1122824</t>
  </si>
  <si>
    <t xml:space="preserve">Gerald, Ryan</t>
  </si>
  <si>
    <t xml:space="preserve">1128281</t>
  </si>
  <si>
    <t xml:space="preserve">Gilliam, Brandon</t>
  </si>
  <si>
    <t xml:space="preserve">1105729</t>
  </si>
  <si>
    <t xml:space="preserve">Graves, Christen</t>
  </si>
  <si>
    <t xml:space="preserve">1127457</t>
  </si>
  <si>
    <t xml:space="preserve">Graves, Ross</t>
  </si>
  <si>
    <t xml:space="preserve">1103621</t>
  </si>
  <si>
    <t xml:space="preserve">Green, Austin</t>
  </si>
  <si>
    <t xml:space="preserve">1124863</t>
  </si>
  <si>
    <t xml:space="preserve">Grenier, Madison</t>
  </si>
  <si>
    <t xml:space="preserve">1125012</t>
  </si>
  <si>
    <t xml:space="preserve">Hamilton, Sean</t>
  </si>
  <si>
    <t xml:space="preserve">1115588</t>
  </si>
  <si>
    <t xml:space="preserve">Hampton, Kyle</t>
  </si>
  <si>
    <t xml:space="preserve">1115790</t>
  </si>
  <si>
    <t xml:space="preserve">Harbin, Joe</t>
  </si>
  <si>
    <t xml:space="preserve">1055749</t>
  </si>
  <si>
    <t xml:space="preserve">Harlan, Brian</t>
  </si>
  <si>
    <t xml:space="preserve">Harrell, Jonathan</t>
  </si>
  <si>
    <t xml:space="preserve">1121745</t>
  </si>
  <si>
    <t xml:space="preserve">Harvey, Mike</t>
  </si>
  <si>
    <t xml:space="preserve">1052905</t>
  </si>
  <si>
    <t xml:space="preserve">Hawkins, Dylan</t>
  </si>
  <si>
    <t xml:space="preserve">1124165</t>
  </si>
  <si>
    <t xml:space="preserve">Hawthorne, Bryce</t>
  </si>
  <si>
    <t xml:space="preserve">1125777</t>
  </si>
  <si>
    <t xml:space="preserve">Hernandez, Joey</t>
  </si>
  <si>
    <t xml:space="preserve">1122093</t>
  </si>
  <si>
    <t xml:space="preserve">Highbaugh, Daniel Ross</t>
  </si>
  <si>
    <t xml:space="preserve">Hochstetler, Merv</t>
  </si>
  <si>
    <t xml:space="preserve">Hollis, Greg</t>
  </si>
  <si>
    <t xml:space="preserve">1123337</t>
  </si>
  <si>
    <t xml:space="preserve">Hope, Brian</t>
  </si>
  <si>
    <t xml:space="preserve">1036977</t>
  </si>
  <si>
    <t xml:space="preserve">Houchins, Garrett</t>
  </si>
  <si>
    <t xml:space="preserve">1125252</t>
  </si>
  <si>
    <t xml:space="preserve">Hurt, Ben</t>
  </si>
  <si>
    <t xml:space="preserve">1116199</t>
  </si>
  <si>
    <t xml:space="preserve">Ibarra, Mario</t>
  </si>
  <si>
    <t xml:space="preserve">1114822</t>
  </si>
  <si>
    <t xml:space="preserve">Jaggers, Brandon</t>
  </si>
  <si>
    <t xml:space="preserve">1128218</t>
  </si>
  <si>
    <t xml:space="preserve">James, Kenny</t>
  </si>
  <si>
    <t xml:space="preserve">1124479</t>
  </si>
  <si>
    <t xml:space="preserve">James, Phillip</t>
  </si>
  <si>
    <t xml:space="preserve">Johnston, James Norris</t>
  </si>
  <si>
    <t xml:space="preserve">1129075</t>
  </si>
  <si>
    <t xml:space="preserve">Jones, Bill</t>
  </si>
  <si>
    <t xml:space="preserve">1047700</t>
  </si>
  <si>
    <t xml:space="preserve">Jones, Dustin</t>
  </si>
  <si>
    <t xml:space="preserve">1103342</t>
  </si>
  <si>
    <t xml:space="preserve">Jones, Jack</t>
  </si>
  <si>
    <t xml:space="preserve">1130300</t>
  </si>
  <si>
    <t xml:space="preserve">Jones, Matt</t>
  </si>
  <si>
    <t xml:space="preserve">1046566</t>
  </si>
  <si>
    <t xml:space="preserve">Jones, Matthew</t>
  </si>
  <si>
    <t xml:space="preserve">1128984</t>
  </si>
  <si>
    <t xml:space="preserve">Justis, Dakota</t>
  </si>
  <si>
    <t xml:space="preserve">1122046</t>
  </si>
  <si>
    <t xml:space="preserve">Keown, Travis</t>
  </si>
  <si>
    <t xml:space="preserve">1121617</t>
  </si>
  <si>
    <t xml:space="preserve">Kiser, Taylor</t>
  </si>
  <si>
    <t xml:space="preserve">1121918</t>
  </si>
  <si>
    <t xml:space="preserve">Kozak, Bryan</t>
  </si>
  <si>
    <t xml:space="preserve">1116101</t>
  </si>
  <si>
    <t xml:space="preserve">Lashley, Kevin</t>
  </si>
  <si>
    <t xml:space="preserve">1114394</t>
  </si>
  <si>
    <t xml:space="preserve">Mahaney, Corey</t>
  </si>
  <si>
    <t xml:space="preserve">1122186</t>
  </si>
  <si>
    <t xml:space="preserve">Martin, Sean</t>
  </si>
  <si>
    <t xml:space="preserve">1123542</t>
  </si>
  <si>
    <t xml:space="preserve">May, Keaton</t>
  </si>
  <si>
    <t xml:space="preserve">1122654</t>
  </si>
  <si>
    <t xml:space="preserve">Maynard, Jeremy</t>
  </si>
  <si>
    <t xml:space="preserve">1118074</t>
  </si>
  <si>
    <t xml:space="preserve">McCarty, Ben</t>
  </si>
  <si>
    <t xml:space="preserve">1126163</t>
  </si>
  <si>
    <t xml:space="preserve">McGuire, Jared</t>
  </si>
  <si>
    <t xml:space="preserve">1114195</t>
  </si>
  <si>
    <t xml:space="preserve">McKee, Chase</t>
  </si>
  <si>
    <t xml:space="preserve">1119286</t>
  </si>
  <si>
    <t xml:space="preserve">Meisel, Jason</t>
  </si>
  <si>
    <t xml:space="preserve">1051658</t>
  </si>
  <si>
    <t xml:space="preserve">Meredith, Carsen</t>
  </si>
  <si>
    <t xml:space="preserve">1128566</t>
  </si>
  <si>
    <t xml:space="preserve">Meredith, Justin</t>
  </si>
  <si>
    <t xml:space="preserve">1121249</t>
  </si>
  <si>
    <t xml:space="preserve">Michael, Mason</t>
  </si>
  <si>
    <t xml:space="preserve">1119617</t>
  </si>
  <si>
    <t xml:space="preserve">Miller, Marshall Lynn</t>
  </si>
  <si>
    <t xml:space="preserve">1130566</t>
  </si>
  <si>
    <t xml:space="preserve">Miller, Micheal</t>
  </si>
  <si>
    <t xml:space="preserve">1123492</t>
  </si>
  <si>
    <t xml:space="preserve">Mitchell, Kris</t>
  </si>
  <si>
    <t xml:space="preserve">1114791</t>
  </si>
  <si>
    <t xml:space="preserve">Mock, Ben</t>
  </si>
  <si>
    <t xml:space="preserve">1050338</t>
  </si>
  <si>
    <t xml:space="preserve">Montelli, Dylan</t>
  </si>
  <si>
    <t xml:space="preserve">1127438</t>
  </si>
  <si>
    <t xml:space="preserve">Moore, William</t>
  </si>
  <si>
    <t xml:space="preserve">1118094</t>
  </si>
  <si>
    <t xml:space="preserve">Morris, Doug</t>
  </si>
  <si>
    <t xml:space="preserve">1045117</t>
  </si>
  <si>
    <t xml:space="preserve">Moyers, Jon</t>
  </si>
  <si>
    <t xml:space="preserve">1122011</t>
  </si>
  <si>
    <t xml:space="preserve">Muniz-Allgeier, Samuel</t>
  </si>
  <si>
    <t xml:space="preserve">1128951</t>
  </si>
  <si>
    <t xml:space="preserve">Napier, Curtis</t>
  </si>
  <si>
    <t xml:space="preserve">Napier, Matt</t>
  </si>
  <si>
    <t xml:space="preserve">1124109</t>
  </si>
  <si>
    <t xml:space="preserve">Napolitano, Tom</t>
  </si>
  <si>
    <t xml:space="preserve">1127426</t>
  </si>
  <si>
    <t xml:space="preserve">Nickel, Dakota Austin</t>
  </si>
  <si>
    <t xml:space="preserve">1129626</t>
  </si>
  <si>
    <t xml:space="preserve">O'Banion, Shane</t>
  </si>
  <si>
    <t xml:space="preserve">Orberson, Nick</t>
  </si>
  <si>
    <t xml:space="preserve">1127811</t>
  </si>
  <si>
    <t xml:space="preserve">Pardue, Shannon</t>
  </si>
  <si>
    <t xml:space="preserve">1051995</t>
  </si>
  <si>
    <t xml:space="preserve">Paredes, Miguel</t>
  </si>
  <si>
    <t xml:space="preserve">1127772</t>
  </si>
  <si>
    <t xml:space="preserve">Parsley, William Dane</t>
  </si>
  <si>
    <t xml:space="preserve">1130362</t>
  </si>
  <si>
    <t xml:space="preserve">Perkins, Nathan</t>
  </si>
  <si>
    <t xml:space="preserve">1129343</t>
  </si>
  <si>
    <t xml:space="preserve">Perkinson, Alex</t>
  </si>
  <si>
    <t xml:space="preserve">1125824</t>
  </si>
  <si>
    <t xml:space="preserve">Pierce, Dimitri</t>
  </si>
  <si>
    <t xml:space="preserve">1130377</t>
  </si>
  <si>
    <t xml:space="preserve">Pitchford, Brett</t>
  </si>
  <si>
    <t xml:space="preserve">1123324</t>
  </si>
  <si>
    <t xml:space="preserve">Poland, Drake</t>
  </si>
  <si>
    <t xml:space="preserve">1127856</t>
  </si>
  <si>
    <t xml:space="preserve">Potter, John</t>
  </si>
  <si>
    <t xml:space="preserve">1118157</t>
  </si>
  <si>
    <t xml:space="preserve">Reckart, Josiah</t>
  </si>
  <si>
    <t xml:space="preserve">1126190</t>
  </si>
  <si>
    <t xml:space="preserve">Reesy, Justin</t>
  </si>
  <si>
    <t xml:space="preserve">1053395</t>
  </si>
  <si>
    <t xml:space="preserve">Reynolds, Matt</t>
  </si>
  <si>
    <t xml:space="preserve">1121900</t>
  </si>
  <si>
    <t xml:space="preserve">Rhoton, Luke</t>
  </si>
  <si>
    <t xml:space="preserve">1127584</t>
  </si>
  <si>
    <t xml:space="preserve">Rich, Brittany</t>
  </si>
  <si>
    <t xml:space="preserve">Rodgers, Roy</t>
  </si>
  <si>
    <t xml:space="preserve">1122366</t>
  </si>
  <si>
    <t xml:space="preserve">Ross, TJ</t>
  </si>
  <si>
    <t xml:space="preserve">1056680</t>
  </si>
  <si>
    <t xml:space="preserve">Sanborn, Bob</t>
  </si>
  <si>
    <t xml:space="preserve">Scali, Mauro</t>
  </si>
  <si>
    <t xml:space="preserve">1129501</t>
  </si>
  <si>
    <t xml:space="preserve">Scott, Eric</t>
  </si>
  <si>
    <t xml:space="preserve">1051436</t>
  </si>
  <si>
    <t xml:space="preserve">Scott, Josh</t>
  </si>
  <si>
    <t xml:space="preserve">Shehan, Scotty</t>
  </si>
  <si>
    <t xml:space="preserve">1046129</t>
  </si>
  <si>
    <t xml:space="preserve">Shuffett, Clayton</t>
  </si>
  <si>
    <t xml:space="preserve">1057166</t>
  </si>
  <si>
    <t xml:space="preserve">Shuffett, Zach</t>
  </si>
  <si>
    <t xml:space="preserve">1121937</t>
  </si>
  <si>
    <t xml:space="preserve">Smith, Bret</t>
  </si>
  <si>
    <t xml:space="preserve">1048675</t>
  </si>
  <si>
    <t xml:space="preserve">Smith, Jon Fisher</t>
  </si>
  <si>
    <t xml:space="preserve">1130564</t>
  </si>
  <si>
    <t xml:space="preserve">Spainhoward, Griffin</t>
  </si>
  <si>
    <t xml:space="preserve">1123836</t>
  </si>
  <si>
    <t xml:space="preserve">Stafford, Chris</t>
  </si>
  <si>
    <t xml:space="preserve">Stivaletti, Kristina</t>
  </si>
  <si>
    <t xml:space="preserve">1124751</t>
  </si>
  <si>
    <t xml:space="preserve">Stoll, Stephen</t>
  </si>
  <si>
    <t xml:space="preserve">1127242</t>
  </si>
  <si>
    <t xml:space="preserve">Storey, Ben</t>
  </si>
  <si>
    <t xml:space="preserve">Sutton, Nate</t>
  </si>
  <si>
    <t xml:space="preserve">1127193</t>
  </si>
  <si>
    <t xml:space="preserve">Tabor, Zach</t>
  </si>
  <si>
    <t xml:space="preserve">R1050018</t>
  </si>
  <si>
    <t xml:space="preserve">Tarrance, Phillip</t>
  </si>
  <si>
    <t xml:space="preserve">1056653</t>
  </si>
  <si>
    <t xml:space="preserve">Taylor, Trace Ashton</t>
  </si>
  <si>
    <t xml:space="preserve">1127381</t>
  </si>
  <si>
    <t xml:space="preserve">Thomas, Brandon</t>
  </si>
  <si>
    <t xml:space="preserve">Tutor, Nick</t>
  </si>
  <si>
    <t xml:space="preserve">Valentine, Austin</t>
  </si>
  <si>
    <t xml:space="preserve">1125025</t>
  </si>
  <si>
    <t xml:space="preserve">Vance, Joshua</t>
  </si>
  <si>
    <t xml:space="preserve">1130309</t>
  </si>
  <si>
    <t xml:space="preserve">Voorhees, Chase</t>
  </si>
  <si>
    <t xml:space="preserve">1122020</t>
  </si>
  <si>
    <t xml:space="preserve">Wallace, Cameron</t>
  </si>
  <si>
    <t xml:space="preserve">1121864</t>
  </si>
  <si>
    <t xml:space="preserve">Watt, Buffy</t>
  </si>
  <si>
    <t xml:space="preserve">Webster, Michael</t>
  </si>
  <si>
    <t xml:space="preserve">Wehr, Larry Lee</t>
  </si>
  <si>
    <t xml:space="preserve">1051161</t>
  </si>
  <si>
    <t xml:space="preserve">Weisbrodt, Wade</t>
  </si>
  <si>
    <t xml:space="preserve">1122946</t>
  </si>
  <si>
    <t xml:space="preserve">White, Craig</t>
  </si>
  <si>
    <t xml:space="preserve">1055200</t>
  </si>
  <si>
    <t xml:space="preserve">Wilson, Adam</t>
  </si>
  <si>
    <t xml:space="preserve">1123594</t>
  </si>
  <si>
    <t xml:space="preserve">Wilson, Jordan</t>
  </si>
  <si>
    <t xml:space="preserve">1121936</t>
  </si>
  <si>
    <t xml:space="preserve">Witherington, Joe</t>
  </si>
  <si>
    <t xml:space="preserve">1127536</t>
  </si>
  <si>
    <t xml:space="preserve">Wolf, Dennis</t>
  </si>
  <si>
    <t xml:space="preserve">1117425</t>
  </si>
  <si>
    <t xml:space="preserve">Woodward, Lane</t>
  </si>
  <si>
    <t xml:space="preserve">1118633</t>
  </si>
  <si>
    <t xml:space="preserve">Woosley, Jeff</t>
  </si>
  <si>
    <t xml:space="preserve">1055159</t>
  </si>
  <si>
    <t xml:space="preserve">York, Luke Hendrick</t>
  </si>
  <si>
    <t xml:space="preserve">1130561</t>
  </si>
  <si>
    <t xml:space="preserve">Young, Anderson</t>
  </si>
  <si>
    <t xml:space="preserve">People short in this category</t>
  </si>
  <si>
    <t xml:space="preserve">Training log — add new classes in the first blank row</t>
  </si>
  <si>
    <t xml:space="preserve">This is the source log. Add future classes below the last row (formulas read through row 5000). Recert Status counts a row only when Actual Start Date falls in that person's cycle. Credit hours use Training Completed Hours, then Hours, then Duration Hours.</t>
  </si>
  <si>
    <t xml:space="preserve">Attendee Name</t>
  </si>
  <si>
    <t xml:space="preserve">Name</t>
  </si>
  <si>
    <t xml:space="preserve">Training Category</t>
  </si>
  <si>
    <t xml:space="preserve">Duration Hours</t>
  </si>
  <si>
    <t xml:space="preserve">Actual Start Date</t>
  </si>
  <si>
    <t xml:space="preserve">Actual End Date</t>
  </si>
  <si>
    <t xml:space="preserve">Description</t>
  </si>
  <si>
    <t xml:space="preserve">Category Name</t>
  </si>
  <si>
    <t xml:space="preserve">Topic Names</t>
  </si>
  <si>
    <t xml:space="preserve">Hours</t>
  </si>
  <si>
    <t xml:space="preserve">Training Standard</t>
  </si>
  <si>
    <t xml:space="preserve">Course Names</t>
  </si>
  <si>
    <t xml:space="preserve">Training Completed Hours</t>
  </si>
  <si>
    <t xml:space="preserve">Credit Hours</t>
  </si>
  <si>
    <t xml:space="preserve">EMS Airway</t>
  </si>
  <si>
    <t xml:space="preserve">P0008 - Airway (4 Hours Required)</t>
  </si>
  <si>
    <t xml:space="preserve">Airway management</t>
  </si>
  <si>
    <t xml:space="preserve">Brady Emergency Care, 14th Ed., Ch. 9 Airway Management</t>
  </si>
  <si>
    <t xml:space="preserve">KBEMS | Airway | Airway/Respiration/Ventilation</t>
  </si>
  <si>
    <t xml:space="preserve">KBEMS Airway</t>
  </si>
  <si>
    <t xml:space="preserve">Airway/O2 supplementation </t>
  </si>
  <si>
    <t xml:space="preserve">supplemental O2 via cannula, NRB, venturi, BVM, etc...dosage and when to give them.
plus nebulizer,
narcan, Aspirin indications  
Stephen Parrot instructor</t>
  </si>
  <si>
    <t xml:space="preserve">Brady Emergency Care, 14th Ed., Ch. 10 Respiration and Artificial Ventilation</t>
  </si>
  <si>
    <t xml:space="preserve">Bloodborne pathogens</t>
  </si>
  <si>
    <t xml:space="preserve">P0002-HIV/AIDS</t>
  </si>
  <si>
    <t xml:space="preserve">Annual review city policy on bloodborne pathogens.</t>
  </si>
  <si>
    <t xml:space="preserve">EMS: HIV/AIDS</t>
  </si>
  <si>
    <t xml:space="preserve">KBEMS | HIV/AIDS | HIV/AIDS</t>
  </si>
  <si>
    <t xml:space="preserve">KBEMS HIV/AIDS</t>
  </si>
  <si>
    <t xml:space="preserve">HIV/AIDS</t>
  </si>
  <si>
    <t xml:space="preserve">KBEMS CE Approval #2021-HIVAIDS-0013 Aids class on train.org</t>
  </si>
  <si>
    <t xml:space="preserve">Bloodborne Pathogens </t>
  </si>
  <si>
    <t xml:space="preserve">Vector solutions CAPCE bloodborne pathogens safety.</t>
  </si>
  <si>
    <t xml:space="preserve">IFSTA Essentials, 8th Ed. Ch. 2 Operational Scene Safety &amp; Management</t>
  </si>
  <si>
    <t xml:space="preserve">LZ Setup</t>
  </si>
  <si>
    <t xml:space="preserve">LZ Setup Class at BG Regional airport.</t>
  </si>
  <si>
    <t xml:space="preserve">P0022-Operations</t>
  </si>
  <si>
    <t xml:space="preserve">Brady Emergency Care, 14th Ed., Ch. 38 EMS Operations</t>
  </si>
  <si>
    <t xml:space="preserve">KBEMS | Medical | Medical</t>
  </si>
  <si>
    <t xml:space="preserve">KBEMS Medical</t>
  </si>
  <si>
    <t xml:space="preserve">EMS Medical </t>
  </si>
  <si>
    <t xml:space="preserve">P0010 - Medical Emergencies (6 Hours Required)</t>
  </si>
  <si>
    <t xml:space="preserve">E8 crew attended the EMT course at PSTC for continuing education hours in medical covering abdominal emergencies as well as behavioral and psychiatric emergencies.</t>
  </si>
  <si>
    <t xml:space="preserve">Brady Emergency Care, 14th Ed., Ch. 26 Abdominal Emergencies, Brady Emergency Care, 14th Ed., Ch. 27 Behavioral &amp; Psychiatric Emergencies &amp; Suicide</t>
  </si>
  <si>
    <t xml:space="preserve">Pharmacology  </t>
  </si>
  <si>
    <t xml:space="preserve">Attended EMT class for continuing education hours in pharmacology.</t>
  </si>
  <si>
    <t xml:space="preserve">P0000-Emergency Medical Care</t>
  </si>
  <si>
    <t xml:space="preserve">Brady Emergency Care, 14th Ed., Ch. 18 General Pharmacology</t>
  </si>
  <si>
    <t xml:space="preserve">KBEMS | Operations | Operations</t>
  </si>
  <si>
    <t xml:space="preserve">KBEMS Operations</t>
  </si>
  <si>
    <t xml:space="preserve">Pediatric Abusive Head Trauma</t>
  </si>
  <si>
    <t xml:space="preserve">P0020-Pediatric Abusive Head Trauma</t>
  </si>
  <si>
    <t xml:space="preserve">Ce approval KYEMSC#079-21-02-001
online course train.org</t>
  </si>
  <si>
    <t xml:space="preserve">EMS: Pediatric Abusive Head Trauma</t>
  </si>
  <si>
    <t xml:space="preserve">KBEMS | PAHT | PAHT</t>
  </si>
  <si>
    <t xml:space="preserve">KBEMS Pediatric Abusive Head Trauma Course</t>
  </si>
  <si>
    <t xml:space="preserve">Sexual Violence Awareness</t>
  </si>
  <si>
    <t xml:space="preserve">Sexual Violence Awareness Training 
KBEMS CE approval #2021-SVAT-0012
train.org course</t>
  </si>
  <si>
    <t xml:space="preserve">P0004-EMT-Basic</t>
  </si>
  <si>
    <t xml:space="preserve">EMS: Electives</t>
  </si>
  <si>
    <t xml:space="preserve">KBEMS | SVAT | SVAT</t>
  </si>
  <si>
    <t xml:space="preserve">KBEMS Sexual Violence Awareness Course</t>
  </si>
  <si>
    <t xml:space="preserve">Active shooter powerpoint</t>
  </si>
  <si>
    <t xml:space="preserve">B0005-Active Shooter/Hostile Events (ASHER)</t>
  </si>
  <si>
    <t xml:space="preserve">Brady Emergency Care, 14th Ed., Ch. 39 Hazmat, Multiple-Casualty Incidents, &amp; Incident Management</t>
  </si>
  <si>
    <t xml:space="preserve">KBEMS | Trauma | Trauma</t>
  </si>
  <si>
    <t xml:space="preserve">KBEMS Trauma</t>
  </si>
  <si>
    <t xml:space="preserve">Trauma</t>
  </si>
  <si>
    <t xml:space="preserve">P0011 - Trauma Emergencies (3 Hours Required)</t>
  </si>
  <si>
    <t xml:space="preserve">Attended EMT class for continuing education hours in trauma.</t>
  </si>
  <si>
    <t xml:space="preserve">Brady Emergency Care, 14th Ed., Ch. 34 Multisystem Trauma</t>
  </si>
  <si>
    <t xml:space="preserve">CPR/AED Training</t>
  </si>
  <si>
    <t xml:space="preserve">refresher and learning operations of CPR/AED training</t>
  </si>
  <si>
    <t xml:space="preserve">P0001-CPR/AED</t>
  </si>
  <si>
    <t xml:space="preserve">Brady Emergency Care, 14th Ed., Ch. 21 Resuscitation</t>
  </si>
  <si>
    <t xml:space="preserve">KBEMS | CPR/AED | CPR/AED</t>
  </si>
  <si>
    <t xml:space="preserve">KBEMS Basic Life Support CPR</t>
  </si>
  <si>
    <t xml:space="preserve">EMS Cardiology &amp; Pulmonology </t>
  </si>
  <si>
    <t xml:space="preserve">P0023 - Cardiovascular (5 Hours Required)</t>
  </si>
  <si>
    <t xml:space="preserve">Topics covered cardiology and Pulmonology anatomy, what to do in cardiac or respiratory emergencies, and how to identify the events.</t>
  </si>
  <si>
    <t xml:space="preserve">Brady Emergency Care, 14th Ed., Ch. 20 Cardiac Emergencies</t>
  </si>
  <si>
    <t xml:space="preserve">KBEMS | Cardiovascular | Cardiovascular</t>
  </si>
  <si>
    <t xml:space="preserve">KBEMS Cardiovascular</t>
  </si>
  <si>
    <t xml:space="preserve">Cardiac EMS Training</t>
  </si>
  <si>
    <t xml:space="preserve">Refresher over the cardiac system of the human body.</t>
  </si>
  <si>
    <t xml:space="preserve">Patient assement</t>
  </si>
  <si>
    <t xml:space="preserve">Specifics on obtaining Vitals and better habits</t>
  </si>
  <si>
    <t xml:space="preserve">P0009-Patient Assessment</t>
  </si>
  <si>
    <t xml:space="preserve">Brady Emergency Care, 14th Ed., Ch. 14 Principles of Assessment</t>
  </si>
  <si>
    <t xml:space="preserve">Pediatric Airway</t>
  </si>
  <si>
    <t xml:space="preserve">Classroom training in-person (R1, T1, E4, E5, T6, E7, Bat1, Bat2) and on Life Size (E2, E3, T4, E6, E8) with Air Methods. Discussed pediatric airway and respirator emergencies.</t>
  </si>
  <si>
    <t xml:space="preserve">P0013-Pediatrics</t>
  </si>
  <si>
    <t xml:space="preserve">Brady Emergency Care, 14th Ed., Ch. 10 Respiration and Artificial Ventilation, Brady Emergency Care, 14th Ed., Ch. 8 Life Span Development, Brady Emergency Care, 14th Ed., Ch. 9 Airway Management</t>
  </si>
  <si>
    <t xml:space="preserve">Pediatric Trauma</t>
  </si>
  <si>
    <t xml:space="preserve">Classroom training at admin classroom in-person (R1, T1, E4, E5, T6, E7, Bat1, Bat2) and on Life Size (E2, E3, T4, E6, E8) with Air Methods. Discussed pediatric trauma emergencies.</t>
  </si>
  <si>
    <t xml:space="preserve">Brady Emergency Care, 14th Ed., Ch. 29 Bleeding &amp; Shock, Brady Emergency Care, 14th Ed., Ch. 30 Soft-Tissue Trauma, Brady Emergency Care, 14th Ed., Ch. 31 Chest &amp; Abdominal Trauma, Brady Emergency Care, 14th Ed., Ch. 32 Musculoskeletal Trauma, Brady Emergency Care, 14th Ed., Ch. 33 Trauma to the Head, Neck, and Spine, Brady Emergency Care, 14th Ed., Ch. 34 Multisystem Trauma, Brady Emergency Care, 14th Ed., Ch. 8 Life Span Development</t>
  </si>
  <si>
    <t xml:space="preserve">Diabetic Emrgencies</t>
  </si>
  <si>
    <t xml:space="preserve">Refresher on diabetic emergencies and how to maintain those acute symptoms.</t>
  </si>
  <si>
    <t xml:space="preserve">Brady Emergency Care, 14th Ed., Ch. 22 Diabetic Emergencies and Altered Mental Status</t>
  </si>
  <si>
    <t xml:space="preserve">Glucometer Training </t>
  </si>
  <si>
    <t xml:space="preserve">Training over the glucometer for diabetic patients</t>
  </si>
  <si>
    <t xml:space="preserve">EMS</t>
  </si>
  <si>
    <t xml:space="preserve">Glucometer training.</t>
  </si>
  <si>
    <t xml:space="preserve">Brady Emergency Care, 14th Ed., Ch. 13 Vital Signs &amp; Monitoring Devices</t>
  </si>
  <si>
    <t xml:space="preserve">P0014  - Operations (2 Hours Required)</t>
  </si>
  <si>
    <t xml:space="preserve">Air Evac CAPCE Landing Zone Training</t>
  </si>
  <si>
    <t xml:space="preserve">Structural Collapse</t>
  </si>
  <si>
    <t xml:space="preserve">Structural collapse class. Managing various trauma for patients who may be entrapped, crushed, or entangled. Discussed various options to free an entrapped victim using tools available on our apparatus.</t>
  </si>
  <si>
    <t xml:space="preserve">Brady Emergency Care, 14th Ed., Ch. 30 Soft-Tissue Trauma, Brady Emergency Care, 14th Ed., Ch. 31 Chest &amp; Abdominal Trauma, Brady Emergency Care, 14th Ed., Ch. 32 Musculoskeletal Trauma, Brady Emergency Care, 14th Ed., Ch. 33 Trauma to the Head, Neck, and Spine, Brady Emergency Care, 14th Ed., Ch. 34 Multisystem Trauma</t>
  </si>
  <si>
    <t xml:space="preserve">EMS: Trauma</t>
  </si>
  <si>
    <t xml:space="preserve">Active Shooter Training, Casey McCoy Instructor</t>
  </si>
  <si>
    <t xml:space="preserve">Brady Emergency Care, 14th Ed., Ch. 30 Soft-Tissue Trauma, Brady Emergency Care, 14th Ed., Ch. 31 Chest &amp; Abdominal Trauma, Brady Emergency Care, 14th Ed., Ch. 32 Musculoskeletal Trauma, Brady Emergency Care, 14th Ed., Ch. 33 Trauma to the Head, Neck, and Spine, Brady Emergency Care, 14th Ed., Ch. 34 Multisystem Trauma, Brady Emergency Care, 14th Ed., Ch. 39 Hazmat, Multiple-Casualty Incidents, &amp; Incident Management</t>
  </si>
  <si>
    <t xml:space="preserve">Active Shooter Training with BGPD, WCSO, and EMS. Treating PTs during an active shooter event, triage, casualty collection, transport.</t>
  </si>
  <si>
    <t xml:space="preserve">Station 4 reviewed proper airway management for a variety of different patients. Crews discussed the difference in )2 levels for nasal cannulas, venturi masks, oxy masks, and BVMs. Crews practiced listening and reading the difernt types of breath sounds as well as counting respiratory rates and how it will differ depending on the patient and their underlying medical history. Crews then discussed primary assessments for patients and their signs and symptoms for a number of different scenarios.</t>
  </si>
  <si>
    <t xml:space="preserve">CAPCE class via Vector solutions</t>
  </si>
  <si>
    <t xml:space="preserve">CAPCE Airway class via vector solutions</t>
  </si>
  <si>
    <t xml:space="preserve">CAPCE managing cardiac arrest during and after resuscitation 57315</t>
  </si>
  <si>
    <t xml:space="preserve">CAPCE Acute coronary syndromes 655151</t>
  </si>
  <si>
    <t xml:space="preserve">Vitals</t>
  </si>
  <si>
    <t xml:space="preserve">Performed repetitions of patient assessment, taking blood pressures and assessing other vitals.</t>
  </si>
  <si>
    <t xml:space="preserve">Brady Emergency Care, 14th Ed., Ch. 12 Primary Assessment</t>
  </si>
  <si>
    <t xml:space="preserve">Active shooter training</t>
  </si>
  <si>
    <t xml:space="preserve">Both truck and Engine crews went over plans and preperation for an active shooter incident inside classroom. We discussed what may happen in the event and how Fire/Police/EMS would all work together in such an event.</t>
  </si>
  <si>
    <t xml:space="preserve">EMS: Medical</t>
  </si>
  <si>
    <t xml:space="preserve">Review of obtaining patient vital signs, normal vs abnormal VS, signs and symptoms of opiate overdose and administration of narcan per protocol</t>
  </si>
  <si>
    <t xml:space="preserve">Brady Emergency Care, 14th Ed., Ch. 13 Vital Signs &amp; Monitoring Devices, Brady Emergency Care, 14th Ed., Ch. 6 Anatomy &amp; Physiology</t>
  </si>
  <si>
    <t xml:space="preserve">EMS - Medical</t>
  </si>
  <si>
    <t xml:space="preserve">EMS - Medical
Heat related emergencies
lesson plan provided by MCEMS, TEI MCEMS</t>
  </si>
  <si>
    <t xml:space="preserve">Brady Emergency Care, 14th Ed., Ch. 35 Environmental Emergencies</t>
  </si>
  <si>
    <t xml:space="preserve">RAD 57 training</t>
  </si>
  <si>
    <t xml:space="preserve">Annual LZ Training provided by AirEvac and instructed by Richard Neighbors</t>
  </si>
  <si>
    <t xml:space="preserve">KBEMS PAHT 2022 curriculum</t>
  </si>
  <si>
    <t xml:space="preserve">P0019 - Sexual Assault Training</t>
  </si>
  <si>
    <t xml:space="preserve">KBEMS SVT 2022 curriculum</t>
  </si>
  <si>
    <t xml:space="preserve">EMS: Sexual Violence Awareness Training</t>
  </si>
  <si>
    <t xml:space="preserve">Trauma Victim</t>
  </si>
  <si>
    <t xml:space="preserve">Discussed different situations that include entrapment. entanglement. Discussed the importance of preparing the victim prior to lifting off weight from their appendages after a heavy incident. Discussed controlling their neck and spine if their is an injury involving that area.</t>
  </si>
  <si>
    <t xml:space="preserve">Brady Emergency Care, 14th Ed., Ch. 33 Trauma to the Head, Neck, and Spine</t>
  </si>
  <si>
    <t xml:space="preserve">Active Shooter Drill</t>
  </si>
  <si>
    <t xml:space="preserve">Active shooter drill with BGPD, WCSO, WKUPD.</t>
  </si>
  <si>
    <t xml:space="preserve">Bleeding and Shock</t>
  </si>
  <si>
    <t xml:space="preserve">Trauma and review of tourniquet appropriate applications.</t>
  </si>
  <si>
    <t xml:space="preserve">Brady Emergency Care, 14th Ed., Ch. 32 Musculoskeletal Trauma</t>
  </si>
  <si>
    <t xml:space="preserve">Active Shooter / Mass Casualty Training at Lost River Elementary</t>
  </si>
  <si>
    <t xml:space="preserve">EMT Refresher</t>
  </si>
  <si>
    <t xml:space="preserve">Asthma, COPD, Pulmonary Edema</t>
  </si>
  <si>
    <t xml:space="preserve">Airway anatomy and suctioning.</t>
  </si>
  <si>
    <t xml:space="preserve">Brady Emergency Care, 14th Ed., Ch. 6 Anatomy &amp; Physiology</t>
  </si>
  <si>
    <t xml:space="preserve">CPR/AED</t>
  </si>
  <si>
    <t xml:space="preserve">Diabetic, Allergic, and Toxicologic Emergencies</t>
  </si>
  <si>
    <t xml:space="preserve">Neurologic and Behavioral Emergencies</t>
  </si>
  <si>
    <t xml:space="preserve">Trauma overview and bleeding control</t>
  </si>
  <si>
    <t xml:space="preserve">P0011-Trauma - </t>
  </si>
  <si>
    <t xml:space="preserve">Brady Emergency Care, 14th Ed., Ch. 29 Bleeding &amp; Shock</t>
  </si>
  <si>
    <t xml:space="preserve">Post test</t>
  </si>
  <si>
    <t xml:space="preserve">P0004-Emergency Medical Technician</t>
  </si>
  <si>
    <t xml:space="preserve">Brady Emergency Care, 14th Ed., Ch. 17 Communication and Documentation</t>
  </si>
  <si>
    <t xml:space="preserve">Geriatrics and Special Needs</t>
  </si>
  <si>
    <t xml:space="preserve">Documentation and Medical Legal</t>
  </si>
  <si>
    <t xml:space="preserve">Brady Emergency Care, 14th Ed., Ch. 4 Medical, Legal, and Ethical Issues</t>
  </si>
  <si>
    <t xml:space="preserve">Pediatric Emergencies</t>
  </si>
  <si>
    <t xml:space="preserve">Brady Emergency Care, 14th Ed., Ch. 36 OB and Gynecological Emergencies</t>
  </si>
  <si>
    <t xml:space="preserve">Obstetrics and neonatal needs</t>
  </si>
  <si>
    <t xml:space="preserve">P0012-OB/GYN</t>
  </si>
  <si>
    <t xml:space="preserve">EMT</t>
  </si>
  <si>
    <t xml:space="preserve">Train SVAT</t>
  </si>
  <si>
    <t xml:space="preserve">KBEMS EMT Elective Hours</t>
  </si>
  <si>
    <t xml:space="preserve">EMS Operations and Extrication</t>
  </si>
  <si>
    <t xml:space="preserve">Operations Haz-Mat ICS</t>
  </si>
  <si>
    <t xml:space="preserve">P0006-Mass Casualty/Disaster Management</t>
  </si>
  <si>
    <t xml:space="preserve">EMT </t>
  </si>
  <si>
    <t xml:space="preserve">Train</t>
  </si>
  <si>
    <t xml:space="preserve">Head neck and Spine injuries</t>
  </si>
  <si>
    <t xml:space="preserve">Soft-Tissue &amp;amp; musculoskeletal injuries</t>
  </si>
  <si>
    <t xml:space="preserve">Abdominal and chest trauma</t>
  </si>
  <si>
    <t xml:space="preserve">Brady Emergency Care, 14th Ed., Ch. 31 Chest &amp; Abdominal Trauma</t>
  </si>
  <si>
    <t xml:space="preserve">Cardiac Emergency </t>
  </si>
  <si>
    <t xml:space="preserve">Station 1 went over how to recognize Cardiac Emergencies. We went over A Vib and V Vib and how to recognize it on a monitor.</t>
  </si>
  <si>
    <t xml:space="preserve">Brady Emergency Care, 14th Ed., Ch. 20 Cardiac Emergencies, Brady Emergency Care, 14th Ed., Ch. 6 Anatomy &amp; Physiology</t>
  </si>
  <si>
    <t xml:space="preserve">Medical Assessment</t>
  </si>
  <si>
    <t xml:space="preserve">Crews discussed primary and secondary patient assessments. Crews also went over mechanisms sed for assessments. This includes DCAP-BTLS, OPQRST, and SAMPLE.</t>
  </si>
  <si>
    <t xml:space="preserve">Brady Emergency Care, 14th Ed., Ch. 12 Primary Assessment, Brady Emergency Care, 14th Ed., Ch. 14 Principles of Assessment, Brady Emergency Care, 14th Ed., Ch. 15 Secondary Assessment, Brady Emergency Care, 14th Ed., Ch. 16 Reassessment</t>
  </si>
  <si>
    <t xml:space="preserve">Heat exhaustion</t>
  </si>
  <si>
    <t xml:space="preserve">EMS Bag Review</t>
  </si>
  <si>
    <t xml:space="preserve">Crews reviewed the EMS bag, its contents, and their operations. This included multi casualty tags, chest seals, bandaging trauma wounds, and discussing assisting EMS with ALS skills.</t>
  </si>
  <si>
    <t xml:space="preserve">Active Shooter Training, Med Center EMS-Casey McCoy Instructor</t>
  </si>
  <si>
    <t xml:space="preserve">trauma and tourniquet review with appropriate applications discussed.</t>
  </si>
  <si>
    <t xml:space="preserve">Active Shooter Training at Lost River Elementary</t>
  </si>
  <si>
    <t xml:space="preserve">Crews discussed treatment and packaging methods regarding impalements. Personnel also utilized different tools and methods to free rebar that a patient has impaled into different areas of the body.</t>
  </si>
  <si>
    <t xml:space="preserve">CAPCE Carbon monoxide Poisoning106464</t>
  </si>
  <si>
    <t xml:space="preserve">CAPCE Carbon Monoxide Poisoning 106464</t>
  </si>
  <si>
    <t xml:space="preserve">CAPCE Supplemental Oxygen 91052</t>
  </si>
  <si>
    <t xml:space="preserve">CAPCE Supplemental Oxygen 91052 online class</t>
  </si>
  <si>
    <t xml:space="preserve">Patient Packaging</t>
  </si>
  <si>
    <t xml:space="preserve">P0001-CPR/AED Health Care Provider/Professional</t>
  </si>
  <si>
    <t xml:space="preserve">CPR on top of building, packaging patient and using ladder fulcrum with stokes basket to lower patient to the ground.</t>
  </si>
  <si>
    <t xml:space="preserve">I-Gel Training</t>
  </si>
  <si>
    <t xml:space="preserve">I-gel familiarization and traning.</t>
  </si>
  <si>
    <t xml:space="preserve">Capce Acute Coronary Syndromes 655151</t>
  </si>
  <si>
    <t xml:space="preserve">CAPCE Acute Coronary Syndromes 655151</t>
  </si>
  <si>
    <t xml:space="preserve">Cardiac Emergencies</t>
  </si>
  <si>
    <t xml:space="preserve">KCTCS Virtual Cardiac CEU class</t>
  </si>
  <si>
    <t xml:space="preserve">Capce Acute Coronary Syndromes</t>
  </si>
  <si>
    <t xml:space="preserve">KBEMS HIV/AIDS Education for EMS Providers 1100965</t>
  </si>
  <si>
    <t xml:space="preserve">KBEMS HIV/AIDS Education for EMS Providers 1100965 on Train.org</t>
  </si>
  <si>
    <t xml:space="preserve">LZ set up class with Air Methods</t>
  </si>
  <si>
    <t xml:space="preserve">OB/GYN</t>
  </si>
  <si>
    <t xml:space="preserve">OB/GYN EMS training with Casey McCoy (EMS Blitz)</t>
  </si>
  <si>
    <t xml:space="preserve">CAPCE Medication Errors</t>
  </si>
  <si>
    <t xml:space="preserve">EMS Training - Child Restraints</t>
  </si>
  <si>
    <t xml:space="preserve">EMS Operations - Stephen Parrot from Med Center EMS came out and demonstrated the use of the new pediatric and child restraint devices for the ambulance stretcher.</t>
  </si>
  <si>
    <t xml:space="preserve">CAPCE EMS Driving Safety</t>
  </si>
  <si>
    <t xml:space="preserve">MRI Safety</t>
  </si>
  <si>
    <t xml:space="preserve">MRI safety training via target solutions, 1 hour EMS ops</t>
  </si>
  <si>
    <t xml:space="preserve">KBEMS Provider Pediatric Abusive Head Trauma 1095906</t>
  </si>
  <si>
    <t xml:space="preserve">KBEMS Provider Pediatric Abusive Head Trauma 1095906 on Train.org</t>
  </si>
  <si>
    <t xml:space="preserve">Patient Packaging utilizing OSS and Sked devices for stabilization.</t>
  </si>
  <si>
    <t xml:space="preserve">Trauma </t>
  </si>
  <si>
    <t xml:space="preserve">Structural Collapse Traumatic Scenario</t>
  </si>
  <si>
    <t xml:space="preserve">Active Shooter / Mass Casualty Training</t>
  </si>
  <si>
    <t xml:space="preserve">CAPCE Detailed Physical exam</t>
  </si>
  <si>
    <t xml:space="preserve">Firefighter CPR</t>
  </si>
  <si>
    <t xml:space="preserve">crews discussed and preformed CPR on unresponsive firefighter in full PPE/SCBA</t>
  </si>
  <si>
    <t xml:space="preserve">EMS - Ring Removal</t>
  </si>
  <si>
    <t xml:space="preserve">Ring removal training</t>
  </si>
  <si>
    <t xml:space="preserve">Glucometer </t>
  </si>
  <si>
    <t xml:space="preserve">Crews went over new Glucometers and what out SOPS are on them</t>
  </si>
  <si>
    <t xml:space="preserve">Active Shooter (Mass Casualty)</t>
  </si>
  <si>
    <t xml:space="preserve">Active Shooter Training on Target Solutions</t>
  </si>
  <si>
    <t xml:space="preserve">Annual LZ Training by AirEvac instructed by Richard Neighbors</t>
  </si>
  <si>
    <t xml:space="preserve">EMS - Compartment Syndrome/Crush Injuries</t>
  </si>
  <si>
    <t xml:space="preserve">Multiple sessions of structural collapse including EMS treatment of crush injuries/compartment syndrome.</t>
  </si>
  <si>
    <t xml:space="preserve">Structural Collapse  </t>
  </si>
  <si>
    <t xml:space="preserve">EMS considerations with structure collapse involving PTs</t>
  </si>
  <si>
    <t xml:space="preserve">P0011-Trauma</t>
  </si>
  <si>
    <t xml:space="preserve">ACTIVE SHOOTER DRILLS. FIRE/EMS/POLICE</t>
  </si>
  <si>
    <t xml:space="preserve">CPR recert.</t>
  </si>
  <si>
    <t xml:space="preserve">CPR recert. for instructors and students</t>
  </si>
  <si>
    <t xml:space="preserve">Brady Emergency Care, 14th Ed., Ch. 10 Respiration and Artificial Ventilation, Brady Emergency Care, 14th Ed., Ch. 21 Resuscitation</t>
  </si>
  <si>
    <t xml:space="preserve">CPR/AED training following the AHA curriculum.</t>
  </si>
  <si>
    <t xml:space="preserve">CPR/AED training</t>
  </si>
  <si>
    <t xml:space="preserve">CPR Recert</t>
  </si>
  <si>
    <t xml:space="preserve">Review and practice of updated CPR guidelines</t>
  </si>
  <si>
    <t xml:space="preserve">EMS - Glucometer Training</t>
  </si>
  <si>
    <t xml:space="preserve">Glucometer hands on training. Instructions on how test, use, and read device. Demonstrated how to obtain blood/sugar level on one another.</t>
  </si>
  <si>
    <t xml:space="preserve">P0010-Medical  - Special Healthcare Needs</t>
  </si>
  <si>
    <t xml:space="preserve">RAD-57 PulseOx (2026)</t>
  </si>
  <si>
    <t xml:space="preserve">EMS Training - Operations</t>
  </si>
  <si>
    <t xml:space="preserve">EMS Operations - Bariatric patients. Special considerations, tools and equipment on the truck and ambulance to assist with loading and unloading, abnormal vitals and assessments.</t>
  </si>
  <si>
    <t xml:space="preserve">First Aid</t>
  </si>
  <si>
    <t xml:space="preserve">First Aid class</t>
  </si>
  <si>
    <t xml:space="preserve">P0021-First-Aid</t>
  </si>
  <si>
    <t xml:space="preserve">IFSTA Essentials, 8th Ed. Ch. 16 First Aid</t>
  </si>
  <si>
    <t xml:space="preserve">EMS Training - Bloodborne Pathogens CAPCE</t>
  </si>
  <si>
    <t xml:space="preserve">CAPCE Course - Bloodborne Pathogen Safety on Target Solutions</t>
  </si>
  <si>
    <t xml:space="preserve">EMS Training - MRI Safety</t>
  </si>
  <si>
    <t xml:space="preserve">MRI Safety on Target Solutions. EMS Operations for 1 hour.</t>
  </si>
  <si>
    <t xml:space="preserve">Annual LZ Training conducted by AirEvac and instructed by Richard Neighbors</t>
  </si>
  <si>
    <t xml:space="preserve">KBEMS SVAT</t>
  </si>
  <si>
    <t xml:space="preserve">Train.org SVAT training required every two years</t>
  </si>
  <si>
    <t xml:space="preserve">Trauma class with tourniquet refresher usage and appropriate applications</t>
  </si>
  <si>
    <t xml:space="preserve">Trauma &amp;amp; tourniquet review with appropriate applications</t>
  </si>
  <si>
    <t xml:space="preserve">Trauma and tourniquet reviews with appropriate applications.</t>
  </si>
  <si>
    <t xml:space="preserve">Active Shooter Drill at Lost River Elementary</t>
  </si>
  <si>
    <t xml:space="preserve">CPR procedure for a downed fire fighter</t>
  </si>
  <si>
    <t xml:space="preserve">Quick Drill</t>
  </si>
  <si>
    <t xml:space="preserve">Did a quick drill obtaining blood pressures.</t>
  </si>
  <si>
    <t xml:space="preserve">LZ Training</t>
  </si>
  <si>
    <t xml:space="preserve">LZ Training at airport</t>
  </si>
  <si>
    <t xml:space="preserve">LZ Class </t>
  </si>
  <si>
    <t xml:space="preserve">Air Evac landing zone refresher.
Safety
Proper setup
Operations</t>
  </si>
  <si>
    <t xml:space="preserve">Airway, ventilation training</t>
  </si>
  <si>
    <t xml:space="preserve">Airway and ventilation review. Went over different oxygen delivery devices and lpm for those devices</t>
  </si>
  <si>
    <t xml:space="preserve">FF CPR/ IGEL refresher</t>
  </si>
  <si>
    <t xml:space="preserve">FF CPR review and Igel refresher.</t>
  </si>
  <si>
    <t xml:space="preserve">FigherFighter CPR/ IGel</t>
  </si>
  <si>
    <t xml:space="preserve">E3, E6, and B2 went over FF CPr and IGel use</t>
  </si>
  <si>
    <t xml:space="preserve">CAPCE Supplemental oxygen</t>
  </si>
  <si>
    <t xml:space="preserve">Capce supplemental oxygen vector solutions class. 1 hr</t>
  </si>
  <si>
    <t xml:space="preserve">P0025-EMT-Advanced</t>
  </si>
  <si>
    <t xml:space="preserve">COPD refresher </t>
  </si>
  <si>
    <t xml:space="preserve">COPD refresher. Went over indications, treatments.</t>
  </si>
  <si>
    <t xml:space="preserve">Brady Emergency Care, 14th Ed., Ch. 19 Respiratory Emergencies</t>
  </si>
  <si>
    <t xml:space="preserve">Brady Emergency Care 14th Ed. Ch 19 Respiratory Emergencies. Reviewed airway management options</t>
  </si>
  <si>
    <t xml:space="preserve">FF CPR</t>
  </si>
  <si>
    <t xml:space="preserve">Reviewed FF cpr, practiced and discussed.</t>
  </si>
  <si>
    <t xml:space="preserve">CAPCE Acute Coronary Syndromes</t>
  </si>
  <si>
    <t xml:space="preserve">Vector solutions capce cardiac class 1 hr.</t>
  </si>
  <si>
    <t xml:space="preserve">HIV/AIDS continuing education</t>
  </si>
  <si>
    <t xml:space="preserve">HIV/AIDS continuing education train.org</t>
  </si>
  <si>
    <t xml:space="preserve">Pediatric Abusive head trauma</t>
  </si>
  <si>
    <t xml:space="preserve">Pediatric abusive head trauma</t>
  </si>
  <si>
    <t xml:space="preserve">Hypothermia refresher training </t>
  </si>
  <si>
    <t xml:space="preserve">Hypothermia refresher for emergency situations. What signs and symptoms of hypothermia.</t>
  </si>
  <si>
    <t xml:space="preserve">EMS Medical review (Medications)</t>
  </si>
  <si>
    <t xml:space="preserve">EMS medical review. Went over medications, indications and contra indications</t>
  </si>
  <si>
    <t xml:space="preserve">Pediatric assessment review</t>
  </si>
  <si>
    <t xml:space="preserve">Pediatric assessment review. Went over primary assessment on a pediatric patient. Reviewed airway, breathing, circulation, cpr and pediatric burn patients.</t>
  </si>
  <si>
    <t xml:space="preserve">Brady Emergency Care, 14th Ed., Ch. 12 Primary Assessment, Brady Emergency Care, 14th Ed., Ch. 15 Secondary Assessment</t>
  </si>
  <si>
    <t xml:space="preserve">Med bag and medication review</t>
  </si>
  <si>
    <t xml:space="preserve">Reviewed the medical bag, medications in the bag, &amp;amp; oxygen delivery devices.</t>
  </si>
  <si>
    <t xml:space="preserve">EMS - Airway Class </t>
  </si>
  <si>
    <t xml:space="preserve">Airway class taught by Air Methods.</t>
  </si>
  <si>
    <t xml:space="preserve">EMS - OB/GYN Class </t>
  </si>
  <si>
    <t xml:space="preserve">OB/GYN class taught by Air Methods.</t>
  </si>
  <si>
    <t xml:space="preserve">Sexual Violence awareness training </t>
  </si>
  <si>
    <t xml:space="preserve">Sexual violence awareness training train.org</t>
  </si>
  <si>
    <t xml:space="preserve">Brady Emergency Care, 14th Ed., Ch. 27 Behavioral &amp; Psychiatric Emergencies &amp; Suicide</t>
  </si>
  <si>
    <t xml:space="preserve">Capce Pediatric  assessment</t>
  </si>
  <si>
    <t xml:space="preserve">Capce Pediatric assessment class</t>
  </si>
  <si>
    <t xml:space="preserve">Medication review</t>
  </si>
  <si>
    <t xml:space="preserve">Medication review . Indications, contraindication, how often we can give the medication.</t>
  </si>
  <si>
    <t xml:space="preserve">Med Bag review</t>
  </si>
  <si>
    <t xml:space="preserve">Med Bag review. Reviewed medications, indication, contra indications, how to apply a c collar. How to insert a Opa, NPA, Igel.</t>
  </si>
  <si>
    <t xml:space="preserve">EMS Operations</t>
  </si>
  <si>
    <t xml:space="preserve">EMS Operations regarding Air Evac.</t>
  </si>
  <si>
    <t xml:space="preserve">Drivers safety</t>
  </si>
  <si>
    <t xml:space="preserve">EMS ambulance safety training on Vector solutions</t>
  </si>
  <si>
    <t xml:space="preserve">CAPCE Emergency response module 1to terrorism</t>
  </si>
  <si>
    <t xml:space="preserve">CAPCE vector solutions</t>
  </si>
  <si>
    <t xml:space="preserve">CAPCE Emergency response to terrorism module 2</t>
  </si>
  <si>
    <t xml:space="preserve">Capce vector solutions</t>
  </si>
  <si>
    <t xml:space="preserve">EMS Trauma Active shooter training</t>
  </si>
  <si>
    <t xml:space="preserve">Simulated mass casualty incident w/ active shooter with Casey Mccoy as instructor.</t>
  </si>
  <si>
    <t xml:space="preserve">EMS Trauma </t>
  </si>
  <si>
    <t xml:space="preserve">Went over how to treat fire victims with burns.</t>
  </si>
  <si>
    <t xml:space="preserve">Brady Emergency Care, 14th Ed., Ch. 30 Soft-Tissue Trauma</t>
  </si>
  <si>
    <t xml:space="preserve">Treatment of burn and smoke inhalation victims</t>
  </si>
  <si>
    <t xml:space="preserve">Pediatric Respiratory Emergencies</t>
  </si>
  <si>
    <t xml:space="preserve">CAPCE Pediatric Respiratory Emergencies</t>
  </si>
  <si>
    <t xml:space="preserve">Acute Coronary Syndrome CAPCE</t>
  </si>
  <si>
    <t xml:space="preserve">CAPCE Acute Coronary Syndrome online class.</t>
  </si>
  <si>
    <t xml:space="preserve">CAPCE Managing Cardiac Arrest</t>
  </si>
  <si>
    <t xml:space="preserve">CAPCE managing cardiac arrest online course.</t>
  </si>
  <si>
    <t xml:space="preserve">Glucometer Training</t>
  </si>
  <si>
    <t xml:space="preserve">Crews conducted glucometer training, practicing the proper procedure for completing the daily morning check as well as the correct technique for using the device on a patient.</t>
  </si>
  <si>
    <t xml:space="preserve">Glucometer hands on training. Reviewed on how to test, use, and read device.</t>
  </si>
  <si>
    <t xml:space="preserve">E3 crew attended the EMT course at PSTC for continuing education hours in medical covering hematologic and renal emergencies along with bleeding and shock.</t>
  </si>
  <si>
    <t xml:space="preserve">Brady Emergency Care, 14th Ed., Ch. 28 Hematologic and Renal Emergencies, Brady Emergency Care, 14th Ed., Ch. 29 Bleeding &amp; Shock</t>
  </si>
  <si>
    <t xml:space="preserve">Heat And Illness Emergencies</t>
  </si>
  <si>
    <t xml:space="preserve">CAPCE Heat And Illness Emergencies online course.</t>
  </si>
  <si>
    <t xml:space="preserve">Pediatric Assessment </t>
  </si>
  <si>
    <t xml:space="preserve">CAPCE Pediatric Assessment</t>
  </si>
  <si>
    <t xml:space="preserve">Target Solutions Pulse Ox</t>
  </si>
  <si>
    <t xml:space="preserve">Save Em Saturday</t>
  </si>
  <si>
    <t xml:space="preserve">Station 1 trained on using the TC splint and traction splint in the technical rescue medical bag.</t>
  </si>
  <si>
    <t xml:space="preserve">Tramua class</t>
  </si>
  <si>
    <t xml:space="preserve">CAPCE Child Abuse roles and responsibilities (Vector Solutions)</t>
  </si>
  <si>
    <t xml:space="preserve">CAPCE Geriatric Assessment Challenges (655134)</t>
  </si>
  <si>
    <t xml:space="preserve">CAPCE Pediatric respiratory upper and lower 1318498 Vector solutions</t>
  </si>
  <si>
    <t xml:space="preserve">CAPCE Mechanics of Breathing 333244 Vector Solutions</t>
  </si>
  <si>
    <t xml:space="preserve">CAPCE Managing cardic arrest  during and after resuscitation (Vector Solutions)</t>
  </si>
  <si>
    <t xml:space="preserve">CAPCE Acute Coronary Syndromes (Vector Solutions)</t>
  </si>
  <si>
    <t xml:space="preserve">CAPCE Pediatric assessment 43533 Vector Solutions</t>
  </si>
  <si>
    <t xml:space="preserve">CAPCE Rapid Secondary Assessment 65291 Vector Solutions</t>
  </si>
  <si>
    <t xml:space="preserve">Train.org. HIV</t>
  </si>
  <si>
    <t xml:space="preserve">Train.org Aids/HIV</t>
  </si>
  <si>
    <t xml:space="preserve">Active Shooter</t>
  </si>
  <si>
    <t xml:space="preserve">Assisted BGPD with academy training in active shooter response.
Casey McCoy was instructor for this training</t>
  </si>
  <si>
    <t xml:space="preserve">Brady Emergency Care, 14th Ed., Ch. 29 Bleeding &amp; Shock, Brady Emergency Care, 14th Ed., Ch. 39 Hazmat, Multiple-Casualty Incidents, &amp; Incident Management</t>
  </si>
  <si>
    <t xml:space="preserve">CAPCE Non-traumatic abdominal injuries (Vector Solutions)</t>
  </si>
  <si>
    <t xml:space="preserve">CAPCE Heat Illines and emergencies 91057 Vector Soluntions</t>
  </si>
  <si>
    <t xml:space="preserve">CAPCE Carbon Monoxide Poisioning (Vector Solutions) 106464</t>
  </si>
  <si>
    <t xml:space="preserve">CAPCE Injuries and Infections of the eye 86533 Vector</t>
  </si>
  <si>
    <t xml:space="preserve">CAPCE Opioid overdose and NaloXone administration 1393595</t>
  </si>
  <si>
    <t xml:space="preserve">Active Shooter
Casey MCcoy instructor</t>
  </si>
  <si>
    <t xml:space="preserve">CAPCE Driving Safety</t>
  </si>
  <si>
    <t xml:space="preserve">Train.org</t>
  </si>
  <si>
    <t xml:space="preserve">Sexual Violence Awareness train.org</t>
  </si>
  <si>
    <t xml:space="preserve">EMS Trauma</t>
  </si>
  <si>
    <t xml:space="preserve">Battalion 2, Engine 2, and Engine 3 engaged in an active shooter training alongside BGPD. 
Scenario simulated an active shooter event in an open environment where PD and FD worked together to triage victims, and secure the area.
Lead instructor: Casey McCoy</t>
  </si>
  <si>
    <t xml:space="preserve">poo11 Trauma</t>
  </si>
  <si>
    <t xml:space="preserve">Active Shooter Training.</t>
  </si>
  <si>
    <t xml:space="preserve">Active Shooter Training at the WKU Ag Farm
RTF Teams
Triage
Victim Carrying</t>
  </si>
  <si>
    <t xml:space="preserve">Active shooter training with police cadets.
Gun shot wound care.
Triage</t>
  </si>
  <si>
    <t xml:space="preserve">Brady Emergency Care, 14th Ed., Ch. 30 Soft-Tissue Trauma, Brady Emergency Care, 14th Ed., Ch. 31 Chest &amp; Abdominal Trauma, Brady Emergency Care, 14th Ed., Ch. 34 Multisystem Trauma</t>
  </si>
  <si>
    <t xml:space="preserve">CAPCE DEtailed Physical Exam (Vector solutions)</t>
  </si>
  <si>
    <t xml:space="preserve">CAPCE assessing the patient with major trauma (vector solutions)</t>
  </si>
  <si>
    <t xml:space="preserve">Airway/Respiration</t>
  </si>
  <si>
    <t xml:space="preserve">Part of EMS Blitz class taught by Casey Mccoy with Medical Center EMS</t>
  </si>
  <si>
    <t xml:space="preserve">P0008-Airway/Respiration/Ventilation</t>
  </si>
  <si>
    <t xml:space="preserve">Cardiovascular</t>
  </si>
  <si>
    <t xml:space="preserve">Part of Blitz Class taught by Casey Mccoy with Medical Center EMS</t>
  </si>
  <si>
    <t xml:space="preserve">EMT Blitz Class taught by Casey Mccoy with Medical Center EMS</t>
  </si>
  <si>
    <t xml:space="preserve">Bloodborne Pathogens</t>
  </si>
  <si>
    <t xml:space="preserve">Bloodborne Pathogens Target Solutions</t>
  </si>
  <si>
    <t xml:space="preserve">Bloodborne Pathogens Safety via Vector Solutions</t>
  </si>
  <si>
    <t xml:space="preserve">Brady Emergency Care, 14th Ed., Ch. 24 Infectious Diseases &amp; Sepsis</t>
  </si>
  <si>
    <t xml:space="preserve">Air Evac: LZ Training</t>
  </si>
  <si>
    <t xml:space="preserve">LZ Setup class with Air Evac at Bowling Green Airport.</t>
  </si>
  <si>
    <t xml:space="preserve">Neurological/Diabetic Emergencies</t>
  </si>
  <si>
    <t xml:space="preserve">Part of EMS Blitz Class taught by Casey Mccoy with Medical Center EMS</t>
  </si>
  <si>
    <t xml:space="preserve">Brady Emergency Care, 14th Ed., Ch. 22 Diabetic Emergencies and Altered Mental Status, Brady Emergency Care, 14th Ed., Ch. 27 Behavioral &amp; Psychiatric Emergencies &amp; Suicide</t>
  </si>
  <si>
    <t xml:space="preserve">Geriatric &amp; Special Needs</t>
  </si>
  <si>
    <t xml:space="preserve">Obstetrics &amp; Neonatal Care</t>
  </si>
  <si>
    <t xml:space="preserve">EMS Blitz Class taught by Casey Mccoy with Medical Center EMS</t>
  </si>
  <si>
    <t xml:space="preserve">EMS HazMat, ICS, Safety, Documentation</t>
  </si>
  <si>
    <t xml:space="preserve">Understanding Pediatric Abusive Head Trauma</t>
  </si>
  <si>
    <t xml:space="preserve">Training.org</t>
  </si>
  <si>
    <t xml:space="preserve">Engine 2 reviewed a structural collapse and ems trauma injuries that might be caused by a collapse</t>
  </si>
  <si>
    <t xml:space="preserve">Annual active shooter review</t>
  </si>
  <si>
    <t xml:space="preserve">EMS Blitz class taught by Casey Mccoy with Medical Center EMS</t>
  </si>
  <si>
    <t xml:space="preserve">EMS Trauma (Extrication)</t>
  </si>
  <si>
    <t xml:space="preserve">Vehicle extrication training with Med Center EMS and BGPD. Worked on extrication in coordination with patient care.</t>
  </si>
  <si>
    <t xml:space="preserve">Active Shooter Training @ Lost River Elementary</t>
  </si>
  <si>
    <t xml:space="preserve">EMS: Airway</t>
  </si>
  <si>
    <t xml:space="preserve">Airway class at EMS HQ</t>
  </si>
  <si>
    <t xml:space="preserve">Airway Skills for EMT class taught by MCEMS Casey McCoy</t>
  </si>
  <si>
    <t xml:space="preserve">EMS. Airway Management</t>
  </si>
  <si>
    <t xml:space="preserve">Used Med Center EMS Airway Management for EMS Lesson Plan as a guide.    
Discussed ABC's and reinforced airway before everything else.
Oxygenation vs Ventilation
Reviewed airway assessment and positioning.
Reviewed airway adjuncts (OPA vs NPA)
Reviewed what we carry in our bags for oxygenation and ventilation (nasal cannula vs Oxymask vs nonreabreather vs BVM)
Reviewed BVM use and proper ventilation
Reviewed advanced airway operations (iGel)</t>
  </si>
  <si>
    <t xml:space="preserve">Reviewed difference between oxygenation versus ventilation.  Discussed different signs of respiratory distress.  Disscussed different avenues of providing oxygenation to a patient.  Nasal cannula vs oxy mask vs NRB.  Discussed when to use each and pros and cons of each.   Discussed advancing to BVM if necessary and proper way to position airway for proper seal.
 Referenced Medical Center EMS Lesson Plan from Chapter 10: Respiration and Artificial Ventilation as a guide for teaching material.</t>
  </si>
  <si>
    <t xml:space="preserve">EMS: Cardiovascular</t>
  </si>
  <si>
    <t xml:space="preserve">Onsite class at EMS HQ utilizing pig hearts and understanding of anatomy. Casey McCoy lead instructor</t>
  </si>
  <si>
    <t xml:space="preserve">review of cardiopulmontary anatomy, common cardiac conditions.
Austin Conner EMS instructor</t>
  </si>
  <si>
    <t xml:space="preserve">EMS - Cardiac</t>
  </si>
  <si>
    <t xml:space="preserve">Discussed and reviewed how to handle chest pain calls.
Reviewed assisting patients with Nitro, administering aspirin, and oxygen.  Reviewed indications and contraindications.
Reviewed differences in CPR for adult versus pediatric</t>
  </si>
  <si>
    <t xml:space="preserve">HIV/AIDS Education for EMS Providers</t>
  </si>
  <si>
    <t xml:space="preserve">HIV/AIDS Education for EMS Providers course via Train.org</t>
  </si>
  <si>
    <t xml:space="preserve">Brady Emergency Care, 14th Ed., Ch. 37 Emergencies for Patients with Special Challenges</t>
  </si>
  <si>
    <t xml:space="preserve">EMS:Medical</t>
  </si>
  <si>
    <t xml:space="preserve">EMS Medical: Geriatric and special needs, obstetrics &amp;amp; ob care, pediatric emergencies
Taught by MCEMS Casey McCoy</t>
  </si>
  <si>
    <t xml:space="preserve">Brady Emergency Care, 14th Ed., Ch. 7 Principles of Pathophysiology, Brady Emergency Care, 14th Ed., Ch. 8 Life Span Development</t>
  </si>
  <si>
    <t xml:space="preserve">Training and practice on new glucometers being added to med bags</t>
  </si>
  <si>
    <t xml:space="preserve">CAPCE Bloodborne Pathogens Safety</t>
  </si>
  <si>
    <t xml:space="preserve">CAPCE Bloodborne Pathogens Safety module via Vector Solutions</t>
  </si>
  <si>
    <t xml:space="preserve">EMS. Medication Administration</t>
  </si>
  <si>
    <t xml:space="preserve">EMS Medication Administration using The Medical Center EMS Medication Administration Lesson Plan as a guide.
Discussed and reviewed all medications kept in our medical bags (oxygen, aspirin, Narcan, Albuterol, oral glucose) 
Discussed assessment to evaluate if/when medication is needed.
Discussed The Five Rights of Medication Administration
Reviewed dosing of each medication
Reviewed appropriate route of administration
Reviewed contraindications of each medication
Put hands on each medication as a review of how to administer each</t>
  </si>
  <si>
    <t xml:space="preserve">EMS: Operations</t>
  </si>
  <si>
    <t xml:space="preserve">Off site class led by Casey McCoy from MCEMS. Class utilizing new pediatric transport system on stryker stretchers.</t>
  </si>
  <si>
    <t xml:space="preserve">EMS Operations: triage, mass casaulties, documentation &amp;amp; medical/legal</t>
  </si>
  <si>
    <t xml:space="preserve">MRI Safety Module</t>
  </si>
  <si>
    <t xml:space="preserve">MRI Safety module via Target Solutions</t>
  </si>
  <si>
    <t xml:space="preserve">Active Shooter training.
Lead outside instructor; Med Center EMS Casey McCoy</t>
  </si>
  <si>
    <t xml:space="preserve">Brady Emergency Care, 14th Ed., Ch. 31 Chest &amp; Abdominal Trauma, Brady Emergency Care, 14th Ed., Ch. 32 Musculoskeletal Trauma</t>
  </si>
  <si>
    <t xml:space="preserve">EMS Trauma - Stop the Bleed Review</t>
  </si>
  <si>
    <t xml:space="preserve">Review of stop the bleeding techniques.  Discussed items we carry to stop traumatic bleeding.  Reviewed processes for applying chest seals, packing wounds, and applying tourniquets.</t>
  </si>
  <si>
    <t xml:space="preserve">Brady Emergency Care, 14th Ed., Ch. 30 Soft-Tissue Trauma, Brady Emergency Care, 14th Ed., Ch. 31 Chest &amp; Abdominal Trauma, Brady Emergency Care, 14th Ed., Ch. 32 Musculoskeletal Trauma</t>
  </si>
  <si>
    <t xml:space="preserve">Respiratory Emergencies</t>
  </si>
  <si>
    <t xml:space="preserve">EMT class chapter 19.</t>
  </si>
  <si>
    <t xml:space="preserve">Patient Assessment</t>
  </si>
  <si>
    <t xml:space="preserve">Medical patient assessment. 
Take vitals</t>
  </si>
  <si>
    <t xml:space="preserve">EMS Pediatric Airway</t>
  </si>
  <si>
    <t xml:space="preserve">Air Methods taught class, E2 and BAT2 watched live on Lifesize.</t>
  </si>
  <si>
    <t xml:space="preserve">Brady Emergency Care, 14th Ed., Ch. 8 Life Span Development</t>
  </si>
  <si>
    <t xml:space="preserve">EMS Pediatric trauma</t>
  </si>
  <si>
    <t xml:space="preserve">Hands on glucometer training. Practiced how to test the glucometer each morning and how to use on a patient.</t>
  </si>
  <si>
    <t xml:space="preserve">Diabetic Emergencies</t>
  </si>
  <si>
    <t xml:space="preserve">EMT Class Chapter 14.</t>
  </si>
  <si>
    <t xml:space="preserve">Pediatric Head Trauma</t>
  </si>
  <si>
    <t xml:space="preserve">Provider Pediatric Abusive Head Trauma</t>
  </si>
  <si>
    <t xml:space="preserve">EMT- Trauma</t>
  </si>
  <si>
    <t xml:space="preserve">Watched a short video about using splints for leg fractures and used it as a shift into discussing when it is appropriate to use splints and immobilization devices on patients/ how to use them.</t>
  </si>
  <si>
    <t xml:space="preserve">EMS </t>
  </si>
  <si>
    <t xml:space="preserve">Practiced using the manual BP cuff.</t>
  </si>
  <si>
    <t xml:space="preserve">EMS TRAINING - Packaging/Stokes basket</t>
  </si>
  <si>
    <t xml:space="preserve">Training on packaging a patient in the stokes basket, diff lowering/lifting angles of the stokes, using T6's brackets for the stokes and the eyelets under the platform to lower/lift</t>
  </si>
  <si>
    <t xml:space="preserve">EMS- Glucometer</t>
  </si>
  <si>
    <t xml:space="preserve">Class with Medical Center EMS going over receiving a blood sample from self occluding IV catheter for getting a blood glucose level.</t>
  </si>
  <si>
    <t xml:space="preserve">EMS- Special Topics</t>
  </si>
  <si>
    <t xml:space="preserve">Class with Medical center EMS focused on patient packaging in stokes basket, patient loading and transport on new stretcher, pediatric patient security on new stretcher.</t>
  </si>
  <si>
    <t xml:space="preserve">Brady Emergency Care, 14th Ed., Ch. 3 Lifting &amp; Moving Patients</t>
  </si>
  <si>
    <t xml:space="preserve">Patient fell onto a T-post, patient care, remove pt from post</t>
  </si>
  <si>
    <t xml:space="preserve">Truck 4 crew discussed patient care when involved in a structural collapse. This included different types of injuries to expect in a patient, medications that can be administered, various treatments, and the appropriate steps to take during the event of a structural collapse.</t>
  </si>
  <si>
    <t xml:space="preserve">EMS - Airway Management</t>
  </si>
  <si>
    <t xml:space="preserve">The object was to place an advanced airway (Igel) into a patients mouth to capture the airway in the event of respiratory arrest.</t>
  </si>
  <si>
    <t xml:space="preserve">Brady Emergency Care, 14th Ed., Ch. 10 Respiration and Artificial Ventilation, Brady Emergency Care, 14th Ed., Ch. 21 Resuscitation, Brady Emergency Care, 14th Ed., Ch. 6 Anatomy &amp; Physiology, Brady Emergency Care, 14th Ed., Ch. 9 Airway Management</t>
  </si>
  <si>
    <t xml:space="preserve">EMS Cardiovascular </t>
  </si>
  <si>
    <t xml:space="preserve">Review of Heart and Lung anatomy and emergencies</t>
  </si>
  <si>
    <t xml:space="preserve">Air evac</t>
  </si>
  <si>
    <t xml:space="preserve">W0007-Emergency Aircraft Evacuation</t>
  </si>
  <si>
    <t xml:space="preserve">AirMed aircraft familiarization, Landing zone construction and considerations.</t>
  </si>
  <si>
    <t xml:space="preserve">ARFF: Emergency Aircraft Evacuation</t>
  </si>
  <si>
    <t xml:space="preserve">Firefighter Cameron Wallace discussed various potential complications for a patient in entrapment or entanglement, and what we can do as a patient advocate.</t>
  </si>
  <si>
    <t xml:space="preserve">Went over what type of trauma/injuries a patient may have from a collapse, entrapment, or entanglement and how we would treat them.</t>
  </si>
  <si>
    <t xml:space="preserve">Trauma Training</t>
  </si>
  <si>
    <t xml:space="preserve">Mass casualty and trauma training with police and EMS.</t>
  </si>
  <si>
    <t xml:space="preserve">EMS-Igel</t>
  </si>
  <si>
    <t xml:space="preserve">Proper installation and use of the I-gel.</t>
  </si>
  <si>
    <t xml:space="preserve">Station 6 crews went over Albuterol treatment for PTs</t>
  </si>
  <si>
    <t xml:space="preserve">EMS refresher </t>
  </si>
  <si>
    <t xml:space="preserve">EMS class put on by air methods covering air way and OB</t>
  </si>
  <si>
    <t xml:space="preserve">Brady Emergency Care, 14th Ed., Ch. 19 Respiratory Emergencies, Brady Emergency Care, 14th Ed., Ch. 36 OB and Gynecological Emergencies</t>
  </si>
  <si>
    <t xml:space="preserve">KBEMS Airway, KBEMS Medical</t>
  </si>
  <si>
    <t xml:space="preserve">Heart and Lung lab</t>
  </si>
  <si>
    <t xml:space="preserve">E6 went to the heart and lung lab lead bu Air Evac Instructor John Pardue</t>
  </si>
  <si>
    <t xml:space="preserve">Fire Fighter CPR</t>
  </si>
  <si>
    <t xml:space="preserve">E6 crew went over fire fighter CPR and what roles each member had and ran through the drill in real time.</t>
  </si>
  <si>
    <t xml:space="preserve">E6 went to Heart and Lung Lab lead by Air Evac Instructor John Pardue</t>
  </si>
  <si>
    <t xml:space="preserve">station 6 crews went over methods for fire fighter cpr</t>
  </si>
  <si>
    <t xml:space="preserve">EMS Cardiovascular  </t>
  </si>
  <si>
    <t xml:space="preserve">E6 crew went over all the tools/equipment in medical bag for cadiac PTS. E6 talked about actions we can take and medication we can assist with giving. E6 talked about the difference in hoe man and women present.</t>
  </si>
  <si>
    <t xml:space="preserve">E6 crew did two Fire Fighter CPR drills during search of the church</t>
  </si>
  <si>
    <t xml:space="preserve">CPR </t>
  </si>
  <si>
    <t xml:space="preserve">reviewed changed to AHA CPR protocols and took test.</t>
  </si>
  <si>
    <t xml:space="preserve">Blood-Born </t>
  </si>
  <si>
    <t xml:space="preserve">Assigned Class from Target solutions</t>
  </si>
  <si>
    <t xml:space="preserve">Station 6 crews went over Over dose SOPs and our responses and how and when ton use narcan and when to recheck after narcan</t>
  </si>
  <si>
    <t xml:space="preserve">Brady Emergency Care, 14th Ed., Ch. 25 Poisoning &amp; Overdose Emergencies</t>
  </si>
  <si>
    <t xml:space="preserve">Vector Solutions over new pulse ox.</t>
  </si>
  <si>
    <t xml:space="preserve">Baby Box</t>
  </si>
  <si>
    <t xml:space="preserve">Completed Baby ox class online</t>
  </si>
  <si>
    <t xml:space="preserve">EMS operations</t>
  </si>
  <si>
    <t xml:space="preserve">EMS class on target solutions on ambulance safety</t>
  </si>
  <si>
    <t xml:space="preserve">Target solutions class on reporting child abuse</t>
  </si>
  <si>
    <t xml:space="preserve">EMS OPS</t>
  </si>
  <si>
    <t xml:space="preserve">completed target solutions class on terrorisms place in first responders</t>
  </si>
  <si>
    <t xml:space="preserve">Blood-Borne  Pathogens </t>
  </si>
  <si>
    <t xml:space="preserve">Completed Blood Borne pathogens on target solutions</t>
  </si>
  <si>
    <t xml:space="preserve">MRI safety class </t>
  </si>
  <si>
    <t xml:space="preserve">watched target solutions class on MRI safety</t>
  </si>
  <si>
    <t xml:space="preserve">Baby Box Classes</t>
  </si>
  <si>
    <t xml:space="preserve">Completed Online annual baby box classes</t>
  </si>
  <si>
    <t xml:space="preserve">Pediatric  Abusive Head Trauma </t>
  </si>
  <si>
    <t xml:space="preserve">Target solutions/ Train ky Pedatric class</t>
  </si>
  <si>
    <t xml:space="preserve">Station 6 crews talked about the accident with entrapment from the previous shift. station 6 crews talked over the methods used to control the bleeding and getting PT out of vehicle.</t>
  </si>
  <si>
    <t xml:space="preserve">E6 and T6 went over the different styles of tourniquets we have on the apparatus and the different methods of applying.</t>
  </si>
  <si>
    <t xml:space="preserve">E6 went to EMS classbeing held by Medcenter for new EMTs.</t>
  </si>
  <si>
    <t xml:space="preserve">First Aid/ CPR </t>
  </si>
  <si>
    <t xml:space="preserve">Crews conducted CPR recertification training class.</t>
  </si>
  <si>
    <t xml:space="preserve">HIV/AIDS Education for EMS Providers. Taken through KBEMS on Train.org. Certificate of completion is attached.</t>
  </si>
  <si>
    <t xml:space="preserve">CAPCE Bloodborne Pathogens Safety (2189251)</t>
  </si>
  <si>
    <t xml:space="preserve">Brady Emergency Care, 14th Ed., Ch. 2 Well-Being of the EMT, Brady Emergency Care, 14th Ed., Ch. 24 Infectious Diseases &amp; Sepsis</t>
  </si>
  <si>
    <t xml:space="preserve">PAHT</t>
  </si>
  <si>
    <t xml:space="preserve">Pediatric Abusive Head Trauma online course provided by EMSC Kentucky. Taken through KBEMS on Train.org.</t>
  </si>
  <si>
    <t xml:space="preserve">Sexual Violence Awareness Training</t>
  </si>
  <si>
    <t xml:space="preserve">Sexual Violence Awareness Training. Training category selected per the 2026 SFRT Course Catalog P0019 - Sexual Assault Training. Completed through KBEMS on Train.org. Certificate of completion attached.</t>
  </si>
  <si>
    <t xml:space="preserve">P0019-PEPP</t>
  </si>
  <si>
    <t xml:space="preserve">EMS: PEPP</t>
  </si>
  <si>
    <t xml:space="preserve">EMS Training</t>
  </si>
  <si>
    <t xml:space="preserve">Went over the ways to address crush and other trauma injuries related to building collapse.</t>
  </si>
  <si>
    <t xml:space="preserve">Active Shooter Training</t>
  </si>
  <si>
    <t xml:space="preserve">Powerpoint Active Shooter Training</t>
  </si>
  <si>
    <t xml:space="preserve">Airway</t>
  </si>
  <si>
    <t xml:space="preserve">Hands on discussion of airway, respiratory, and low SPO2 level/oxy administration.</t>
  </si>
  <si>
    <t xml:space="preserve">Brady Emergency Care, 14th Ed., Ch. 10 Respiration and Artificial Ventilation, Brady Emergency Care, 14th Ed., Ch. 19 Respiratory Emergencies</t>
  </si>
  <si>
    <t xml:space="preserve">Crews reviewed and practiced airway techniques that included OPA's, NPA's, and the King Airway. With the coming switch from I-Gel to King Airway, crews had a refresher on this. Our crew then discussed the purpose of capnography and how to utilize it. Lastly, the crews reviewed how to assist with setting up the CPAP mask with EMS.</t>
  </si>
  <si>
    <t xml:space="preserve">Emergency Medical</t>
  </si>
  <si>
    <t xml:space="preserve">EMS training over the cardiovascular and pulmonary systems.</t>
  </si>
  <si>
    <t xml:space="preserve">EMS Blitz - Cardiac</t>
  </si>
  <si>
    <t xml:space="preserve">Crews discussed cardiac emergencies and reviewed powerpoints.
Casey McCoy
Medical Center EMS</t>
  </si>
  <si>
    <t xml:space="preserve">Cardiac</t>
  </si>
  <si>
    <t xml:space="preserve">Cardiac review of signs, symptoms, risk factors and types.</t>
  </si>
  <si>
    <t xml:space="preserve">Crew reviewed operations of a cardiac monitor and EKG placement. Crews also discussed shockable rhythms, when to place pads vs. electrodes, and limitations of an EKG.</t>
  </si>
  <si>
    <t xml:space="preserve">combinational training of assessing patients with pulmonary embolism &amp;amp; COPD. 
Uses of Capnography/capnometer and CPAP.</t>
  </si>
  <si>
    <t xml:space="preserve">Brady Emergency Care, 14th Ed., Ch. 12 Primary Assessment, Brady Emergency Care, 14th Ed., Ch. 14 Principles of Assessment, Brady Emergency Care, 14th Ed., Ch. 19 Respiratory Emergencies</t>
  </si>
  <si>
    <t xml:space="preserve">Air Methods taught class.</t>
  </si>
  <si>
    <t xml:space="preserve">EMS Blitz - Diabetic Emergencies</t>
  </si>
  <si>
    <t xml:space="preserve">Crews reviewed diabetic emergencies and later discussed these types of runs and patients. 
Casey McCoy 
Medical Center EMS</t>
  </si>
  <si>
    <t xml:space="preserve">EMS Blitz - Medical</t>
  </si>
  <si>
    <t xml:space="preserve">Crews reviewed many medical related topics including vital signs, anatomy of the adult and pediatrics, and pharmacology of drugs carried by BGFD. Also discussed how to assist EMS crews with setting up different treatments used by ALS providers.
Casey McCoy
Medical Center EMS</t>
  </si>
  <si>
    <t xml:space="preserve">Brady Emergency Care, 14th Ed., Ch. 13 Vital Signs &amp; Monitoring Devices, Brady Emergency Care, 14th Ed., Ch. 18 General Pharmacology, Brady Emergency Care, 14th Ed., Ch. 5 Medical Terminology, Brady Emergency Care, 14th Ed., Ch. 6 Anatomy &amp; Physiology</t>
  </si>
  <si>
    <t xml:space="preserve">Obstetrical Emergencies</t>
  </si>
  <si>
    <t xml:space="preserve">Reviewing Protocols and procedures for emergencies involving OB incidents.
Reviewed Normal Delivery procedures as well as Abnormal procedures</t>
  </si>
  <si>
    <t xml:space="preserve">Patient Packaging </t>
  </si>
  <si>
    <t xml:space="preserve">Crews reviewed patient packaging options carried on Rescue 1 for immobilization during special operation incidents. This included review and operating the Yates, halfback, KED, Stokes pasket, and SKED devices. Crews placed the devices on mock patients and reviewed how the KED could also be used for long bone immobilization.</t>
  </si>
  <si>
    <t xml:space="preserve">Crews reviewed how to assist EMS with setting up extension sets, IV drip sets, and spiking bags. We also discussed different types of fluid that could be given by EMS, how drugs would be administered via IV, and how setting up a drip set for IV has differences between setting up for IO. Crews also reviewed how to assist in administering an Epi-Pen and what situations would dictate its use.</t>
  </si>
  <si>
    <t xml:space="preserve">Brady Emergency Care, 14th Ed., Ch. 13 Vital Signs &amp; Monitoring Devices, Brady Emergency Care, 14th Ed., Ch. 18 General Pharmacology</t>
  </si>
  <si>
    <t xml:space="preserve">Abdominal Trauma</t>
  </si>
  <si>
    <t xml:space="preserve">Management and patient assessment regarding abdominal trauma</t>
  </si>
  <si>
    <t xml:space="preserve">Crew reviewed stabilization options SAM splints and the traction device in the wilderness bag. Review of the differences and uses for different types of gauze and stretch bandages. The KED was also reviewed.</t>
  </si>
  <si>
    <t xml:space="preserve">EMS Refresher Hours</t>
  </si>
  <si>
    <t xml:space="preserve">Reviewed course material and practiced establishing airway and bagging patients.</t>
  </si>
  <si>
    <t xml:space="preserve">Bloodborn Pathagen</t>
  </si>
  <si>
    <t xml:space="preserve">Target Solutions</t>
  </si>
  <si>
    <t xml:space="preserve">Reviewed Course material related to birth and neonatal emergencies.</t>
  </si>
  <si>
    <t xml:space="preserve">Diabetic Emergencies </t>
  </si>
  <si>
    <t xml:space="preserve">Respiratory Emergencies </t>
  </si>
  <si>
    <t xml:space="preserve">Continuing education on respiratory emergencies and other medical</t>
  </si>
  <si>
    <t xml:space="preserve">Blood Born Pathogens</t>
  </si>
  <si>
    <t xml:space="preserve">Target Solutions Blood Born Pathogens</t>
  </si>
  <si>
    <t xml:space="preserve">Target Solutions Pulse OX</t>
  </si>
  <si>
    <t xml:space="preserve">RAD-57 PulseOx target solutions training and hands on with equipment</t>
  </si>
  <si>
    <t xml:space="preserve">Reviewed course material and walked through dealing with a trauma patient resulting from crush injuries.</t>
  </si>
  <si>
    <t xml:space="preserve">Multi-Agency Active Shooter training. Multiple evolutions were conducted of an active shooter scenario where personnel were faced with a MCI. Personnel were able to become more familiar with the actions that needed to be taken when assessing multiple patients and transferring them to a casualty collection point, as well as becoming more confident with radio traffic and the resources that are needed.
Casey McCoy was the lead instructor for this training.</t>
  </si>
  <si>
    <t xml:space="preserve">E4 and T4 attended an online class discussing EMS Airway management with an outside instructor. (Casey McCoy)</t>
  </si>
  <si>
    <t xml:space="preserve">KBEMS Airway, KBEMS EMT Elective Hours</t>
  </si>
  <si>
    <t xml:space="preserve">Advanced Airways</t>
  </si>
  <si>
    <t xml:space="preserve">Reviewed advanced airway insertion, I-Gel, nasopharyngeal, and oropharyngeal airways.</t>
  </si>
  <si>
    <t xml:space="preserve">Crews discussed and demonstrated the process of removing a downed firefighter and performing firefighter CPR, During the drill, crews also performed MAYDAY calls using their radio. Once these drills concluded,our crew discussed increased cardiovascular risks to our profession.</t>
  </si>
  <si>
    <t xml:space="preserve">Cardiac Arrest Management </t>
  </si>
  <si>
    <t xml:space="preserve">Crew reviewed and completed CEU over cardiac emergencies utilizing lesson plans from MCEMS</t>
  </si>
  <si>
    <t xml:space="preserve">Assessment and Vitals</t>
  </si>
  <si>
    <t xml:space="preserve">Engine 3 practiced taking vitals and assessments for medical calls.</t>
  </si>
  <si>
    <t xml:space="preserve">Brady Emergency Care, 14th Ed., Ch. 14 Principles of Assessment, Brady Emergency Care, 14th Ed., Ch. 15 Secondary Assessment</t>
  </si>
  <si>
    <t xml:space="preserve">Crew reviewed procedures for assessing and treating heat related emergencies like heat exhaustion and heat stroke. We then reviewed cooling techniques using the TACO method and performed simulated osculating water and ice submersion.</t>
  </si>
  <si>
    <t xml:space="preserve">EMS station on Industrial Drive - Review of everything on the ambulance, how tos and where to locate stuff on each.</t>
  </si>
  <si>
    <t xml:space="preserve">Trauma EMS</t>
  </si>
  <si>
    <t xml:space="preserve">Practiced treating patients involved in a structural collapse with multi-system trauma.</t>
  </si>
  <si>
    <t xml:space="preserve">Diagnostic LTD Co Detector </t>
  </si>
  <si>
    <t xml:space="preserve">Station 2 crew went over the Diagnostic LTD and how to properly utilize it.</t>
  </si>
  <si>
    <t xml:space="preserve">EMT Blitz</t>
  </si>
  <si>
    <t xml:space="preserve">Station 2 set in the EMT Blitz virtual class covering:
Respiratory Emergencies 
Cardiac Emergencies 
Diabetic Emergencies 
Other EMT Emergency Medical Services</t>
  </si>
  <si>
    <t xml:space="preserve">Brady Emergency Care, 14th Ed., Ch. 1 Intro to Emergency Medical Services, Brady Emergency Care, 14th Ed., Ch. 10 Respiration and Artificial Ventilation, Brady Emergency Care, 14th Ed., Ch. 20 Cardiac Emergencies, Brady Emergency Care, 14th Ed., Ch. 22 Diabetic Emergencies and Altered Mental Status</t>
  </si>
  <si>
    <t xml:space="preserve">KBEMS Airway, KBEMS Cardiovascular, KBEMS EMT Elective Hours, KBEMS Medical</t>
  </si>
  <si>
    <t xml:space="preserve">Airways/ Narcan</t>
  </si>
  <si>
    <t xml:space="preserve">Went over different airway devices and hoe to use them as well as the use of narcan how and why.</t>
  </si>
  <si>
    <t xml:space="preserve">EMT Trauma</t>
  </si>
  <si>
    <t xml:space="preserve">Engine 2 participated in training dealing with trauma injuries as a result of structural collapse.</t>
  </si>
  <si>
    <t xml:space="preserve">EMS Refresher - Airway</t>
  </si>
  <si>
    <t xml:space="preserve">Station 1 crews attended the EMT refresher class going over the airway.</t>
  </si>
  <si>
    <t xml:space="preserve">crew took part in state fire ems class reviewing airway</t>
  </si>
  <si>
    <t xml:space="preserve">EMS - CPR Recert </t>
  </si>
  <si>
    <t xml:space="preserve">Crews conducted CPR recertification class.</t>
  </si>
  <si>
    <t xml:space="preserve">EMS -  Cardiovasicular</t>
  </si>
  <si>
    <t xml:space="preserve">EMS class put on by airevac flight medic over cardiovascular.  Instructor had a cow lung and heart and we were able to visually see heart chambers.</t>
  </si>
  <si>
    <t xml:space="preserve">EMS Refresher - OB </t>
  </si>
  <si>
    <t xml:space="preserve">Station 1 crews attended the EMS refresher class going over OB emergencies.</t>
  </si>
  <si>
    <t xml:space="preserve">Pediatric head trauma</t>
  </si>
  <si>
    <t xml:space="preserve">Pediatric head trauma presentation</t>
  </si>
  <si>
    <t xml:space="preserve">EMS Quickdrill</t>
  </si>
  <si>
    <t xml:space="preserve">EMS Drill discussing medical bag equipment.  Discussion and overview of Mass Casuality and Tech Rescue EMS go bag.</t>
  </si>
  <si>
    <t xml:space="preserve">EMS - Trauma</t>
  </si>
  <si>
    <t xml:space="preserve">EMS Training at PSTC EMT Class w/ Casey McCoy Instructing on Stop the Bleed (Trauma).</t>
  </si>
  <si>
    <t xml:space="preserve">EMS training at admin building (Heart &amp;amp; Lungs)</t>
  </si>
  <si>
    <t xml:space="preserve">EMS Cardiovascular</t>
  </si>
  <si>
    <t xml:space="preserve">Annual Bloodborne Pathogens training coarse.</t>
  </si>
  <si>
    <t xml:space="preserve">Safe Haven Baby Box Training</t>
  </si>
  <si>
    <t xml:space="preserve">Online Safe Haven Baby Box training.</t>
  </si>
  <si>
    <t xml:space="preserve">Crews conducted extrication cribbing and lifting techniques considering patient positioning and injuries. Crews also discussed treatment and considerations for crush injuries and compartment syndrome</t>
  </si>
  <si>
    <t xml:space="preserve">Active Shooter Target Solutions training.</t>
  </si>
  <si>
    <t xml:space="preserve">EMS Training - C-Collar</t>
  </si>
  <si>
    <t xml:space="preserve">Reviewed procedures for immobilizing patient using a C-Collar.</t>
  </si>
  <si>
    <t xml:space="preserve">We went over potential trauma a patient could endure in the event of a building collapse and how to treat it.</t>
  </si>
  <si>
    <t xml:space="preserve">save em Saturday</t>
  </si>
  <si>
    <t xml:space="preserve">We watched instructional video and demonstrated I-gel insertion.</t>
  </si>
  <si>
    <t xml:space="preserve">EMS continuing Ed</t>
  </si>
  <si>
    <t xml:space="preserve">Airway Management, Respiration and Artificial Ventilation</t>
  </si>
  <si>
    <t xml:space="preserve">Brady Emergency Care, 14th Ed., Ch. 10 Respiration and Artificial Ventilation, Brady Emergency Care, 14th Ed., Ch. 21 Resuscitation, Brady Emergency Care, 14th Ed., Ch. 9 Airway Management</t>
  </si>
  <si>
    <t xml:space="preserve">Firefighter CPR </t>
  </si>
  <si>
    <t xml:space="preserve">Air Evac EMS</t>
  </si>
  <si>
    <t xml:space="preserve">Air evac ems class. Respiratory and heart anatomy using pig lungs and a steer heart.</t>
  </si>
  <si>
    <t xml:space="preserve">HIV/AIDS refresher</t>
  </si>
  <si>
    <t xml:space="preserve">Heat related emergencies </t>
  </si>
  <si>
    <t xml:space="preserve">heat related emergencies</t>
  </si>
  <si>
    <t xml:space="preserve">EMS Emergency Operations</t>
  </si>
  <si>
    <t xml:space="preserve">EMS Operations-MRI video</t>
  </si>
  <si>
    <t xml:space="preserve">Bloodborne pathogens class</t>
  </si>
  <si>
    <t xml:space="preserve">Rad 57 online training</t>
  </si>
  <si>
    <t xml:space="preserve">Trauma training</t>
  </si>
  <si>
    <t xml:space="preserve">Pediatric head trauma  </t>
  </si>
  <si>
    <t xml:space="preserve">Pediatric head trauma cert needed</t>
  </si>
  <si>
    <t xml:space="preserve">Patient assessment and skills</t>
  </si>
  <si>
    <t xml:space="preserve">review of patient assessment focusing on obtaining baseline vitals and recording observations</t>
  </si>
  <si>
    <t xml:space="preserve">Rad 57 new equipment familiarization.  Review of Rad57 SpO2, Co and other metrics and measurements.</t>
  </si>
  <si>
    <t xml:space="preserve">EMS- Trauma</t>
  </si>
  <si>
    <t xml:space="preserve">Crew went over the medical procedures for trauma patients in a structure collapse and techniques for
addressing crush injuries and other traumas associated with crush and building collapse injuries.</t>
  </si>
  <si>
    <t xml:space="preserve">Blood Borne Pathogens </t>
  </si>
  <si>
    <t xml:space="preserve">Reviewed course material and completed online class focusing on Blood Borne Pathogens and city policies regarding exposures.</t>
  </si>
  <si>
    <t xml:space="preserve">CAPCE Pt With Special Needs</t>
  </si>
  <si>
    <t xml:space="preserve">Reviewed course material and worked on treating patients with special needs.</t>
  </si>
  <si>
    <t xml:space="preserve">Reviewed information on and completed Vector Solution on the new Pulse Ox.</t>
  </si>
  <si>
    <t xml:space="preserve">capce acute coronary syndromes</t>
  </si>
  <si>
    <t xml:space="preserve">Online training of acute cardiac syndrome</t>
  </si>
  <si>
    <t xml:space="preserve">capce bloodborne pathogen</t>
  </si>
  <si>
    <t xml:space="preserve">capce bloodborne pathoge online course</t>
  </si>
  <si>
    <t xml:space="preserve">Brady Emergency Care, 14th Ed., Ch. 38 EMS Operations, EMS: Electives, EMS: HIV/AIDS</t>
  </si>
  <si>
    <t xml:space="preserve">airborne pathogen hazards</t>
  </si>
  <si>
    <t xml:space="preserve">Airborne pathogen hazards</t>
  </si>
  <si>
    <t xml:space="preserve">bloodborne pathogen</t>
  </si>
  <si>
    <t xml:space="preserve">bloodborne pathogen review</t>
  </si>
  <si>
    <t xml:space="preserve">MRI safety training on target solutions</t>
  </si>
  <si>
    <t xml:space="preserve">active shooter</t>
  </si>
  <si>
    <t xml:space="preserve">active shooter powerpoint</t>
  </si>
  <si>
    <t xml:space="preserve">E2 crew watched video and discussed proper use of new pulseox device</t>
  </si>
  <si>
    <t xml:space="preserve">bloodborne pathogens </t>
  </si>
  <si>
    <t xml:space="preserve">Bloodborne Pathogens course on target solutions</t>
  </si>
  <si>
    <t xml:space="preserve">BP by palpation </t>
  </si>
  <si>
    <t xml:space="preserve">Our crew focused on taking a blood pressure using palpations as an alternative method when auscultation is difficult. We reviewed situations where this technique is useful, such as when the patient is talking, moving excessively, or when background noise makes it hard to hear the pulse with a stethoscope. The training covered proper hand placement, inflating the cuff, and identifying the systolic pressure by palpating the radial pulse as the cuff is slowly released. We emphasized the importance of accuracy, maintaining patient communication, and documenting that the reading was taken by palpation. This training provided us with a reliable skill for obtaining blood pressure readings in challenging environments and reinforced our ability to adapt during patient care.</t>
  </si>
  <si>
    <t xml:space="preserve">Med Bag/ patient care refresher </t>
  </si>
  <si>
    <t xml:space="preserve">During this training, we conducted a comprehensive review of our medical operations and equipment. We began by going over the contents of our medical bags, emphasizing the importance of knowing where each item is located and maintaining organization for quick access during emergencies.
We then discussed Narcan administration and overdose patient care, covering assessment, establishing an airway, and the proper use of a bag-valve mask (BVM). We reviewed the I-Gel airway device and demonstrated correct application techniques. Pediatric considerations were addressed through a discussion and hands-on practice with the pediatric BVM.
We also discussed methods for safely moving heavy patients, including proper lifting techniques and the use of available equipment to reduce risk of injury. We reviewed diabetic emergencies, albuterol treatments for respiratory distress, and how to properly administer and monitor these interventions.
Additionally, we covered cervical collars, including when they should be applied, correct sizing, and step-by-step placement to ensure spinal stabilization. We also reviewed the Automated External Defibrillator (AED) discussing when it should be applied, proper pad placement, and safety precautions during shock administration
Finally, we discussed oxygen delivery methods, including nasal cannulas, oxy masks, and BVMs, reviewing the appropriate oxygen saturation levels and flow rates for each type of device.
Overall, our training reinforced our crewâ€™s understanding of patient care fundamentals, AED and airway management, and equipment proficiency to ensure effective, efficient, and safe response to medical emergencies.</t>
  </si>
  <si>
    <t xml:space="preserve">Brady Emergency Care, 14th Ed., Ch. 10 Respiration and Artificial Ventilation, Brady Emergency Care, 14th Ed., Ch. 12 Primary Assessment, Brady Emergency Care, 14th Ed., Ch. 19 Respiratory Emergencies, Brady Emergency Care, 14th Ed., Ch. 20 Cardiac Emergencies, Brady Emergency Care, 14th Ed., Ch. 21 Resuscitation, Brady Emergency Care, 14th Ed., Ch. 22 Diabetic Emergencies and Altered Mental Status, Brady Emergency Care, 14th Ed., Ch. 25 Poisoning &amp; Overdose Emergencies, Brady Emergency Care, 14th Ed., Ch. 3 Lifting &amp; Moving Patients, Brady Emergency Care, 14th Ed., Ch. 33 Trauma to the Head, Neck, and Spine, Brady Emergency Care, 14th Ed., Ch. 9 Airway Management</t>
  </si>
  <si>
    <t xml:space="preserve">Went over diabetic emergencies and using glucometer.</t>
  </si>
  <si>
    <t xml:space="preserve">Talked about patient care during structural collapse. Which included different types of injuries, medications, treatments and which steps to take during these types of events.</t>
  </si>
  <si>
    <t xml:space="preserve">Brady Emergency Care, 14th Ed., Ch. 32 Musculoskeletal Trauma, Brady Emergency Care, 14th Ed., Ch. 34 Multisystem Trauma</t>
  </si>
  <si>
    <t xml:space="preserve">Cardiac Interventions</t>
  </si>
  <si>
    <t xml:space="preserve">E3 crew reviewed cardiac emergency symptoms and initial interventions.  The focus on contraindications, proper medicine protocols and aspirin administration along with proper patient assessment were the objectives.</t>
  </si>
  <si>
    <t xml:space="preserve">CPR Recertification</t>
  </si>
  <si>
    <t xml:space="preserve">CPR Recertification class</t>
  </si>
  <si>
    <t xml:space="preserve">Online course on vector solutions</t>
  </si>
  <si>
    <t xml:space="preserve">Geriatric and Special needs</t>
  </si>
  <si>
    <t xml:space="preserve">II0002-Response to Special Needs Population</t>
  </si>
  <si>
    <t xml:space="preserve">EMT refresher-Medical Center EMS</t>
  </si>
  <si>
    <t xml:space="preserve">EMS Refresher - Pharmacology</t>
  </si>
  <si>
    <t xml:space="preserve">R1 attended the EMT class at PSTC during their pharmacology portion.</t>
  </si>
  <si>
    <t xml:space="preserve">Crews from Engine 4 and Truck 4 went over the operation of the new Spo2 monitor that we have in our Med bag.</t>
  </si>
  <si>
    <t xml:space="preserve">Pediatric  Abusive Head Trauma</t>
  </si>
  <si>
    <t xml:space="preserve">Online course through Train.org</t>
  </si>
  <si>
    <t xml:space="preserve">Crews utilized an airway training prop from SFRT to practice iGel, King Airway, NPA, and OPA placement. Crews also discussed and reviewed CPAP operations</t>
  </si>
  <si>
    <t xml:space="preserve">Brady Emergency Care, 14th Ed., Ch. 10 Respiration and Artificial Ventilation, Brady Emergency Care, 14th Ed., Ch. 9 Airway Management</t>
  </si>
  <si>
    <t xml:space="preserve">Crews reviewed the use of a LifePack cardiac monitor, lead placements, and anatomy of the heart.</t>
  </si>
  <si>
    <t xml:space="preserve">MRI Vector Solution Training</t>
  </si>
  <si>
    <t xml:space="preserve">Crews discussed and practiced administration of albuterol, epi-pen, and suctioning.</t>
  </si>
  <si>
    <t xml:space="preserve">Brady Emergency Care, 14th Ed., Ch. 12 Primary Assessment, Brady Emergency Care, 14th Ed., Ch. 25 Poisoning &amp; Overdose Emergencies</t>
  </si>
  <si>
    <t xml:space="preserve">EMT Class provided by Medical center EMS. Instructors Casey McCoy and stephen Parrott</t>
  </si>
  <si>
    <t xml:space="preserve">BGFD EMT Class: lecture on anatomy and physiology</t>
  </si>
  <si>
    <t xml:space="preserve">EMS - Operations</t>
  </si>
  <si>
    <t xml:space="preserve">Target Solutions: MRI Safety
Approved by DC Morris via MCEMS</t>
  </si>
  <si>
    <t xml:space="preserve">CAPCE Bloodborne pathogens 
Vector solutions assignment</t>
  </si>
  <si>
    <t xml:space="preserve">EMT class. Chapter 21 Resuscitation</t>
  </si>
  <si>
    <t xml:space="preserve">EMT-Blitz-Med Center EMS-Respiratory</t>
  </si>
  <si>
    <t xml:space="preserve">EMT-Blitz-Med Center EMS-Cardiac</t>
  </si>
  <si>
    <t xml:space="preserve">EMT - Cardio</t>
  </si>
  <si>
    <t xml:space="preserve">EMT class on cardio put on by Med. Center EMS - Casey</t>
  </si>
  <si>
    <t xml:space="preserve">EMT class Chapters 22, 23, 24</t>
  </si>
  <si>
    <t xml:space="preserve">Brady Emergency Care, 14th Ed., Ch. 22 Diabetic Emergencies and Altered Mental Status, Brady Emergency Care, 14th Ed., Ch. 23 Allergic Reaction, Brady Emergency Care, 14th Ed., Ch. 24 Infectious Diseases &amp; Sepsis</t>
  </si>
  <si>
    <t xml:space="preserve">EMT-Blitz-Med Center- diabetes/medical</t>
  </si>
  <si>
    <t xml:space="preserve">At-Risk Populations put on by Medical Center EMS staff.</t>
  </si>
  <si>
    <t xml:space="preserve">EMT - Operations</t>
  </si>
  <si>
    <t xml:space="preserve">EMT class at the training center put on by Med. Center EMS - Casey</t>
  </si>
  <si>
    <t xml:space="preserve">EMT - PAHT </t>
  </si>
  <si>
    <t xml:space="preserve">Pediatric Abusive Head Trauma via Train.org</t>
  </si>
  <si>
    <t xml:space="preserve">Medical Mag  Review</t>
  </si>
  <si>
    <t xml:space="preserve">Review medical bag contents and its content locations.</t>
  </si>
  <si>
    <t xml:space="preserve">Glucometer</t>
  </si>
  <si>
    <t xml:space="preserve">Trained on new glucometer. Use, calibration and when to use.</t>
  </si>
  <si>
    <t xml:space="preserve">Masimo Rad-57 training on Target Solutions</t>
  </si>
  <si>
    <t xml:space="preserve">Pulse ox training</t>
  </si>
  <si>
    <t xml:space="preserve">CAPCE Pediatric Airway</t>
  </si>
  <si>
    <t xml:space="preserve">EMS - online class</t>
  </si>
  <si>
    <t xml:space="preserve">Two hour EMS class online via Zoom- cardiovascular - put on by the Ky Fire commission
Instructor - Dinah Chapman</t>
  </si>
  <si>
    <t xml:space="preserve">P0023-Cardiovascular      -</t>
  </si>
  <si>
    <t xml:space="preserve">Acute Coronary Syndrome</t>
  </si>
  <si>
    <t xml:space="preserve">CAPCE Acute Coronary Syndromes (655151)</t>
  </si>
  <si>
    <t xml:space="preserve">AIDS</t>
  </si>
  <si>
    <t xml:space="preserve">HIV/AIDS Class</t>
  </si>
  <si>
    <t xml:space="preserve">EMS: HIV/AIDS, EMS: Pediatric Abusive Head Trauma</t>
  </si>
  <si>
    <t xml:space="preserve">Glucometer training</t>
  </si>
  <si>
    <t xml:space="preserve">Medical Heat Emergencies</t>
  </si>
  <si>
    <t xml:space="preserve">Online Vector Solutions</t>
  </si>
  <si>
    <t xml:space="preserve">CAPCE Injuries and Infections of the Eye (86533)</t>
  </si>
  <si>
    <t xml:space="preserve">Went over the operation of the new Pulse Oximeter and then reviewed operational video as well</t>
  </si>
  <si>
    <t xml:space="preserve">Pediatric Head Trauma Abuse</t>
  </si>
  <si>
    <t xml:space="preserve">Class at Acquired structure on Chestnut discussing ems related issues tied to a structural collapse. Discussed handling compartment and crush syndrome</t>
  </si>
  <si>
    <t xml:space="preserve">Trauma-Secondary Assessment</t>
  </si>
  <si>
    <t xml:space="preserve">CAPCE Secondary Assessment Trauma</t>
  </si>
  <si>
    <t xml:space="preserve">CAPCE Mechanics of Breathing </t>
  </si>
  <si>
    <t xml:space="preserve">CAPCE Mechanics of Breathing on Target Solutions</t>
  </si>
  <si>
    <t xml:space="preserve">Brady Emergency Care, 14th Ed., Ch. 10 Respiration and Artificial Ventilation, Brady Emergency Care, 14th Ed., Ch. 6 Anatomy &amp; Physiology, Brady Emergency Care, 14th Ed., Ch. 9 Airway Management</t>
  </si>
  <si>
    <t xml:space="preserve">Target Solutions city presentation video and quiz</t>
  </si>
  <si>
    <t xml:space="preserve">Target Solutions mri safety video</t>
  </si>
  <si>
    <t xml:space="preserve">Glucose Monitor</t>
  </si>
  <si>
    <t xml:space="preserve">Went through the process of calibrating the glucometer and checking a patient's glucose level.</t>
  </si>
  <si>
    <t xml:space="preserve">EMS Airway Management and Inverventions</t>
  </si>
  <si>
    <t xml:space="preserve">A review of airway managment interventions, their indications, contrainndicators, proper selection/sizing and method of insertions was conducted with E3 Crew.</t>
  </si>
  <si>
    <t xml:space="preserve">EMS CAPCE Airway</t>
  </si>
  <si>
    <t xml:space="preserve">Engine 3's crew completed the Jones &amp;amp; Bartlett CAPCE Ventilation course. We then completed the post course test together. This is in accordance to the lesson plans provided by Medical Center EMS.</t>
  </si>
  <si>
    <t xml:space="preserve">CAPCE online course over acute coronary syndrome</t>
  </si>
  <si>
    <t xml:space="preserve">CAPCE Course on vector solutions: Managing Cardiac Arrests During and After Resuscitation</t>
  </si>
  <si>
    <t xml:space="preserve">KYBEMS HIV AIDS</t>
  </si>
  <si>
    <t xml:space="preserve">KBEMS HIV Aids certification on train.org</t>
  </si>
  <si>
    <t xml:space="preserve">CAPCE online class over bloodborne pathogens safety</t>
  </si>
  <si>
    <t xml:space="preserve">CAPCE training on Carbon Monoxide poisoning</t>
  </si>
  <si>
    <t xml:space="preserve">EMS Geriatric At Risk Patients</t>
  </si>
  <si>
    <t xml:space="preserve">CAPCE ems training on geriatrics patients as an at risk population on vector solutions</t>
  </si>
  <si>
    <t xml:space="preserve">Train.org class on KBEMS for sexual violence and awareness</t>
  </si>
  <si>
    <t xml:space="preserve">Capce Assessing Patient with Major Trauma</t>
  </si>
  <si>
    <t xml:space="preserve">CAPCE course on assessing patients with major trauma online class</t>
  </si>
  <si>
    <t xml:space="preserve">Respiratory Emergencies Basic</t>
  </si>
  <si>
    <t xml:space="preserve">Vector solutions respiratory emergencies basic</t>
  </si>
  <si>
    <t xml:space="preserve">Target solutions Mechanics of breathing</t>
  </si>
  <si>
    <t xml:space="preserve">CAPCE Operating an AED</t>
  </si>
  <si>
    <t xml:space="preserve">Vector solutions CAPCE operating an AED</t>
  </si>
  <si>
    <t xml:space="preserve">EMS Carbon Monoxide Poisoning</t>
  </si>
  <si>
    <t xml:space="preserve">EMS Carbon Monoxide Poisoning target solutions</t>
  </si>
  <si>
    <t xml:space="preserve">EMS -  Pediatrics</t>
  </si>
  <si>
    <t xml:space="preserve">Went over safe haven box operations and procedures</t>
  </si>
  <si>
    <t xml:space="preserve">Pediatric trauma </t>
  </si>
  <si>
    <t xml:space="preserve">Pediatric Trauma and pediatric respiratory emergencies taught by Sarah Hanna from air methods</t>
  </si>
  <si>
    <t xml:space="preserve">Brady Emergency Care, 14th Ed., Ch. 37 Emergencies for Patients with Special Challenges, Brady Emergency Care, 14th Ed., Ch. 8 Life Span Development</t>
  </si>
  <si>
    <t xml:space="preserve">RAD-57 PulseOx Training</t>
  </si>
  <si>
    <t xml:space="preserve">Bloodborne pathogens </t>
  </si>
  <si>
    <t xml:space="preserve">Bloodborne pathogens online class CAPCE</t>
  </si>
  <si>
    <t xml:space="preserve">Train.org recert</t>
  </si>
  <si>
    <t xml:space="preserve">Sexual violence awareness</t>
  </si>
  <si>
    <t xml:space="preserve">KBEMS sexual violence awareness class</t>
  </si>
  <si>
    <t xml:space="preserve">P0024-Electives</t>
  </si>
  <si>
    <t xml:space="preserve">Crush injuries</t>
  </si>
  <si>
    <t xml:space="preserve">Cardiac Issues</t>
  </si>
  <si>
    <t xml:space="preserve">discussed cardiac emergencies and also went over assisting EMS with setting up 12 lead</t>
  </si>
  <si>
    <t xml:space="preserve">KBEMS HIV/ AIDS Education</t>
  </si>
  <si>
    <t xml:space="preserve">HIV/ AIDS Education for EMS Providers</t>
  </si>
  <si>
    <t xml:space="preserve">Station 4 crew complected target solutions class Bloodborne Pathogens</t>
  </si>
  <si>
    <t xml:space="preserve">Brady Emergency Care, 14th Ed., Ch. 2 Well-Being of the EMT</t>
  </si>
  <si>
    <t xml:space="preserve">Neonatal- Medical </t>
  </si>
  <si>
    <t xml:space="preserve">Baby box use and proper care</t>
  </si>
  <si>
    <t xml:space="preserve">EMS Glucometer Training </t>
  </si>
  <si>
    <t xml:space="preserve">Glucometer hands on training.</t>
  </si>
  <si>
    <t xml:space="preserve">Class reviewed allergic reaction signs and symptoms, medications EMT-B are allowed to administer, and infectious diseases signs and symptoms.</t>
  </si>
  <si>
    <t xml:space="preserve">Brady Emergency Care, 14th Ed., Ch. 23 Allergic Reaction, Brady Emergency Care, 14th Ed., Ch. 24 Infectious Diseases &amp; Sepsis</t>
  </si>
  <si>
    <t xml:space="preserve">Engine 4 and Truck 4 crews completed the new Vector Solutions class on the new pulse ox</t>
  </si>
  <si>
    <t xml:space="preserve">CAPCE Opioid and Naloxone Administration</t>
  </si>
  <si>
    <t xml:space="preserve">Capce Emergency Response to Terrorism - Module 1</t>
  </si>
  <si>
    <t xml:space="preserve">EMS- Pediatric Abusive Head Trauma</t>
  </si>
  <si>
    <t xml:space="preserve">Recurring education for PAHT</t>
  </si>
  <si>
    <t xml:space="preserve">Vector Solutions on Ems Carbon Monoxide Poisoning</t>
  </si>
  <si>
    <t xml:space="preserve">CAPCE Supplemental Oxygen</t>
  </si>
  <si>
    <t xml:space="preserve">Managing Cardiac Arrest</t>
  </si>
  <si>
    <t xml:space="preserve">Did the CAPCE online managing cardiac arrest on Vector Solutions</t>
  </si>
  <si>
    <t xml:space="preserve">Capce Acute Coronary Syndrome</t>
  </si>
  <si>
    <t xml:space="preserve">HIV/AIDS course through train.org</t>
  </si>
  <si>
    <t xml:space="preserve">Safe Haven Baby Box</t>
  </si>
  <si>
    <t xml:space="preserve">Safe haven baby box online training videos</t>
  </si>
  <si>
    <t xml:space="preserve">Online course on train.org for recertification.</t>
  </si>
  <si>
    <t xml:space="preserve">CAPCE Opioid Overdose &amp; Naloxone Administration </t>
  </si>
  <si>
    <t xml:space="preserve">Vector Solutions online class for Opioid overdoses.</t>
  </si>
  <si>
    <t xml:space="preserve">B0003-Response to Opioid Emergencies</t>
  </si>
  <si>
    <t xml:space="preserve">Did the assigned Bloodborne Pathogens Capce on Vector Solutions</t>
  </si>
  <si>
    <t xml:space="preserve">CAPCE Injuries and Infections of the Eye</t>
  </si>
  <si>
    <t xml:space="preserve">Vector solutions for first responders and MRI safety in while responding to hospital MRI rooms.</t>
  </si>
  <si>
    <t xml:space="preserve">Online course on train.org</t>
  </si>
  <si>
    <t xml:space="preserve">CAPCE Assessing the patient with major trauma</t>
  </si>
  <si>
    <t xml:space="preserve">Completed the online course on Vector Solutions</t>
  </si>
  <si>
    <t xml:space="preserve">Capce Detailed Physical Examination.</t>
  </si>
  <si>
    <t xml:space="preserve">Airway Adjuncts, I-Gels, and BVM's</t>
  </si>
  <si>
    <t xml:space="preserve">Crews demonstrated and practiced inserting OPA's, NPA's, and I-Gels. Crews also discussed proper BVM mechanics and PEEP valve settings.</t>
  </si>
  <si>
    <t xml:space="preserve">CAPCE Pediatric Respiratory Emergencies: Upper and Lower Airway for the First Responder (1318498)
Course Overview and Objectives
Pediatric Respiratory Emergencies and Cardiac Arrest
Upper Respiratory Emergencies
Lower Airway Respiratory Emergencies
Common Medical Causes of Lower Airway Emergencies
Uncommon Medical Causes</t>
  </si>
  <si>
    <t xml:space="preserve">CAPCE Supplemental Oxygen (91052)
This course provides an overview of supplemental oxygen delivery in EMS. It covers the physiology of cellular respiration, identifying airway problems, determining the appropriate concentration of oxygen to provide patients, identifying types of oxygen cylinders and pressure regulators, and understanding the safety considerations for storage and use. Additionally, it describes the advantages, disadvantages, complications, and concentration of delivered oxygen for various supplemental oxygen delivery devices and covers special considerations for delivering oxygen to pediatric patients, patients with stomas, facial trauma, or dental appliances. Click here for a transcript of this course.</t>
  </si>
  <si>
    <t xml:space="preserve">Cardiac Monitor Operations</t>
  </si>
  <si>
    <t xml:space="preserve">Crews reviewed operating a cardiac monitor, placement for 3-Lead and 12-Lead's, and the different functions available for the monitor. This includes capnography, pulse oximetery, blood pressure, and placement of AED pads.</t>
  </si>
  <si>
    <t xml:space="preserve">CAPCE Acute Coronary Syndromes (655151)
Acute Coronary Syndromes encompass a range of cardiovascular diseases and conditions that can affect patients of various ages and health statuses. This interactive online course is designed to equip healthcare professionals with a comprehensive understanding of this critical condition, which is a leading cause of death in the United States. This course delves into the prevalence of ACS in the U.S., risk factors, pathophysiology, and classic signs and symptoms, while also addressing potential mimics. Moreover, it covers the interpretation of 12-lead ECGs for triage, evidence-based treatment strategies, and best practices for patient transport and hospital selection.</t>
  </si>
  <si>
    <t xml:space="preserve">Medical Interventions</t>
  </si>
  <si>
    <t xml:space="preserve">Crews practiced assisting with setting up extension sets, drip sets, and assessing vitals. We also discussed drug administration for the EMT scope, proper use of diagnostic equipment, and functions of the body's vascular system.</t>
  </si>
  <si>
    <t xml:space="preserve">Brady Emergency Care, 14th Ed., Ch. 13 Vital Signs &amp; Monitoring Devices, Brady Emergency Care, 14th Ed., Ch. 18 General Pharmacology, Brady Emergency Care, 14th Ed., Ch. 5 Medical Terminology, Brady Emergency Care, 14th Ed., Ch. 7 Principles of Pathophysiology</t>
  </si>
  <si>
    <t xml:space="preserve">The crew reviewed the contraindications for nitroglycerin and discussed key assessment considerations when assisting with its administration.</t>
  </si>
  <si>
    <t xml:space="preserve">Treating patients involved in a structural collapse and/ or confined space event. Most common types of injuries and best ways to treat. Location Acquired structure on Chestnut Street.</t>
  </si>
  <si>
    <t xml:space="preserve">BGFD/ BGPD Vector solutions online power point presentation on active shooter/ mass casualty incident</t>
  </si>
  <si>
    <t xml:space="preserve">EMS - CPR</t>
  </si>
  <si>
    <t xml:space="preserve">The objective was to review and preform Firefighter CPR in the event of a sudden cardiac arrest on scene.</t>
  </si>
  <si>
    <t xml:space="preserve">Heartsaver Instructor update </t>
  </si>
  <si>
    <t xml:space="preserve">AHA heart saver instructor update</t>
  </si>
  <si>
    <t xml:space="preserve">KBEMS HIV/AIDS </t>
  </si>
  <si>
    <t xml:space="preserve">Train.org KBEMS HIV/AIDS Education for EMS Providers 1100965</t>
  </si>
  <si>
    <t xml:space="preserve">Wound Care</t>
  </si>
  <si>
    <t xml:space="preserve">Personnel discussed patient assessment and how to properly care for wounds.</t>
  </si>
  <si>
    <t xml:space="preserve">EMS Pediatric</t>
  </si>
  <si>
    <t xml:space="preserve">E4 and T4 sat through an online meeting with Airmethods as the instructor focusing on pediatric emergencies.</t>
  </si>
  <si>
    <t xml:space="preserve">Vector Solutions MRI Safety</t>
  </si>
  <si>
    <t xml:space="preserve">EMS Operations </t>
  </si>
  <si>
    <t xml:space="preserve">Vector Solutions- MRI Safety for first responders.</t>
  </si>
  <si>
    <t xml:space="preserve">KBEMS Pediatric Abusive Head Trauma </t>
  </si>
  <si>
    <t xml:space="preserve">KBEMS Provider Pediatric Abusive Head Trauma 1095906
Train.org</t>
  </si>
  <si>
    <t xml:space="preserve">KBEMS Sexual Violence Awareness</t>
  </si>
  <si>
    <t xml:space="preserve">KBEMS Sexual Violence Awareness Training 1100193</t>
  </si>
  <si>
    <t xml:space="preserve">EMS - Trauma </t>
  </si>
  <si>
    <t xml:space="preserve">The objective was going over patient care in a trauma situation whether it be a car accident, structural collapse, etc.</t>
  </si>
  <si>
    <t xml:space="preserve">Personnel trained on spine immobilization methods, using the spine board, head blocks, and C-collar.</t>
  </si>
  <si>
    <t xml:space="preserve">Patient assessment/bleeding control</t>
  </si>
  <si>
    <t xml:space="preserve">Pediatric Respiratory Emergencies </t>
  </si>
  <si>
    <t xml:space="preserve">Although pediatric patients typically make up only about ten percent of all EMS calls, breathing difficulty is a common chief complaint. This interactive online course delves into the complexities of pediatric respiratory emergencies, offering insights into their causes, pathophysiology, and management. You will learn to navigate the unique challenges posed by respiratory distress in pediatric patients, including the importance of accurate assessment and interpretation of caregiver input. By the end of the course, you will be equipped to identify primary causes of cardiac arrest in pediatric patients, explain respiratory distress pathophysiology, and describe the assessment and management of pediatric respiratory emergencies in both the upper and lower airways.</t>
  </si>
  <si>
    <t xml:space="preserve">This course provides an overview of supplemental oxygen delivery in EMS. It covers the physiology of cellular respiration, identifying airway problems, determining the appropriate concentration of oxygen to provide patients, identifying types of oxygen cylinders and pressure regulators, and understanding the safety considerations for storage and use. Additionally, it describes the advantages, disadvantages, complications, and concentration of delivered oxygen for various supplemental oxygen delivery devices and covers special considerations for delivering oxygen to pediatric patients, patients with stomas, facial trauma, or dental appliances.</t>
  </si>
  <si>
    <t xml:space="preserve">CAPCE - Acute Coronary Syndrome </t>
  </si>
  <si>
    <t xml:space="preserve">Acute Coronary Syndromes encompass a range of cardiovascular diseases and conditions that can affect patients of various ages and health statuses. This course is designed to equip healthcare professionals with a comprehensive understanding of this critical condition, which is a leading cause of death in the United States. This course delves into the prevalence of ACS in the U.S., risk factors, pathophysiology, and classic signs and symptoms, while also addressing potential mimics. Moreover, it covers the interpretation of 12-lead ECGs for triage, evidence-based treatment strategies, and best practices for patient transport and hospital selection.</t>
  </si>
  <si>
    <t xml:space="preserve">Managing Cardiac Arrest: During and After Resuscitation focuses on preparing professional rescuers for emergency situations involving cardiac arrest. The course covers the causes and progression of cardiac arrest, the components of high-quality cardiopulmonary resuscitation, and the principles of assessment for cardiac arrest patients. It also teaches responders how to formulate a rapid intervention plan for an adult patient in non-traumatic cardiac arrest and describes commonly used pharmacological agents for managing cardiac arrest.</t>
  </si>
  <si>
    <t xml:space="preserve">CAPCE - Supplemental Oxygen </t>
  </si>
  <si>
    <t xml:space="preserve">Trauma is one of the leading causes of death in the United States for individuals under age 50. This interactive online course provides comprehensive training on performing a detailed physical exam, a crucial component of patient care, especially for trauma cases. The course emphasizes the need for a methodical approach to discovering injuries beneath the surface. You will learn the general principles and specific steps of the detailed head-to-toe physical exam, understand the importance of DCAP-BTLS in assessing medical and traumatic injuries, and grasp how a rapid trauma assessment can aid in identifying life threats. The course also covers reporting procedures, treatment strategies, and considerations for mass-casualty incidents, empowering you to enhance patient outcomes through efficient and thorough assessments.</t>
  </si>
  <si>
    <t xml:space="preserve">Hypothermia is a medical illness which has impacted the condition of people's health for several centuries. Advancements in assessments, treatments, education, and technology have dramatically improved and now provide modern medical professionals with the ability to accurately and effectively treat patients diagnosed with a hypothermic condition. This interactive online course delves into the complexities of hypothermia and its various medical implications, providing a comprehensive understanding of terminology, historical context, and contemporary EMS practices. You will explore anatomy, physiology, pathophysiology, assessment techniques, treatment modalities, and transportation protocols relevant to hypothermia cases. By examining patient statistics and case studies from reputable agencies like the American Heart Association and the Centers for Disease Control and Prevention, you will gain valuable insights to enhance their problem-solving skills and confidence in managing hypothermic patients effectively.</t>
  </si>
  <si>
    <t xml:space="preserve">Assessing Major Trauma </t>
  </si>
  <si>
    <t xml:space="preserve">Course discusses assessment techniques for making the initial impression of patients as well as assessment elements specific to certain types of trauma injuries. A quick and thorough assessment of a trauma patient is the cornerstone for providing proper treatment and may aid in preventing death or permanent disability. This course discusses assessment techniques for making the initial impression of patients as well as assessment elements specific to certain types of trauma injuries.</t>
  </si>
  <si>
    <t xml:space="preserve">EMS Trauma and Cardiac </t>
  </si>
  <si>
    <t xml:space="preserve">Station 4 crews attended the Kentucky Fire Commission's EMT Refresher Course covering Trauma and Cardiac emergencies through various populations.</t>
  </si>
  <si>
    <t xml:space="preserve">This course is designed to provide prehospital emergency care professionals with an advanced comprehensive understanding of various types of spinal cord injuries. It covers the incidence, morbidity, and mortality of spinal injuries in the trauma patient, the anatomy and physiology of structures involved in spinal injuries, pathophysiological variances of spinal injuries, assessment findings associated with spinal injuries, and appropriate management considerations for spinal injuries. By the end of this course, you will be able to recall the foundational knowledge and practical skills necessary to reduce the frequency and long-term effects of spinal cord injuries.</t>
  </si>
  <si>
    <t xml:space="preserve">Instructor McCoy was teaching the EMT class for our new probationary firefighters. The topics that were taught were Abdominal Emergencies and Psychiatric and Behavioral Emergencies. 
Class taught by Casey McCoy - Med Center EMS</t>
  </si>
  <si>
    <t xml:space="preserve">The objective was reviewing patient care for situations such as a car accident, structural collapse, etc.</t>
  </si>
  <si>
    <t xml:space="preserve">CAPCE Advanced Airways: Intubation and Beyond (2547241) via Vector Solutions</t>
  </si>
  <si>
    <t xml:space="preserve">Pulse Ox training</t>
  </si>
  <si>
    <t xml:space="preserve">MRI safety. Vector Solutions</t>
  </si>
  <si>
    <t xml:space="preserve">HIV/AIDS EDUCATION FOR EMS PROVIDERS</t>
  </si>
  <si>
    <t xml:space="preserve">HIV/AIDS EDUCATION FOR EMS PROVIDERS KBEMS</t>
  </si>
  <si>
    <t xml:space="preserve">Went over the use of albuterol</t>
  </si>
  <si>
    <t xml:space="preserve">EMS Communication and Documentation  </t>
  </si>
  <si>
    <t xml:space="preserve">Crew attended EMS class covering Chapter 17: Communication and Documentation.</t>
  </si>
  <si>
    <t xml:space="preserve">EMS Operations: MRI</t>
  </si>
  <si>
    <t xml:space="preserve">EMS Operations: MRI.
Online Training Vector Solutions</t>
  </si>
  <si>
    <t xml:space="preserve">Brady Emergency Care, 14th Ed., Ch. 1 Intro to Emergency Medical Services</t>
  </si>
  <si>
    <t xml:space="preserve">Online class: Blood Borne Pathogens</t>
  </si>
  <si>
    <t xml:space="preserve">PAHT Class online</t>
  </si>
  <si>
    <t xml:space="preserve">R1, T1, B1 trained and watched the vector solutions video on the new RAD-57 pulse ox</t>
  </si>
  <si>
    <t xml:space="preserve">CAPCE Blood Born Pathogens</t>
  </si>
  <si>
    <t xml:space="preserve">Blood Born Pathogen safety.</t>
  </si>
  <si>
    <t xml:space="preserve">Engine 3 crew reviewed EMS Trauma operations pertaining to structural collapse and crushing injuries, crew discussed different hazards and problems you might face in the event a victim needs to be extricated. (how long they've been trapped, what part of the body is injured, is odium bicarbonate needed etc.)
Crew also reviewed priorities of having medical direction on site as well as a physician to improve patient care.</t>
  </si>
  <si>
    <t xml:space="preserve">E4 attended Collapse/EMS drill.</t>
  </si>
  <si>
    <t xml:space="preserve">CPR</t>
  </si>
  <si>
    <t xml:space="preserve">CPR training</t>
  </si>
  <si>
    <t xml:space="preserve">Stroke And OB</t>
  </si>
  <si>
    <t xml:space="preserve">Went over stroke assessments and care and OB emergencies and care.</t>
  </si>
  <si>
    <t xml:space="preserve">Reviewing equipment in medical bag</t>
  </si>
  <si>
    <t xml:space="preserve">Discussion of patient care for a trauma patient. Scenario used was patients in a car that a building has collapsed on top of the car.</t>
  </si>
  <si>
    <t xml:space="preserve">Spinal Cord Injuries</t>
  </si>
  <si>
    <t xml:space="preserve">Vector solutions. Spinal cord injury class.</t>
  </si>
  <si>
    <t xml:space="preserve">Airway Training</t>
  </si>
  <si>
    <t xml:space="preserve">Went over tactics of CPR and opening the airway of a compromised victim.</t>
  </si>
  <si>
    <t xml:space="preserve">Blood Borne Pathogens</t>
  </si>
  <si>
    <t xml:space="preserve">target solutions plus went over policy and procedures for exposure process</t>
  </si>
  <si>
    <t xml:space="preserve">bloodborne pathogens</t>
  </si>
  <si>
    <t xml:space="preserve">CAPCE self assign bloodborne pathogens, vector solutions.</t>
  </si>
  <si>
    <t xml:space="preserve">Vector Solutions class</t>
  </si>
  <si>
    <t xml:space="preserve">Brady Emergency Care, 14th Ed., Ch. 5 Medical Terminology</t>
  </si>
  <si>
    <t xml:space="preserve">MRI Safety Vector Solutions</t>
  </si>
  <si>
    <t xml:space="preserve">Mass Casualty Tactics</t>
  </si>
  <si>
    <t xml:space="preserve">Studied mass casualty incidents and their possible effect on a hazardous materials scenario. Then theorized scenarios to overcome trouble.</t>
  </si>
  <si>
    <t xml:space="preserve">EMS Refresher</t>
  </si>
  <si>
    <t xml:space="preserve">T1 crew attended the afternoon EMS refresher going over Operations and Extrication</t>
  </si>
  <si>
    <t xml:space="preserve">Went over Vector Solutions class and practice with the RAD 57 SPO2 monitoring device.</t>
  </si>
  <si>
    <t xml:space="preserve">Went over Soft tissue car and tourniquet applications.</t>
  </si>
  <si>
    <t xml:space="preserve">EMS refresher</t>
  </si>
  <si>
    <t xml:space="preserve">T1 crew attended the afternoon EMS refresher class in admin which went over trauma</t>
  </si>
  <si>
    <t xml:space="preserve">Got out bag valve mask. Connected it to O2 and practiced proper technique.</t>
  </si>
  <si>
    <t xml:space="preserve">Airway/Respiratory Emergencies</t>
  </si>
  <si>
    <t xml:space="preserve">Classroom EMS lecture on airway management and respiratory emergencies. Taught by Casey McCoy with Medical Center BG EMS</t>
  </si>
  <si>
    <t xml:space="preserve">SAving Young Lives: Mastering Pediatric High Performance CPR</t>
  </si>
  <si>
    <t xml:space="preserve">Attended class at FDIC</t>
  </si>
  <si>
    <t xml:space="preserve">Lecture via Lifesize. Discussed different types of cardiac emergencies and best treatment options for those emergencies. Taught by Casey McCoy with Med Center BG EMS</t>
  </si>
  <si>
    <t xml:space="preserve">Baby Box </t>
  </si>
  <si>
    <t xml:space="preserve">Procedures for testing or responding to an alarm for the baby box.</t>
  </si>
  <si>
    <t xml:space="preserve">Pharmacology
Narcan 
Aspirin 
Albuterol</t>
  </si>
  <si>
    <t xml:space="preserve">Diabetic Emergencies and Altered Mental Status</t>
  </si>
  <si>
    <t xml:space="preserve">Lecture via Lifesize with Casey McCoy of Med Center EMS. Diabetic emergencies and altered mental status and Behavioral and Psychiatric emergencies.</t>
  </si>
  <si>
    <t xml:space="preserve">Hazmat</t>
  </si>
  <si>
    <t xml:space="preserve">EMT Class.</t>
  </si>
  <si>
    <t xml:space="preserve">Terrorism and Operations</t>
  </si>
  <si>
    <t xml:space="preserve">Brady Emergency Care, 14th Ed., Ch. 41 EMS Response to Terrorism</t>
  </si>
  <si>
    <t xml:space="preserve">Online CAPCE Vector Solutions Course for assessment, transport, and care of morbidly obese patients</t>
  </si>
  <si>
    <t xml:space="preserve">Extrication and EMS: Coordinating Rescue and Clinical Care</t>
  </si>
  <si>
    <t xml:space="preserve">Q0001-Vehicle Extrication</t>
  </si>
  <si>
    <t xml:space="preserve">class at FDIC</t>
  </si>
  <si>
    <t xml:space="preserve">Brady Emergency Care, 14th Ed., Ch. 33 Trauma to the Head, Neck, and Spine, Brady Emergency Care, 14th Ed., Ch. 34 Multisystem Trauma, IFSTA Essentials, 8th Ed. Ch. 19 Technical Rescue and Vehicle Extrication</t>
  </si>
  <si>
    <t xml:space="preserve">ISO Company Training  (192/yr), KBEMS Trauma</t>
  </si>
  <si>
    <t xml:space="preserve">Man vs Machinery</t>
  </si>
  <si>
    <t xml:space="preserve">II0000-Special Topics in Firefighting</t>
  </si>
  <si>
    <t xml:space="preserve">Attended Class at FDIC</t>
  </si>
  <si>
    <t xml:space="preserve">Brady Emergency Care, 14th Ed., Ch. 3 Lifting &amp; Moving Patients, Brady Emergency Care, 14th Ed., Ch. 30 Soft-Tissue Trauma, Brady Emergency Care, 14th Ed., Ch. 31 Chest &amp; Abdominal Trauma, Brady Emergency Care, 14th Ed., Ch. 32 Musculoskeletal Trauma, Brady Emergency Care, 14th Ed., Ch. 33 Trauma to the Head, Neck, and Spine, Brady Emergency Care, 14th Ed., Ch. 34 Multisystem Trauma, Special Topics in Firefighting (General)</t>
  </si>
  <si>
    <t xml:space="preserve">Tourniquet application, wound packing, and Israeli bandage application</t>
  </si>
  <si>
    <t xml:space="preserve">Brady Emergency Care, 14th Ed., Ch. 30 Soft-Tissue Trauma, Brady Emergency Care, 14th Ed., Ch. 31 Chest &amp; Abdominal Trauma</t>
  </si>
  <si>
    <t xml:space="preserve">EMS - Airway</t>
  </si>
  <si>
    <t xml:space="preserve">The objective was airway management using cadaver lungs. Discussing what various methods there are and how they effect the patient, as well as signs and symptoms for patient intervention.</t>
  </si>
  <si>
    <t xml:space="preserve">EMS - Cardiovascular</t>
  </si>
  <si>
    <t xml:space="preserve">The objective was identifying the parts of the heart using a cadaver heart, and going over possible Cardiac emergencies pertaining to the heart. Examples being AFib, VFib, CHF, etc.</t>
  </si>
  <si>
    <t xml:space="preserve">EMS: Cardiac</t>
  </si>
  <si>
    <t xml:space="preserve">Personnel attended a zoom class hosted by State Fire Rescue Training that covered the topic of cardiac emergencies.</t>
  </si>
  <si>
    <t xml:space="preserve">Went over patient care in a collapse situation</t>
  </si>
  <si>
    <t xml:space="preserve">EMS: EMT Advanced</t>
  </si>
  <si>
    <t xml:space="preserve">EMS-Glucometer training </t>
  </si>
  <si>
    <t xml:space="preserve">Active shooter refresher</t>
  </si>
  <si>
    <t xml:space="preserve">Active shooter training refresher assignment through Vector Solutions.</t>
  </si>
  <si>
    <t xml:space="preserve">MRI Safety video assigned via Vector Solutions.</t>
  </si>
  <si>
    <t xml:space="preserve">EMS Training - Bloodborne pathogens</t>
  </si>
  <si>
    <t xml:space="preserve">airway management </t>
  </si>
  <si>
    <t xml:space="preserve">crews discussed managing an airway in multiple situations including extrication or tech rescue</t>
  </si>
  <si>
    <t xml:space="preserve">HIV/AIDs and Bloodbourne pathogen via target solutions</t>
  </si>
  <si>
    <t xml:space="preserve">Glucometer Review</t>
  </si>
  <si>
    <t xml:space="preserve">Crews reviewed operations, calibrations,and testing of the glucometer. Crews also discussed endocrine emergencies and their treatment.</t>
  </si>
  <si>
    <t xml:space="preserve">Crews completed mock emergency responses ranging from a variety of different medical emergencies. These included respiratory emergencies, allergic reactions, cardiac events, and endocrine emergencies.</t>
  </si>
  <si>
    <t xml:space="preserve">EMS Bag Familiarization</t>
  </si>
  <si>
    <t xml:space="preserve">Review of medical bag and its inventory. Basic operations of medical bag's equipment.</t>
  </si>
  <si>
    <t xml:space="preserve">ring cutting </t>
  </si>
  <si>
    <t xml:space="preserve">crews discussed and preformed ring cutting operations with ring cutter, Dremel, and shoe lace</t>
  </si>
  <si>
    <t xml:space="preserve">RAD57 Pulse Ox Training</t>
  </si>
  <si>
    <t xml:space="preserve">CAPCE Bloodborne Pathogens on Target Solutions</t>
  </si>
  <si>
    <t xml:space="preserve">Airway Management</t>
  </si>
  <si>
    <t xml:space="preserve">Discuss functions and intervention of heart and lungs using porcine organs. Placement of iGel and King Airway.</t>
  </si>
  <si>
    <t xml:space="preserve">Cardiac Lab</t>
  </si>
  <si>
    <t xml:space="preserve">Discuss functions and intervention of heart and lungs using porcine organs.</t>
  </si>
  <si>
    <t xml:space="preserve">Cardiac Arrest</t>
  </si>
  <si>
    <t xml:space="preserve">Performed a repetition of a cardiac emergency. Discussed the depth and the rate of compressions every minute.</t>
  </si>
  <si>
    <t xml:space="preserve">EMS- HIV/AIDS Awareness Training</t>
  </si>
  <si>
    <t xml:space="preserve">Train.org class for renewal of HIV/AIDS Awareness for continuing education requirements</t>
  </si>
  <si>
    <t xml:space="preserve">EMS - Pediatric Abusive Head Trauma</t>
  </si>
  <si>
    <t xml:space="preserve">Train.org recurring education class for PAHT</t>
  </si>
  <si>
    <t xml:space="preserve">Blood-borne Pathogens</t>
  </si>
  <si>
    <t xml:space="preserve">Blood-borne Pathogens video training</t>
  </si>
  <si>
    <t xml:space="preserve">Emergency Operations </t>
  </si>
  <si>
    <t xml:space="preserve">Bowling Green Med Center EMS class preformed a driving safety course with emphasis on safety while responding to emergency scenes in an ambulance. Also how to conduct safety checks on highways and streets. 
Official Course Name- EVOS 
Cliff Coomer Medic 2 Supervisor</t>
  </si>
  <si>
    <t xml:space="preserve">Brady Emergency Care, 14th Ed., Ch. 40 Highway Safety &amp; Vehicle Extrication</t>
  </si>
  <si>
    <t xml:space="preserve">Supplemental Oxygen</t>
  </si>
  <si>
    <t xml:space="preserve">CAPCE Supplemental Oxygen (91052)</t>
  </si>
  <si>
    <t xml:space="preserve">CAPCE Cardiac</t>
  </si>
  <si>
    <t xml:space="preserve">CAPCE Managing Cardiac Arrest: During and After Resuscitation (57315)</t>
  </si>
  <si>
    <t xml:space="preserve">EMS CE 1 hour</t>
  </si>
  <si>
    <t xml:space="preserve">Bloodborne Pathogens - Online City Presentation</t>
  </si>
  <si>
    <t xml:space="preserve">IFSTA Essentials, 8th Ed. Ch. 1 Intro to the Fire Service &amp; FF Safety</t>
  </si>
  <si>
    <t xml:space="preserve">CAPCE Carbon Monoxide</t>
  </si>
  <si>
    <t xml:space="preserve">CAPCE Carbon Monoxide Poisoning (106464)</t>
  </si>
  <si>
    <t xml:space="preserve">Utilized on-line video information about first responder safety concerns when operating in/near an MRI machine.</t>
  </si>
  <si>
    <t xml:space="preserve">CAPCE Patient Care Report Essentials</t>
  </si>
  <si>
    <t xml:space="preserve">CAPCE Patient Care Report Essentials (655125)</t>
  </si>
  <si>
    <t xml:space="preserve">Active Shooter Refresher</t>
  </si>
  <si>
    <t xml:space="preserve">Active shooter Target Solutions refresher</t>
  </si>
  <si>
    <t xml:space="preserve">EMS Cardiology </t>
  </si>
  <si>
    <t xml:space="preserve">Went over Cardiology MED Center EMS class</t>
  </si>
  <si>
    <t xml:space="preserve">Life Span and Development</t>
  </si>
  <si>
    <t xml:space="preserve">EMT class chapter 8.</t>
  </si>
  <si>
    <t xml:space="preserve">I Gel training</t>
  </si>
  <si>
    <t xml:space="preserve">Going over use of I Gel</t>
  </si>
  <si>
    <t xml:space="preserve">Heart and Lung Lab</t>
  </si>
  <si>
    <t xml:space="preserve">Heart and Lung Lab led by John Pardue</t>
  </si>
  <si>
    <t xml:space="preserve">EMS Cardiovascular class led by John Pardue</t>
  </si>
  <si>
    <t xml:space="preserve">HIV/AIDS course on Train.org</t>
  </si>
  <si>
    <t xml:space="preserve">CAPCE Bloodborne Pathogens, Vector Solutions</t>
  </si>
  <si>
    <t xml:space="preserve">EMS SVAT</t>
  </si>
  <si>
    <t xml:space="preserve">SVAT Train.org</t>
  </si>
  <si>
    <t xml:space="preserve">Cardiovascular </t>
  </si>
  <si>
    <t xml:space="preserve">Study and discussion of Cardiovascular Emergencies in first responders during on scene/in training evolutions.</t>
  </si>
  <si>
    <t xml:space="preserve">Blood Pathogens</t>
  </si>
  <si>
    <t xml:space="preserve">Train.org Class</t>
  </si>
  <si>
    <t xml:space="preserve">Blood Bourne Pathogens</t>
  </si>
  <si>
    <t xml:space="preserve">Refresher Training</t>
  </si>
  <si>
    <t xml:space="preserve">Rad-57 Pulse Ox Training</t>
  </si>
  <si>
    <t xml:space="preserve">Ped Head Trauma</t>
  </si>
  <si>
    <t xml:space="preserve">Train.org class</t>
  </si>
  <si>
    <t xml:space="preserve">Air Way Management</t>
  </si>
  <si>
    <t xml:space="preserve">Engine 7 discussed situations in which different types of air way adjuncts to be used. Including the NPA, OPA, and Igels. We also discussed appropriate flow of oxygen per Nasal cannula, Oxy Mask, and the Non-Rebreather.</t>
  </si>
  <si>
    <t xml:space="preserve">EMS CAPCE</t>
  </si>
  <si>
    <t xml:space="preserve">CAPCE CO emergencies</t>
  </si>
  <si>
    <t xml:space="preserve">CAPCE - Supplemental Oxygen</t>
  </si>
  <si>
    <t xml:space="preserve">CAPSE - Acute Coronary Syndromes</t>
  </si>
  <si>
    <t xml:space="preserve">CAPCE - Managing Cardiac Arrest</t>
  </si>
  <si>
    <t xml:space="preserve">CAPCE - Pediatric Raspatory Emergencies and Cardiac Arrest</t>
  </si>
  <si>
    <t xml:space="preserve">CAPCE Assessment, Treatment and Transport of Morbidly Obese Patients (655117)</t>
  </si>
  <si>
    <t xml:space="preserve">CAPCE Spinal Cord Injuries</t>
  </si>
  <si>
    <t xml:space="preserve">KY CHFS HIV/AIDS curriculum</t>
  </si>
  <si>
    <t xml:space="preserve">Rad 57 training</t>
  </si>
  <si>
    <t xml:space="preserve">MRI Video on Vector Solutions</t>
  </si>
  <si>
    <t xml:space="preserve">The crew conducted a discussion on head trauma, focusing on the various symptoms individuals may exhibit following an injury. The team reviewed key warning signs to monitor, outlined common and uncommon symptom presentations, and clarified appropriate actions to takeâ€”as well as actions to avoidâ€”when responding to potential head trauma.</t>
  </si>
  <si>
    <t xml:space="preserve">Rad pulse ox training</t>
  </si>
  <si>
    <t xml:space="preserve">MRI machine safety</t>
  </si>
  <si>
    <t xml:space="preserve">James had valid BLS Provider training 2/4/2025 offered by the Louisville Fire Department. See attachment below.</t>
  </si>
  <si>
    <t xml:space="preserve">cardiovascular</t>
  </si>
  <si>
    <t xml:space="preserve">MRI training on target solutions</t>
  </si>
  <si>
    <t xml:space="preserve">HIV/AIDS, EMS</t>
  </si>
  <si>
    <t xml:space="preserve">Train.org course</t>
  </si>
  <si>
    <t xml:space="preserve">PAHT Pediatric Abusive Head Trauma</t>
  </si>
  <si>
    <t xml:space="preserve">Assessment, identification, and treatment of a tension pnuemo thorax.</t>
  </si>
  <si>
    <t xml:space="preserve">Online CAPCE bloodborne pathogens safety</t>
  </si>
  <si>
    <t xml:space="preserve">Online City Presentation</t>
  </si>
  <si>
    <t xml:space="preserve">Weekly Baby Box/Safe haven</t>
  </si>
  <si>
    <t xml:space="preserve">Weekly Baby Box/Safe Haven test &amp;amp; Familiarization</t>
  </si>
  <si>
    <t xml:space="preserve">Safe Haven</t>
  </si>
  <si>
    <t xml:space="preserve">Baby Box test, Protocol and Care of infant review</t>
  </si>
  <si>
    <t xml:space="preserve">online Safe Haven Baby Box Training</t>
  </si>
  <si>
    <t xml:space="preserve">Operation, Policy and Procedure
Weekly and daily checks</t>
  </si>
  <si>
    <t xml:space="preserve">EMS Medical</t>
  </si>
  <si>
    <t xml:space="preserve">EMT Class for recruits. Eng 7 sat through the Abdominal emergencies and the Behavioral and Psychiatric portion of the class.</t>
  </si>
  <si>
    <t xml:space="preserve">Safe Haven Baby Box operations and Law review
online class</t>
  </si>
  <si>
    <t xml:space="preserve">active shooter slide review</t>
  </si>
  <si>
    <t xml:space="preserve">MRI incident safety and procedures</t>
  </si>
  <si>
    <t xml:space="preserve">Pediatric Airway </t>
  </si>
  <si>
    <t xml:space="preserve">Air Evac taught pediatric airway emergencies class.</t>
  </si>
  <si>
    <t xml:space="preserve"> Non-Traumatic Chest Pain</t>
  </si>
  <si>
    <t xml:space="preserve">Reviewed different types of cardiac emergencies and how to identify certain ones.</t>
  </si>
  <si>
    <t xml:space="preserve">Required annual city training on bloodborne pathogens.</t>
  </si>
  <si>
    <t xml:space="preserve">Pediatric Assessment</t>
  </si>
  <si>
    <t xml:space="preserve">Reviewed signs and symptons to look for when assessing a pediatric patient.</t>
  </si>
  <si>
    <t xml:space="preserve">Obstetrics and Gynecological Emergencies</t>
  </si>
  <si>
    <t xml:space="preserve">Labor and delivery.</t>
  </si>
  <si>
    <t xml:space="preserve">Went through pediatric assessment on vector solutions.</t>
  </si>
  <si>
    <t xml:space="preserve">MRI Training</t>
  </si>
  <si>
    <t xml:space="preserve">MRI training on Vector Solutions
Risks and hazards of MRI machines
How to approach incidents and handle properly</t>
  </si>
  <si>
    <t xml:space="preserve">Vector Solutions bloodborne pathogen safety training.</t>
  </si>
  <si>
    <t xml:space="preserve">Took the PHAT class on the Train KY site.</t>
  </si>
  <si>
    <t xml:space="preserve">Pediatric Trauma </t>
  </si>
  <si>
    <t xml:space="preserve">Are Evac taught class on pedeatric trauma.</t>
  </si>
  <si>
    <t xml:space="preserve">KBEMS Sexual Violence Awareness Training</t>
  </si>
  <si>
    <t xml:space="preserve">Rad-57 pulse ox and patient assessment training.</t>
  </si>
  <si>
    <t xml:space="preserve">Blood borne Pathogens</t>
  </si>
  <si>
    <t xml:space="preserve">City of Bowling Green Blood borne Pathogens presentation and test</t>
  </si>
  <si>
    <t xml:space="preserve">CAPCE bloodbore pathogens safety online class</t>
  </si>
  <si>
    <t xml:space="preserve">MRI safety online video training</t>
  </si>
  <si>
    <t xml:space="preserve">Pediatric abusive head trauma online course</t>
  </si>
  <si>
    <t xml:space="preserve">Pediatric Head Abuse and Truma</t>
  </si>
  <si>
    <t xml:space="preserve">Train Kentucky class assigned to on target solutions</t>
  </si>
  <si>
    <t xml:space="preserve">Cpr</t>
  </si>
  <si>
    <t xml:space="preserve">cpr refresher
AHA</t>
  </si>
  <si>
    <t xml:space="preserve">BLS Instructor course online that includes updates</t>
  </si>
  <si>
    <t xml:space="preserve">Cardiovascular EMS training
Targetsolutions
Acute Coronary Syndromes
Non traumatic chest pain</t>
  </si>
  <si>
    <t xml:space="preserve">Online EMS refresher Joe Dennison</t>
  </si>
  <si>
    <t xml:space="preserve">Managing Cardiac Arrest: During and after resuscitation</t>
  </si>
  <si>
    <t xml:space="preserve">Active shooter</t>
  </si>
  <si>
    <t xml:space="preserve">EMS Bloodborne Pathogen</t>
  </si>
  <si>
    <t xml:space="preserve">Targetsolutions Bloodborn Pathogen</t>
  </si>
  <si>
    <t xml:space="preserve">Sexual trauma awareness trainining</t>
  </si>
  <si>
    <t xml:space="preserve">Ky train sexual trauma awareness training</t>
  </si>
  <si>
    <t xml:space="preserve">EMS Trauma refresher Joe Dennison</t>
  </si>
  <si>
    <t xml:space="preserve">Capce managing Cardiac arrest</t>
  </si>
  <si>
    <t xml:space="preserve">CAPCE Opiod Overdose and Naloxone Administration</t>
  </si>
  <si>
    <t xml:space="preserve">MRI Safety via Vector Solutions</t>
  </si>
  <si>
    <t xml:space="preserve">Breathing Treatment Fam.</t>
  </si>
  <si>
    <t xml:space="preserve">Familiarization with the indications and contraindications for albuterol administration.
-Assembling the Albuterol Nebulizer mask
-Proper O2 rate
-Proper dose and maximum number of doses per protocol
-Pharmacology</t>
  </si>
  <si>
    <t xml:space="preserve">EMT class continuing edu</t>
  </si>
  <si>
    <t xml:space="preserve">Went over patient assessment</t>
  </si>
  <si>
    <t xml:space="preserve">EMS Communication and Documentation </t>
  </si>
  <si>
    <t xml:space="preserve">individuals went over how to log training and document it for national registry recertification.</t>
  </si>
  <si>
    <t xml:space="preserve">Truama</t>
  </si>
  <si>
    <t xml:space="preserve">EMS Course.  Topics included soft-tissue trauma, burns, and multi-system trauma.  
Class taught by Paramedic Casey McCoy</t>
  </si>
  <si>
    <t xml:space="preserve">Brady Emergency Care, 14th Ed., Ch. 30 Soft-Tissue Trauma, Brady Emergency Care, 14th Ed., Ch. 34 Multisystem Trauma</t>
  </si>
  <si>
    <t xml:space="preserve">Sexual Violence Awareness </t>
  </si>
  <si>
    <t xml:space="preserve">Sexual Violence Awareness Course</t>
  </si>
  <si>
    <t xml:space="preserve">MRI Online Safety video</t>
  </si>
  <si>
    <t xml:space="preserve">Pediatric (PAHT)</t>
  </si>
  <si>
    <t xml:space="preserve">Completed PAHT course</t>
  </si>
  <si>
    <t xml:space="preserve">HIV/AIDS Education</t>
  </si>
  <si>
    <t xml:space="preserve">HIV/Aids online course</t>
  </si>
  <si>
    <t xml:space="preserve">Sexual Violence Awareness course</t>
  </si>
  <si>
    <t xml:space="preserve">RAD-57 Vector Solutions</t>
  </si>
  <si>
    <t xml:space="preserve">Bloodborne Pathogen Training</t>
  </si>
  <si>
    <t xml:space="preserve">MRI Safety
Target Solutions</t>
  </si>
  <si>
    <t xml:space="preserve">CAPCE Respiratory Emergencies Basic</t>
  </si>
  <si>
    <t xml:space="preserve">Respiratory Emergencies
Major Causes of Respiratory Failure
Common Respiratory Conditions and Diseases
Recognition of Airway Problems
Signs of Adequate Breathing
Signs of Inadequate Breathing
Adequate and Inadequate Ventilation
Treatment of the Respiratory Patient
Prescribed Inhalers
Infant and Child Consideration</t>
  </si>
  <si>
    <t xml:space="preserve">Brady Emergency Care, 14th Ed., Ch. 6 Anatomy &amp; Physiology, Brady Emergency Care, 14th Ed., Ch. 9 Airway Management</t>
  </si>
  <si>
    <t xml:space="preserve">CAPCE Respiratory System A&amp;P Review</t>
  </si>
  <si>
    <t xml:space="preserve">The Respiratory System
The Upper Airway
The Lower Airway
The Pediatric Airway
The Geriatric Patient
Respiration
Ventilation
Mechanics of Breathing
Gas Exchange
Assessing Respiratory Function
Recognizing Airway Problems
Signs of Adequate Breathing
Signs of Inadequate Breathing</t>
  </si>
  <si>
    <t xml:space="preserve">Blood borne pathogens training by city</t>
  </si>
  <si>
    <t xml:space="preserve">CAPCE Epilepsy Course </t>
  </si>
  <si>
    <t xml:space="preserve">Epilepsy Overview
Patient Behavior
Seizure Pervalence
Sudden Unexplained Death in Epilepsy (SUDEP)
Pathophysiology
Types of Seizures
Generalized Seizures
Focal (Partial) Seizures
Patient Assessment
Patient Managment
High-Priority Patients
Refusal of Treatment and Transport
Seizures in Neonates
Status Epilepticus</t>
  </si>
  <si>
    <t xml:space="preserve">CAPCE Heat Illness and Emergencies (91057)</t>
  </si>
  <si>
    <t xml:space="preserve">Body Temperature
Temperature Regulation
Eliminating Heat
Heat-Related Illnesses
Hyperthermia
Heat Cramps
Heat Exhaustion
Heat Stroke
Hyperthermia vs. Fever
Hyponatremia
Elderly Patients
Pediatric Patients
Cold Water Immersion
Protecting Yourself</t>
  </si>
  <si>
    <t xml:space="preserve">CAPCE Detailed Physical Exam</t>
  </si>
  <si>
    <t xml:space="preserve">The Detailed Physical Assessment
DCAP-BTLS
The Rapid Trauma Scan
Reporting
Rapid Treatment and Transpor</t>
  </si>
  <si>
    <t xml:space="preserve">Brady Emergency Care, 14th Ed., Ch. 13 Vital Signs &amp; Monitoring Devices, Brady Emergency Care, 14th Ed., Ch. 5 Medical Terminology, Brady Emergency Care, 14th Ed., Ch. 6 Anatomy &amp; Physiology</t>
  </si>
  <si>
    <t xml:space="preserve">CAPCE Environmental Emergencies</t>
  </si>
  <si>
    <t xml:space="preserve">Environmental Emergencies
Temperature Regulation
Exposure to Cold
Hypothermia
Assessment and Treatment of Hypothermia
Frostbite
Trench Foot
Heat Illness
Assessment and Treatment of Heat Illness
Drowning Incidents
Assessment and Treatment of Drowning
Diving Emergencies
Altitude Illness</t>
  </si>
  <si>
    <t xml:space="preserve">EMS (First Responder): Safe Haven Baby Box Training</t>
  </si>
  <si>
    <t xml:space="preserve">EMS (First Responder):
Safe Haven Baby Box Training</t>
  </si>
  <si>
    <t xml:space="preserve">Bloodborne Pathogen</t>
  </si>
  <si>
    <t xml:space="preserve">CAPCE/ Boodborne pathogen training on target solutions</t>
  </si>
  <si>
    <t xml:space="preserve">Capce Driver Safety </t>
  </si>
  <si>
    <t xml:space="preserve">Driving Safety
Legal Considerations
External Conditions
Vehicle Maintenance and Inspection
Driver Responsibilities and Preparedness
Driver Condition
Avoiding Collisions
Intersections
Passing and Being Passed
Vehicle Maneuvering
Emergency Response
Crash Prevention
Parking at an Emergency Scene
Safety Tips</t>
  </si>
  <si>
    <t xml:space="preserve">CAPCE Assessment, Treatment and Transport of Morbidly Obese Patients</t>
  </si>
  <si>
    <t xml:space="preserve">Overweight and Obese
Obesity
Health Consequences of Obesity
Treatment of Obesity
EMS Assessment of Obese Patients
Treatment
Lifting and Moving</t>
  </si>
  <si>
    <t xml:space="preserve">CAPCE Dementia: Overview, Assessment, and Care</t>
  </si>
  <si>
    <t xml:space="preserve">What is Dementia?
Incidence and Impact of Dementia
Dementia Risk Factors and Diagnosis
Types of Dementia
When it isnâ€™t Dementia
Management of Dementia Patients
EMS Dementia Assessment Considerations
EMS Social Considerations for Dementia Calls</t>
  </si>
  <si>
    <t xml:space="preserve">MRI Safety on Target Solutions. EMS Operations for 1 hour</t>
  </si>
  <si>
    <t xml:space="preserve">PAHT </t>
  </si>
  <si>
    <t xml:space="preserve">Pediatric Abusive Head Trauma course through train.org</t>
  </si>
  <si>
    <t xml:space="preserve">EMS - CAPCE Bloodborne Path</t>
  </si>
  <si>
    <t xml:space="preserve">Vector Solutions online class for Infection control and Bloodborne pathogens. 90% test score</t>
  </si>
  <si>
    <t xml:space="preserve">Online video through Vector Solutions concerning MRI safety.</t>
  </si>
  <si>
    <t xml:space="preserve">Glucometer Operations and Indications</t>
  </si>
  <si>
    <t xml:space="preserve">Review of new glucometers placed on apparatus. We also reviewed indications for checking blood sugar, and treatment with glucose.</t>
  </si>
  <si>
    <t xml:space="preserve">CAPCE Acute Coronary Syndroms</t>
  </si>
  <si>
    <t xml:space="preserve">Took the CAPCE Acute Coronary Syndromes 655151 course on Vector Solutions</t>
  </si>
  <si>
    <t xml:space="preserve">CAPCE Manage Cardiac Arrest: During and After Resuscitation</t>
  </si>
  <si>
    <t xml:space="preserve">Took CAPCE Manage Cardiac Arrest: During and After Resuscitation (57315) on Vector Solutions</t>
  </si>
  <si>
    <t xml:space="preserve">Safe Haven Baby box</t>
  </si>
  <si>
    <t xml:space="preserve">watched and completed all the safe have baby box videos and tests. went over laws and policies and procedures for the baby box.</t>
  </si>
  <si>
    <t xml:space="preserve">KBEMS Provider Pediatric Abusive Head Trauma</t>
  </si>
  <si>
    <t xml:space="preserve">Took the KBEMS Provider Pediatric Abusive Head Trauma 1095906 online class.</t>
  </si>
  <si>
    <t xml:space="preserve">Rad57 Pulse CoOximeter Online Training
https://www.youtube.com/watch?v=OWgEfBrokj4</t>
  </si>
  <si>
    <t xml:space="preserve">HIV/AIDS Train.org Training</t>
  </si>
  <si>
    <t xml:space="preserve">Bloodborne Pathogens City of Bowling Green Presentation</t>
  </si>
  <si>
    <t xml:space="preserve">Train.org PAHT Training</t>
  </si>
  <si>
    <t xml:space="preserve">Mastering manual ventilation - online distributive through Prodigy EMS</t>
  </si>
  <si>
    <t xml:space="preserve">Capnography</t>
  </si>
  <si>
    <t xml:space="preserve">Capnography - online distributive through Prodigy EMS</t>
  </si>
  <si>
    <t xml:space="preserve">Oxygenation</t>
  </si>
  <si>
    <t xml:space="preserve">Oxygenation - online distributive through Prodigy EMS</t>
  </si>
  <si>
    <t xml:space="preserve">Post resuscitation</t>
  </si>
  <si>
    <t xml:space="preserve">Post resuscitation care - online distributive through Prodigy EMS</t>
  </si>
  <si>
    <t xml:space="preserve">Acute coronary syndrome - online distributive through Prodigy EMS</t>
  </si>
  <si>
    <t xml:space="preserve">P0015-ACLS</t>
  </si>
  <si>
    <t xml:space="preserve">EMS: ACLS</t>
  </si>
  <si>
    <t xml:space="preserve">Cardiac Arrest - online distributive through Prodigy EMS</t>
  </si>
  <si>
    <t xml:space="preserve">Cardiac arrest - online distributive through Prodigy EMS</t>
  </si>
  <si>
    <t xml:space="preserve">Ventricular assist</t>
  </si>
  <si>
    <t xml:space="preserve">Ventricular assist devices - online distributive through Prodigy EMS</t>
  </si>
  <si>
    <t xml:space="preserve">CHF</t>
  </si>
  <si>
    <t xml:space="preserve">CHF - online distributive through Prodigy EMS</t>
  </si>
  <si>
    <t xml:space="preserve">PALS update</t>
  </si>
  <si>
    <t xml:space="preserve">PALS update - online distributive through Prodigy EMS</t>
  </si>
  <si>
    <t xml:space="preserve">Pediatric cardiac arrest</t>
  </si>
  <si>
    <t xml:space="preserve">Pediatric cardiac arrest - online distributive through Prodigy EMS</t>
  </si>
  <si>
    <t xml:space="preserve">Face mask ventilation - online distributive through Prodigy EMS</t>
  </si>
  <si>
    <t xml:space="preserve">Stroke</t>
  </si>
  <si>
    <t xml:space="preserve">Stroke - online distributive through Prodigy EMS</t>
  </si>
  <si>
    <t xml:space="preserve">OB</t>
  </si>
  <si>
    <t xml:space="preserve">Prodigy EMS online training</t>
  </si>
  <si>
    <t xml:space="preserve">Sepsis</t>
  </si>
  <si>
    <t xml:space="preserve">Special Healthcare Needs</t>
  </si>
  <si>
    <t xml:space="preserve">Medication Delivery</t>
  </si>
  <si>
    <t xml:space="preserve">Pain Management</t>
  </si>
  <si>
    <t xml:space="preserve">Psych</t>
  </si>
  <si>
    <t xml:space="preserve">Endocrine</t>
  </si>
  <si>
    <t xml:space="preserve">Immunological</t>
  </si>
  <si>
    <t xml:space="preserve">Neuro</t>
  </si>
  <si>
    <t xml:space="preserve">Toxicology</t>
  </si>
  <si>
    <t xml:space="preserve">Brady Emergency Care, 14th Ed., Ch. 28 Hematologic and Renal Emergencies</t>
  </si>
  <si>
    <t xml:space="preserve">At Risk Populations</t>
  </si>
  <si>
    <t xml:space="preserve">Crew Resource Management</t>
  </si>
  <si>
    <t xml:space="preserve">EMS Research</t>
  </si>
  <si>
    <t xml:space="preserve">Hygeine</t>
  </si>
  <si>
    <t xml:space="preserve">Pediatric Transport</t>
  </si>
  <si>
    <t xml:space="preserve">Ambulance Safety</t>
  </si>
  <si>
    <t xml:space="preserve">Evidence Based Guidelines</t>
  </si>
  <si>
    <t xml:space="preserve">Bleeding Control</t>
  </si>
  <si>
    <t xml:space="preserve">Bleeding control - online distributive through Prodigy EMS</t>
  </si>
  <si>
    <t xml:space="preserve">CNS Injury</t>
  </si>
  <si>
    <t xml:space="preserve">CNS Injury - online distributive through Prodigy EMS</t>
  </si>
  <si>
    <t xml:space="preserve">Trauma Resuscitation</t>
  </si>
  <si>
    <t xml:space="preserve">Trauma resuscitation - online distributive through Prodigy EMS</t>
  </si>
  <si>
    <t xml:space="preserve">Triage</t>
  </si>
  <si>
    <t xml:space="preserve">Triage - online distributive through Prodigy EMS</t>
  </si>
  <si>
    <t xml:space="preserve">Online class on assessing heart disease and different types of chest pain.</t>
  </si>
  <si>
    <t xml:space="preserve">Online class on carbon Monoxide Poisoning</t>
  </si>
  <si>
    <t xml:space="preserve">CAPCE course on Opioid Overdose and Naloxone Administration</t>
  </si>
  <si>
    <t xml:space="preserve">Brady Emergency Care, 14th Ed., Ch. 13 Vital Signs &amp; Monitoring Devices, Brady Emergency Care, 14th Ed., Ch. 7 Principles of Pathophysiology</t>
  </si>
  <si>
    <t xml:space="preserve">CAPCE course - Assessment, Treatment and transport of Morbidly Obese Patients</t>
  </si>
  <si>
    <t xml:space="preserve">MRI Safety </t>
  </si>
  <si>
    <t xml:space="preserve">Online training on safety protocols for responding first responders to and MRI machine.</t>
  </si>
  <si>
    <t xml:space="preserve">Pediatric abusive head trauma video on train.org and test completion, certificate has been uploaded to First Due credentials.</t>
  </si>
  <si>
    <t xml:space="preserve">EMS - Supplemental Oxygen</t>
  </si>
  <si>
    <t xml:space="preserve">Capce Supplemental Oxygen class via Target Solutions for ems hrs</t>
  </si>
  <si>
    <t xml:space="preserve">CAPCE Pediatric Respiratory Emergencies: Upper and Lower Airway for the First Responder</t>
  </si>
  <si>
    <t xml:space="preserve">CAPCE Pediatric Respiratory Emergencies: Upper and Lower Airway for the First Responder 
via target solutions for ems hrs</t>
  </si>
  <si>
    <t xml:space="preserve">Acute coronary syndromes</t>
  </si>
  <si>
    <t xml:space="preserve">CAPCE Acute Coronary syndrome via target solutions for ems hours</t>
  </si>
  <si>
    <t xml:space="preserve">Capce - EMS training </t>
  </si>
  <si>
    <t xml:space="preserve">ems via target solutions for ems hours
CAPCE Managing Cardiac Emergencies: During and after resuscitation</t>
  </si>
  <si>
    <t xml:space="preserve">KBEMS HIV/AIDS renewal</t>
  </si>
  <si>
    <t xml:space="preserve">CAPCE Carbon Monoxide Poisoning</t>
  </si>
  <si>
    <t xml:space="preserve">CAPCE Class via Target Solutions over CO Poisoning and treating patients</t>
  </si>
  <si>
    <t xml:space="preserve">capce opioid overdose</t>
  </si>
  <si>
    <t xml:space="preserve">capce target solutions over ems dealing with opiod addiction and overdose</t>
  </si>
  <si>
    <t xml:space="preserve">CAPCE HYPOTHERMIA ASSESSMENT AND TREATMENT</t>
  </si>
  <si>
    <t xml:space="preserve">CAPCE HYPOTHERMIA ASSESSMENT AND TREATMENT via Target Solutions for ems hours</t>
  </si>
  <si>
    <t xml:space="preserve">Training over our new pulse ox (RAD-57 PulseOx)</t>
  </si>
  <si>
    <t xml:space="preserve">CAPCE Bloodborne Pathogens Safety assigned by Shannon Pardue</t>
  </si>
  <si>
    <t xml:space="preserve">EMS - MRI SAFETY</t>
  </si>
  <si>
    <t xml:space="preserve">MRI SAFETY video assigned via Target Solutions</t>
  </si>
  <si>
    <t xml:space="preserve">CAPCE Emergency Response to Terrorism - Module 1</t>
  </si>
  <si>
    <t xml:space="preserve">CAPCE Emergency Response to Terrorism - Module 1 via target solutions for ems hrs</t>
  </si>
  <si>
    <t xml:space="preserve">CAPCE Emergency Response to Terrorism: Module 2
via target solutions for ems hrs</t>
  </si>
  <si>
    <t xml:space="preserve">EMS Detailed Physical Exam</t>
  </si>
  <si>
    <t xml:space="preserve">Capce - EMS DETAILED PHYSICAL EXAM
via target solutions for ems hours</t>
  </si>
  <si>
    <t xml:space="preserve">Had an ems class downtown</t>
  </si>
  <si>
    <t xml:space="preserve">Watch video and took test on Train.org</t>
  </si>
  <si>
    <t xml:space="preserve">IGel refresher</t>
  </si>
  <si>
    <t xml:space="preserve">Bloodborne Pathogens Online Training</t>
  </si>
  <si>
    <t xml:space="preserve">Triage/ Mass casualty</t>
  </si>
  <si>
    <t xml:space="preserve">Got out active shooter bag, looked at contents, discussed how to use the contents, and talked about triage</t>
  </si>
  <si>
    <t xml:space="preserve">Active Shooter </t>
  </si>
  <si>
    <t xml:space="preserve">Online Class</t>
  </si>
  <si>
    <t xml:space="preserve">EMS Blitz</t>
  </si>
  <si>
    <t xml:space="preserve">?</t>
  </si>
  <si>
    <t xml:space="preserve">Brady Emergency Care, 14th Ed., Ch. 10 Respiration and Artificial Ventilation, Brady Emergency Care, 14th Ed., Ch. 19 Respiratory Emergencies, Brady Emergency Care, 14th Ed., Ch. 20 Cardiac Emergencies, Brady Emergency Care, 14th Ed., Ch. 9 Airway Management</t>
  </si>
  <si>
    <t xml:space="preserve">KBEMS Airway, KBEMS Cardiovascular, KBEMS EMT Elective Hours</t>
  </si>
  <si>
    <t xml:space="preserve">Medical Center EMS Blitz </t>
  </si>
  <si>
    <t xml:space="preserve">Medical Center EMS Course Taught by Casey McCoy</t>
  </si>
  <si>
    <t xml:space="preserve">Brady Emergency Care, 14th Ed., Ch. 1 Intro to Emergency Medical Services, Brady Emergency Care, 14th Ed., Ch. 10 Respiration and Artificial Ventilation, Brady Emergency Care, 14th Ed., Ch. 11 Scene Size-up, Brady Emergency Care, 14th Ed., Ch. 12 Primary Assessment, Brady Emergency Care, 14th Ed., Ch. 13 Vital Signs &amp; Monitoring Devices, Brady Emergency Care, 14th Ed., Ch. 14 Principles of Assessment, Brady Emergency Care, 14th Ed., Ch. 15 Secondary Assessment, Brady Emergency Care, 14th Ed., Ch. 16 Reassessment, Brady Emergency Care, 14th Ed., Ch. 17 Communication and Documentation, Brady Emergency Care, 14th Ed., Ch. 18 General Pharmacology, Brady Emergency Care, 14th Ed., Ch. 19 Respiratory Emergencies, Brady Emergency Care, 14th Ed., Ch. 2 Well-Being of the EMT, Brady Emergency Care, 14th Ed., Ch. 20 Cardiac Emergencies, Brady Emergency Care, 14th Ed., Ch. 21 Resuscitation, Brady Emergency Care, 14th Ed., Ch. 22 Diabetic Emergencies and Altered Mental Status, Brady Emergency Care, 14th Ed., Ch. 23 Allergic Reaction, Brady Emergency Care, 14th Ed., Ch. 24 Infectious Diseases &amp; Sepsis, Brady Emergency Care, 14th Ed., Ch. 25 Poisoning &amp; Overdose Emergencies, Brady Emergency Care, 14th Ed., Ch. 26 Abdominal Emergencies, Brady Emergency Care, 14th Ed., Ch. 27 Behavioral &amp; Psychiatric Emergencies &amp; Suicide, Brady Emergency Care, 14th Ed., Ch. 28 Hematologic and Renal Emergencies, Brady Emergency Care, 14th Ed., Ch. 29 Bleeding &amp; Shock, Brady Emergency Care, 14th Ed., Ch. 3 Lifting &amp; Moving Patients, Brady Emergency Care, 14th Ed., Ch. 30 Soft-Tissue Trauma, Brady Emergency Care, 14th Ed., Ch. 31 Chest &amp; Abdominal Trauma, Brady Emergency Care, 14th Ed., Ch. 32 Musculoskeletal Trauma, Brady Emergency Care, 14th Ed., Ch. 33 Trauma to the Head, Neck, and Spine, Brady Emergency Care, 14th Ed., Ch. 34 Multisystem Trauma, Brady Emergency Care, 14th Ed., Ch. 35 Environmental Emergencies, Brady Emergency Care, 14th Ed., Ch. 36 OB and Gynecological Emergencies, Brady Emergency Care, 14th Ed., Ch. 37 Emergencies for Patients with Special Challenges, Brady Emergency Care, 14th Ed., Ch. 38 EMS Operations, Brady Emergency Care, 14th Ed., Ch. 39 Hazmat, Multiple-Casualty Incidents, &amp; Incident Management</t>
  </si>
  <si>
    <t xml:space="preserve">KBEMS EMT Elective Hours, KBEMS Medical, KBEMS Operations, KBEMS Trauma</t>
  </si>
  <si>
    <t xml:space="preserve">EMT class hours taught by Casey McCoy
TEI # 114818</t>
  </si>
  <si>
    <t xml:space="preserve">CAPCE Supplemental Oxygen online course via Vector solutions</t>
  </si>
  <si>
    <t xml:space="preserve">Mechanics of Breathing</t>
  </si>
  <si>
    <t xml:space="preserve">CAPCE Training via Vector Solutons</t>
  </si>
  <si>
    <t xml:space="preserve">Managing Cardiac Arrest 2 hour online course via Vector Solutions.</t>
  </si>
  <si>
    <t xml:space="preserve">Cardiology</t>
  </si>
  <si>
    <t xml:space="preserve">EMT class by Med Center EMS
Casey McCoy instructor</t>
  </si>
  <si>
    <t xml:space="preserve">Patients  with Special Challenges</t>
  </si>
  <si>
    <t xml:space="preserve">Patients with Special Challneges online course via Vector Solutions</t>
  </si>
  <si>
    <t xml:space="preserve">CAPCE Morbid patients</t>
  </si>
  <si>
    <t xml:space="preserve">CAPCE morbid patient online class via Vector Solutions</t>
  </si>
  <si>
    <t xml:space="preserve">Pharmacology</t>
  </si>
  <si>
    <t xml:space="preserve">Pharmacology
Casey McCoy Med center instructor TEI 045</t>
  </si>
  <si>
    <t xml:space="preserve">CAPCE Driver Training</t>
  </si>
  <si>
    <t xml:space="preserve">CAPCE Driving Safety online course via Vector Solutions</t>
  </si>
  <si>
    <t xml:space="preserve">Trauma patient assessment
Casey McCoy Med center instructor TEI 045</t>
  </si>
  <si>
    <t xml:space="preserve">Train.org HIV/AIDS traning.</t>
  </si>
  <si>
    <t xml:space="preserve">EMS MRI Safety EMS OPERATIONS</t>
  </si>
  <si>
    <t xml:space="preserve">Completed Vector Solutions MRI safety course assigned through training division.</t>
  </si>
  <si>
    <t xml:space="preserve">Pediatric Abusive Heat Trauma</t>
  </si>
  <si>
    <t xml:space="preserve">KBEMS Provider Pediatric Abusive Head Trauma 1095906
Train.org  certificate attached</t>
  </si>
  <si>
    <t xml:space="preserve">Online studying through NREMT crash course applications/online tests.</t>
  </si>
  <si>
    <t xml:space="preserve">Pediatric Abuse/ Head Trauma</t>
  </si>
  <si>
    <t xml:space="preserve">Train.ORG Pediatric abuse and head trauma recertification.</t>
  </si>
  <si>
    <t xml:space="preserve">EMS Training </t>
  </si>
  <si>
    <t xml:space="preserve">Class was taught by Paramedic Ben Thomas. EMS headquarters class over cardiovascular emergencies. During this class we went over 12 lead placement. Signs and symptoms for heart attacks. Transport expectations when brining in Stemi's.</t>
  </si>
  <si>
    <t xml:space="preserve">Neuro Brain Lab </t>
  </si>
  <si>
    <t xml:space="preserve">Dr. Valdiva Neuro surgeon from Centennial taught a stroke care course put on by Air Evac. During this class we cut open a sheep brain and discussed pre hospital stroke care.</t>
  </si>
  <si>
    <t xml:space="preserve">Brady Emergency Care, 14th Ed., Ch. 6 Anatomy &amp; Physiology, EMS: Electives</t>
  </si>
  <si>
    <t xml:space="preserve">EMS - Baby Box </t>
  </si>
  <si>
    <t xml:space="preserve">Baby box drop off re-certification courses and tests.</t>
  </si>
  <si>
    <t xml:space="preserve">Pulse OX training</t>
  </si>
  <si>
    <t xml:space="preserve">Anniston EMS training. Covered respiratory emergencies.</t>
  </si>
  <si>
    <t xml:space="preserve">Casey McCoy from MedCenter EMS taught ems operations refresher.</t>
  </si>
  <si>
    <t xml:space="preserve">P0022-Operations - </t>
  </si>
  <si>
    <t xml:space="preserve">Went over Medical emergencies in response to a terrorist attack.</t>
  </si>
  <si>
    <t xml:space="preserve">EMS emergencies responding to hazmat calls</t>
  </si>
  <si>
    <t xml:space="preserve">EMS emergencies at hazmat incidents.</t>
  </si>
  <si>
    <t xml:space="preserve">MRI Awareness Training</t>
  </si>
  <si>
    <t xml:space="preserve">Completed Vector Solutions MRI Safety and Awareness training.</t>
  </si>
  <si>
    <t xml:space="preserve">CAPCE Bloodborne Pathogens Safety Course</t>
  </si>
  <si>
    <t xml:space="preserve">CAPCE Bloodborne Pathogens Safety Course on Vector Solutions.</t>
  </si>
  <si>
    <t xml:space="preserve">KBEMS Pediatric Head Trauma</t>
  </si>
  <si>
    <t xml:space="preserve">Casey McCoy from MedCenter EMS taught ems trauma refresher.</t>
  </si>
  <si>
    <t xml:space="preserve">Completed and renewed the Sexual Violence Awareness Training on Train.org.</t>
  </si>
  <si>
    <t xml:space="preserve">Chest and Abdominal Trauma</t>
  </si>
  <si>
    <t xml:space="preserve">Musculoskeletal Trauma</t>
  </si>
  <si>
    <t xml:space="preserve">Soft Tissue Trauma</t>
  </si>
  <si>
    <t xml:space="preserve">Trauma to the Head. Neck. and Spine</t>
  </si>
  <si>
    <t xml:space="preserve">EMS- Respiratory </t>
  </si>
  <si>
    <t xml:space="preserve">EMS education taught by outside instructor over the respiratory system and artificial ventilation.</t>
  </si>
  <si>
    <t xml:space="preserve">EMS-Cardiac</t>
  </si>
  <si>
    <t xml:space="preserve">EMS education taught by an outside instructor covering the cardiovascular system and cardiac emergencies.</t>
  </si>
  <si>
    <t xml:space="preserve">Airway and Breathing Mechanics</t>
  </si>
  <si>
    <t xml:space="preserve">Mechanics of Breathing on Target Solutions</t>
  </si>
  <si>
    <t xml:space="preserve">Active shooter </t>
  </si>
  <si>
    <t xml:space="preserve">Active shooter on target solutions</t>
  </si>
  <si>
    <t xml:space="preserve">Brady Emergency Care, 14th Ed., Ch. 29 Bleeding &amp; Shock, Brady Emergency Care, 14th Ed., Ch. 30 Soft-Tissue Trauma, Brady Emergency Care, 14th Ed., Ch. 31 Chest &amp; Abdominal Trauma</t>
  </si>
  <si>
    <t xml:space="preserve">Bloodborne Pathogens Training</t>
  </si>
  <si>
    <t xml:space="preserve">Bloodborne Pathogen training</t>
  </si>
  <si>
    <t xml:space="preserve">Online Pediatric Abusive Head Trauma  Class</t>
  </si>
  <si>
    <t xml:space="preserve">CAPCE Mechanics of Breathing (333244)</t>
  </si>
  <si>
    <t xml:space="preserve">Completed course on Vector Solutions</t>
  </si>
  <si>
    <t xml:space="preserve">Took course on Vector Solutions</t>
  </si>
  <si>
    <t xml:space="preserve">Brady Emergency Care, 14th Ed., Ch. 13 Vital Signs &amp; Monitoring Devices, Brady Emergency Care, 14th Ed., Ch. 20 Cardiac Emergencies</t>
  </si>
  <si>
    <t xml:space="preserve">Brady Emergency Care, 14th Ed., Ch. 20 Cardiac Emergencies, Brady Emergency Care, 14th Ed., Ch. 21 Resuscitation, Brady Emergency Care, 14th Ed., Ch. 9 Airway Management</t>
  </si>
  <si>
    <t xml:space="preserve">Completed course on Train Kentucky</t>
  </si>
  <si>
    <t xml:space="preserve">Completed Course on Vector Solutions</t>
  </si>
  <si>
    <t xml:space="preserve">Brady Emergency Care, 14th Ed., Ch. 12 Primary Assessment, Brady Emergency Care, 14th Ed., Ch. 3 Lifting &amp; Moving Patients, Brady Emergency Care, 14th Ed., Ch. 37 Emergencies for Patients with Special Challenges</t>
  </si>
  <si>
    <t xml:space="preserve">Brady Emergency Care, 14th Ed., Ch. 10 Respiration and Artificial Ventilation, Brady Emergency Care, 14th Ed., Ch. 12 Primary Assessment, Brady Emergency Care, 14th Ed., Ch. 13 Vital Signs &amp; Monitoring Devices, Brady Emergency Care, 14th Ed., Ch. 25 Poisoning &amp; Overdose Emergencies, Brady Emergency Care, 14th Ed., Ch. 35 Environmental Emergencies</t>
  </si>
  <si>
    <t xml:space="preserve">Brady Emergency Care, 14th Ed., Ch. 12 Primary Assessment, Brady Emergency Care, 14th Ed., Ch. 14 Principles of Assessment, Brady Emergency Care, 14th Ed., Ch. 15 Secondary Assessment</t>
  </si>
  <si>
    <t xml:space="preserve">CAPCE Hypothermia Assessment and Treatment (655144)</t>
  </si>
  <si>
    <t xml:space="preserve">CAPCE Medication Errors (334129)</t>
  </si>
  <si>
    <t xml:space="preserve">CAPCE Opioid Overdose &amp; Naloxone Administration (1393595)</t>
  </si>
  <si>
    <t xml:space="preserve">Brady Emergency Care, 14th Ed., Ch. 17 Communication and Documentation, Brady Emergency Care, 14th Ed., Ch. 4 Medical, Legal, and Ethical Issues</t>
  </si>
  <si>
    <t xml:space="preserve">CAPCE Pediatric Assessment (43533)</t>
  </si>
  <si>
    <t xml:space="preserve">Brady Emergency Care, 14th Ed., Ch. 12 Primary Assessment, Brady Emergency Care, 14th Ed., Ch. 13 Vital Signs &amp; Monitoring Devices, Brady Emergency Care, 14th Ed., Ch. 15 Secondary Assessment</t>
  </si>
  <si>
    <t xml:space="preserve">CAPCE Assessing the Patient with Major Trauma (250875)</t>
  </si>
  <si>
    <t xml:space="preserve">EMS BLITZ</t>
  </si>
  <si>
    <t xml:space="preserve">Brady Emergency Care, 14th Ed., Ch. 10 Respiration and Artificial Ventilation, Brady Emergency Care, 14th Ed., Ch. 17 Communication and Documentation, Brady Emergency Care, 14th Ed., Ch. 19 Respiratory Emergencies, Brady Emergency Care, 14th Ed., Ch. 20 Cardiac Emergencies, Brady Emergency Care, 14th Ed., Ch. 22 Diabetic Emergencies and Altered Mental Status, Brady Emergency Care, 14th Ed., Ch. 26 Abdominal Emergencies, Brady Emergency Care, 14th Ed., Ch. 29 Bleeding &amp; Shock, Brady Emergency Care, 14th Ed., Ch. 3 Lifting &amp; Moving Patients, Brady Emergency Care, 14th Ed., Ch. 30 Soft-Tissue Trauma, Brady Emergency Care, 14th Ed., Ch. 31 Chest &amp; Abdominal Trauma, Brady Emergency Care, 14th Ed., Ch. 32 Musculoskeletal Trauma, Brady Emergency Care, 14th Ed., Ch. 33 Trauma to the Head, Neck, and Spine, Brady Emergency Care, 14th Ed., Ch. 36 OB and Gynecological Emergencies, Brady Emergency Care, 14th Ed., Ch. 38 EMS Operations, Brady Emergency Care, 14th Ed., Ch. 39 Hazmat, Multiple-Casualty Incidents, &amp; Incident Management, Brady Emergency Care, 14th Ed., Ch. 4 Medical, Legal, and Ethical Issues, Brady Emergency Care, 14th Ed., Ch. 40 Highway Safety &amp; Vehicle Extrication, Brady Emergency Care, 14th Ed., Ch. 41 EMS Response to Terrorism, Brady Emergency Care, 14th Ed., Ch. 6 Anatomy &amp; Physiology, Brady Emergency Care, 14th Ed., Ch. 9 Airway Management</t>
  </si>
  <si>
    <t xml:space="preserve">KBEMS Airway, KBEMS Cardiovascular, KBEMS Medical, KBEMS Trauma</t>
  </si>
  <si>
    <t xml:space="preserve">Annual PAHT online course</t>
  </si>
  <si>
    <t xml:space="preserve">Active Shooter PPT</t>
  </si>
  <si>
    <t xml:space="preserve">Targer Solutions. Active shooter powerpoint</t>
  </si>
  <si>
    <t xml:space="preserve">Vector solutions over bloodborne pathogens</t>
  </si>
  <si>
    <t xml:space="preserve">Glucometer and Vital Signs</t>
  </si>
  <si>
    <t xml:space="preserve">Trained with new glucometers and taking vital signs.</t>
  </si>
  <si>
    <t xml:space="preserve">Cardiac Arrest During and After ROSC</t>
  </si>
  <si>
    <t xml:space="preserve">Target Solutions Managing cardiac arrests, during and after resuscitation. Detailed course including IV medications, etc</t>
  </si>
  <si>
    <t xml:space="preserve">Completed city bloodborne pathogens training in Target Solutions. Included video, powerpoint, policy review, and test.</t>
  </si>
  <si>
    <t xml:space="preserve">Proper use of all airway adjuncts including the IGels were trained on.</t>
  </si>
  <si>
    <t xml:space="preserve">Target Solutions: Bloodbourne Pathogens</t>
  </si>
  <si>
    <t xml:space="preserve">Safety Dave videos on Blood Borne Pathogens awareness</t>
  </si>
  <si>
    <t xml:space="preserve">online training</t>
  </si>
  <si>
    <t xml:space="preserve">Capce- Enviromental Hazards</t>
  </si>
  <si>
    <t xml:space="preserve">Brady Emergency Care, 14th Edition. Ch 38. EMS Ops. CAPCE Online Training. Slips, Trips, and Falls</t>
  </si>
  <si>
    <t xml:space="preserve">Medical</t>
  </si>
  <si>
    <t xml:space="preserve">Vector Solutions OB/GYN P0012. Baby Box Safe Haven Training. P0010</t>
  </si>
  <si>
    <t xml:space="preserve">Brady Emergency Care, 14th Ed., Ch. 1 Intro to Emergency Medical Services, Brady Emergency Care, 14th Ed., Ch. 36 OB and Gynecological Emergencies</t>
  </si>
  <si>
    <t xml:space="preserve">Bloodborne pathogen</t>
  </si>
  <si>
    <t xml:space="preserve">Online bloodborne pathogen class completed.</t>
  </si>
  <si>
    <t xml:space="preserve">Blood Borne Pathogens Vector Solutions</t>
  </si>
  <si>
    <t xml:space="preserve">MRI safety training video</t>
  </si>
  <si>
    <t xml:space="preserve">Annual refresher</t>
  </si>
  <si>
    <t xml:space="preserve">Target Solutions MRI safety.</t>
  </si>
  <si>
    <t xml:space="preserve">vector solution</t>
  </si>
  <si>
    <t xml:space="preserve">Ventilation - Basic Airway Management</t>
  </si>
  <si>
    <t xml:space="preserve">The purpose of this class was a refresh of proper airway management using BLS type skills. This was for National Certification Recert.</t>
  </si>
  <si>
    <t xml:space="preserve">EMS - Patient Primary, Secondary, and  Reassessment</t>
  </si>
  <si>
    <t xml:space="preserve">Patient assessment, secondary assessment, and reassessment. Vital signs, chief complaint, and general impression.
SFRT Area 4 Instructor #1117041</t>
  </si>
  <si>
    <t xml:space="preserve">KBEMS Medical, KBEMS Trauma</t>
  </si>
  <si>
    <t xml:space="preserve">EMS - CAPCE Bloodborne Pathogens</t>
  </si>
  <si>
    <t xml:space="preserve">CAPCE approved Bloodborne Pathogens course</t>
  </si>
  <si>
    <t xml:space="preserve">Brady Emergency Care, 14th Ed., Ch. 17 Communication and Documentation, Brady Emergency Care, 14th Ed., Ch. 2 Well-Being of the EMT, Brady Emergency Care, 14th Ed., Ch. 24 Infectious Diseases &amp; Sepsis</t>
  </si>
  <si>
    <t xml:space="preserve">EMS - MRI Safety</t>
  </si>
  <si>
    <t xml:space="preserve">MRI Safety for first responders video on Target Solutions</t>
  </si>
  <si>
    <t xml:space="preserve">CAPCE Supplemental Oxygen (91052) Vector Solutions</t>
  </si>
  <si>
    <t xml:space="preserve">CAPCE Pediatric Respiratory Emergencies: Upper and Lower Airway for the First Responder (1318498)</t>
  </si>
  <si>
    <t xml:space="preserve">CAPCE Carbon Monoxide Poisoning (106464) Vector Solutions</t>
  </si>
  <si>
    <t xml:space="preserve">EMS Coronary Syndromes </t>
  </si>
  <si>
    <t xml:space="preserve">CAPCE Acute Coronary Syndromes (655151)
Vector Solutions online presentation with intermittent questions followed by a end of course multiple choice exam.</t>
  </si>
  <si>
    <t xml:space="preserve">CAPCE Acute Coronary Syndromes (655151) Vector Solutions</t>
  </si>
  <si>
    <t xml:space="preserve">City of Bowling Green safety and risk management online presentation of Bloodborne pathogens.</t>
  </si>
  <si>
    <t xml:space="preserve">Physical Exam</t>
  </si>
  <si>
    <t xml:space="preserve">CAPCE Detailed Physical Exam
Power Point presentation with periodic multiple choice questions with end of course multiple choice exam</t>
  </si>
  <si>
    <t xml:space="preserve">Brady Emergency Care, 14th Ed., Ch. 12 Primary Assessment, Brady Emergency Care, 14th Ed., Ch. 14 Principles of Assessment</t>
  </si>
  <si>
    <t xml:space="preserve">Blood Born Pathogens </t>
  </si>
  <si>
    <t xml:space="preserve">RAD-57 PulseOx (2026) Youtube instructional video through vector solutions</t>
  </si>
  <si>
    <t xml:space="preserve">CAPCE Heat Illness and Emergencies (91057) Vector Solutions</t>
  </si>
  <si>
    <t xml:space="preserve">CAPCE Hypothermia Assessment and Treatment (655144) Vector Solutions</t>
  </si>
  <si>
    <t xml:space="preserve">CAPCE Emergency Response to Terrorism - Module 1 (2379) Vector Solutions</t>
  </si>
  <si>
    <t xml:space="preserve">SVAT</t>
  </si>
  <si>
    <t xml:space="preserve">KBEMS Sexual Violence Awareness Training 1100193
Train.org</t>
  </si>
  <si>
    <t xml:space="preserve">CAPCE Jones &amp;amp; Bartlett</t>
  </si>
  <si>
    <t xml:space="preserve">Completed T1 medical bag inventory and equipment checks.</t>
  </si>
  <si>
    <t xml:space="preserve">Bloodborne Pathogens Safety</t>
  </si>
  <si>
    <t xml:space="preserve">EMS cardiac</t>
  </si>
  <si>
    <t xml:space="preserve">target solutions cardiac class</t>
  </si>
  <si>
    <t xml:space="preserve">Safety and risk management class on bloodborne pathogens</t>
  </si>
  <si>
    <t xml:space="preserve">PHAT/HIV/SVAT</t>
  </si>
  <si>
    <t xml:space="preserve">online classes for HIV, PHAT AND SVAT through TRAIN.</t>
  </si>
  <si>
    <t xml:space="preserve">Blood borne pathogens online training</t>
  </si>
  <si>
    <t xml:space="preserve">KY CHFS HIV/AIDS curriculum
completed the capce bloodborne pathogens online trainng</t>
  </si>
  <si>
    <t xml:space="preserve">OB Emergencies</t>
  </si>
  <si>
    <t xml:space="preserve">Target Solutions class on OB Emergencies</t>
  </si>
  <si>
    <t xml:space="preserve">Vector Solutions class and test: CAPCE Managing Cardiac Arrest: During and After Resuscitation (57315)</t>
  </si>
  <si>
    <t xml:space="preserve">CAPCE Acute Coronary Syndrome Vector Solutions video and quiz</t>
  </si>
  <si>
    <t xml:space="preserve">CAPCE Heat Illness and Emergencies (91057) Vector Solutions video and quiz.</t>
  </si>
  <si>
    <t xml:space="preserve">Capce Bloodborne Pathogen</t>
  </si>
  <si>
    <t xml:space="preserve">Bloodborne Pathogen video and quiz from Vector Solutions.</t>
  </si>
  <si>
    <t xml:space="preserve">MRI safety</t>
  </si>
  <si>
    <t xml:space="preserve">MRI Safety video Vector Solutions</t>
  </si>
  <si>
    <t xml:space="preserve">Brady Emergency Care, 14th Ed., Ch. 11 Scene Size-up</t>
  </si>
  <si>
    <t xml:space="preserve">CAPCE Carbon Monoxide Poisoning taken through Target Solutions</t>
  </si>
  <si>
    <t xml:space="preserve">Completed an online CAPCE course through Vector Solutions on the mechanics of breathing.</t>
  </si>
  <si>
    <t xml:space="preserve">CAPCE Cardiac class</t>
  </si>
  <si>
    <t xml:space="preserve">Completed CAPCE course on non-traumatic chest pain through Target Solutions</t>
  </si>
  <si>
    <t xml:space="preserve">Completed online CAPCE caridac arrest course</t>
  </si>
  <si>
    <t xml:space="preserve">Completed online training class covering CO Poisoning</t>
  </si>
  <si>
    <t xml:space="preserve">Completed the CAPCE Hypothermia Assessment and Treatment course through Vector Solutions.</t>
  </si>
  <si>
    <t xml:space="preserve">CAPCE Blood Borne Pathogens</t>
  </si>
  <si>
    <t xml:space="preserve">Completed the online Bloodborne Pathogens course through Vector Solutions.</t>
  </si>
  <si>
    <t xml:space="preserve">Brady Emergency Care, 14th Ed., Ch. 7 Principles of Pathophysiology</t>
  </si>
  <si>
    <t xml:space="preserve">Attended the morning session of the EMT refresher which went over special needs and geriatric populations.</t>
  </si>
  <si>
    <t xml:space="preserve">Completed MRI safety training on Vector Solutions.</t>
  </si>
  <si>
    <t xml:space="preserve">Completed an online CAPCE course on assessing patients with major trauma.</t>
  </si>
  <si>
    <t xml:space="preserve">Completed the Capce training Pediatric Respiratory Emergencies: Upper and Lower Airway for the First Responder.</t>
  </si>
  <si>
    <t xml:space="preserve">Completed the Capce Supplemental Oxygen online training on Target Solutions.</t>
  </si>
  <si>
    <t xml:space="preserve">Participated in the Heart and Lung lab where the anatomy of the heart and lungs were covered along with PEEP, Tidal Volume and the effects of cardiac and respiratory medications.</t>
  </si>
  <si>
    <t xml:space="preserve">Completed the training, CAPCE Managing Cardiac Arrest: During and After Resuscitation.</t>
  </si>
  <si>
    <t xml:space="preserve">Conducted a Capce Training on Target Solutions on Bloodborne Pathogens.</t>
  </si>
  <si>
    <t xml:space="preserve">Completed the Capce training Hypothermia Assessment and Treatment.</t>
  </si>
  <si>
    <t xml:space="preserve">Completed the online Capce training Opioid Overdose and Naloxone Administration.</t>
  </si>
  <si>
    <t xml:space="preserve">Completed the training, CAPCE Heat Illness and Emergencies on Target Solutions.</t>
  </si>
  <si>
    <t xml:space="preserve">Completed the training, Capce Patients with Special Challenges on Target Solutions.</t>
  </si>
  <si>
    <t xml:space="preserve">Completed the Rad 57 Pulse Ox training in Target Solutions and then used the Pulse Ox to train with.</t>
  </si>
  <si>
    <t xml:space="preserve">Completed the training, CAPCE Emergency Response to Terrorism- Module 1 on Target Solutions.</t>
  </si>
  <si>
    <t xml:space="preserve">Completed the training, CAPCE Emergency Response to Terrorism- Module 2 on Target Solutions.</t>
  </si>
  <si>
    <t xml:space="preserve">Completed Landing Zone training at the Bowling Green/Warren County Regional Airport.</t>
  </si>
  <si>
    <t xml:space="preserve">Completed the training, CAPCE Emergency Response to Terrorism- Module 4 on Target Solutions.</t>
  </si>
  <si>
    <t xml:space="preserve">Completed the training, CAPCE Emergency Response to Terrorism- Module 3 on Target Solutions.</t>
  </si>
  <si>
    <t xml:space="preserve">MRI Safety Video on Vector Solutions</t>
  </si>
  <si>
    <t xml:space="preserve">PHAT</t>
  </si>
  <si>
    <t xml:space="preserve">Pediatric Abusive Head Trauma class on Train KY</t>
  </si>
  <si>
    <t xml:space="preserve">MRI safety for vector solutions</t>
  </si>
  <si>
    <t xml:space="preserve">Kentucky EMT recertification targets</t>
  </si>
  <si>
    <t xml:space="preserve">Yellow cells with blue text are inputs. Change a required hour here and Recert Status updates. Cycle is the expiration year and the calendar year before it.</t>
  </si>
  <si>
    <t xml:space="preserve">Category</t>
  </si>
  <si>
    <t xml:space="preserve">Required hours</t>
  </si>
  <si>
    <t xml:space="preserve">Training Standard match</t>
  </si>
  <si>
    <t xml:space="preserve">Operations</t>
  </si>
  <si>
    <t xml:space="preserve">Full standard</t>
  </si>
  <si>
    <t xml:space="preserve">Short name</t>
  </si>
  <si>
    <t xml:space="preserve">How the cycle works</t>
  </si>
  <si>
    <t xml:space="preserve">Cycle rule</t>
  </si>
  <si>
    <t xml:space="preserve">Recertification is a two-calendar-year window ending in the expiration year. Cycle Start is January 1 of the year before Current Exp Date. Cycle End is December 31 of the expiration year.</t>
  </si>
  <si>
    <t xml:space="preserve">An expiration of 12/31/2026 uses every class with Actual Start Date from 2025-01-01 through 2026-12-31. An expiration of 12/31/2027 uses 2026-01-01 through 2027-12-31. A 2025 class does not count toward a 2027 expiration.</t>
  </si>
  <si>
    <t xml:space="preserve">Change the yellow Current Exp Date on Recert Status. Cycle Start, Cycle End, hours, status, and the expiration date shown on Training Detail all follow that cell.</t>
  </si>
  <si>
    <t xml:space="preserve">What counts as an hour</t>
  </si>
  <si>
    <t xml:space="preserve">Credit Hours on Training Detail uses Training Completed Hours when that cell is filled, otherwise Hours, otherwise Duration Hours. Only rows whose Training Standard matches the category are counted.</t>
  </si>
  <si>
    <t xml:space="preserve">Required hours are the yellow cells on the Requirements sheet: Airway 4, Cardiovascular 5, Trauma 3, Medical 6, Operations 2, PAHT 1, SVAT 1, and CPR/AED 1. Edit those if the standard changes.</t>
  </si>
  <si>
    <t xml:space="preserve">CPR/AED is required every cycle. Only rows coded to KBEMS | CPR/AED | CPR/AED count toward that hour. HIV/AIDS stays in the training log and is not part of this pass/fail.</t>
  </si>
  <si>
    <t xml:space="preserve">Adding future classes</t>
  </si>
  <si>
    <t xml:space="preserve">Add the class on Training Detail in the first blank row. Copy the Credit Hours formula and the Current Exp Date formula down from the row above. The status sheet already reads through row 5000.</t>
  </si>
  <si>
    <t xml:space="preserve">For a new person, type the name on the first blank row of Recert Status (column A), enter KEMSIS ID and the yellow expiration date, and use that same Attendee Name on Training Detail.</t>
  </si>
  <si>
    <t xml:space="preserve">Blank input rows are already formula-ready under the current roster.</t>
  </si>
  <si>
    <t xml:space="preserve">Matching notes</t>
  </si>
  <si>
    <t xml:space="preserve">KEMSIS IDs were matched from the roster. Nicknames and spelling differences were mapped (Mike/Michael, Chris/Christopher, DJ/Dan, Justice/Justis, Polland/Poland, middle-name suffixes).</t>
  </si>
  <si>
    <t xml:space="preserve">People with no roster match have a blank KEMSIS ID. Type the ID and expiration in the yellow date cell.</t>
  </si>
  <si>
    <t xml:space="preserve">Duplicate-looking rows in the export were kept.</t>
  </si>
  <si>
    <t xml:space="preserve">Counts in this build</t>
  </si>
  <si>
    <t xml:space="preserve">Training rows loaded: 2969. People on the status sheet: 178. Log includes the October 2026 rows so a 2026 or 2027 cycle can use them.</t>
  </si>
</sst>
</file>

<file path=xl/styles.xml><?xml version="1.0" encoding="utf-8"?>
<styleSheet xmlns="http://schemas.openxmlformats.org/spreadsheetml/2006/main">
  <numFmts count="5">
    <numFmt numFmtId="164" formatCode="General"/>
    <numFmt numFmtId="165" formatCode="General"/>
    <numFmt numFmtId="166" formatCode="yyyy\-mm\-dd"/>
    <numFmt numFmtId="167" formatCode="0.00"/>
    <numFmt numFmtId="168" formatCode="0"/>
  </numFmts>
  <fonts count="18">
    <font>
      <sz val="11"/>
      <color rgb="FF000000"/>
      <name val="Calibri"/>
      <family val="2"/>
      <charset val="1"/>
    </font>
    <font>
      <sz val="10"/>
      <name val="Arial"/>
      <family val="0"/>
    </font>
    <font>
      <sz val="10"/>
      <name val="Arial"/>
      <family val="0"/>
    </font>
    <font>
      <sz val="10"/>
      <name val="Arial"/>
      <family val="0"/>
    </font>
    <font>
      <b val="true"/>
      <sz val="16"/>
      <color rgb="FF1B3A4B"/>
      <name val="Arial"/>
      <family val="0"/>
      <charset val="1"/>
    </font>
    <font>
      <sz val="10"/>
      <color rgb="FF4A5568"/>
      <name val="Arial"/>
      <family val="0"/>
      <charset val="1"/>
    </font>
    <font>
      <b val="true"/>
      <sz val="9"/>
      <name val="Arial"/>
      <family val="0"/>
      <charset val="1"/>
    </font>
    <font>
      <b val="true"/>
      <sz val="14"/>
      <color rgb="FF1F6F6A"/>
      <name val="Arial"/>
      <family val="0"/>
      <charset val="1"/>
    </font>
    <font>
      <b val="true"/>
      <sz val="14"/>
      <color rgb="FF9B2C2C"/>
      <name val="Arial"/>
      <family val="0"/>
      <charset val="1"/>
    </font>
    <font>
      <b val="true"/>
      <sz val="14"/>
      <color rgb="FF975A16"/>
      <name val="Arial"/>
      <family val="0"/>
      <charset val="1"/>
    </font>
    <font>
      <b val="true"/>
      <sz val="10"/>
      <color rgb="FFFFFFFF"/>
      <name val="Arial"/>
      <family val="0"/>
      <charset val="1"/>
    </font>
    <font>
      <sz val="9"/>
      <name val="Arial"/>
      <family val="0"/>
      <charset val="1"/>
    </font>
    <font>
      <sz val="9"/>
      <color rgb="FF0000FF"/>
      <name val="Arial"/>
      <family val="0"/>
      <charset val="1"/>
    </font>
    <font>
      <b val="true"/>
      <sz val="11"/>
      <color rgb="FF1B3A4B"/>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0"/>
      <charset val="1"/>
    </font>
  </fonts>
  <fills count="15">
    <fill>
      <patternFill patternType="none"/>
    </fill>
    <fill>
      <patternFill patternType="gray125"/>
    </fill>
    <fill>
      <patternFill patternType="solid">
        <fgColor rgb="FFE5F6E8"/>
        <bgColor rgb="FFE8F6EE"/>
      </patternFill>
    </fill>
    <fill>
      <patternFill patternType="solid">
        <fgColor rgb="FFFDECEC"/>
        <bgColor rgb="FFF8EEE8"/>
      </patternFill>
    </fill>
    <fill>
      <patternFill patternType="solid">
        <fgColor rgb="FFFFF3BF"/>
        <bgColor rgb="FFFFF4E5"/>
      </patternFill>
    </fill>
    <fill>
      <patternFill patternType="solid">
        <fgColor rgb="FF1B3A4B"/>
        <bgColor rgb="FF003366"/>
      </patternFill>
    </fill>
    <fill>
      <patternFill patternType="solid">
        <fgColor rgb="FFF4F7F8"/>
        <bgColor rgb="FFF9F9F9"/>
      </patternFill>
    </fill>
    <fill>
      <patternFill patternType="solid">
        <fgColor rgb="FFE8F4F8"/>
        <bgColor rgb="FFE8F6EE"/>
      </patternFill>
    </fill>
    <fill>
      <patternFill patternType="solid">
        <fgColor rgb="FFF3E8F8"/>
        <bgColor rgb="FFF8E8EE"/>
      </patternFill>
    </fill>
    <fill>
      <patternFill patternType="solid">
        <fgColor rgb="FFE8F6EE"/>
        <bgColor rgb="FFE5F6E8"/>
      </patternFill>
    </fill>
    <fill>
      <patternFill patternType="solid">
        <fgColor rgb="FFEEF1F6"/>
        <bgColor rgb="FFE8F4F8"/>
      </patternFill>
    </fill>
    <fill>
      <patternFill patternType="solid">
        <fgColor rgb="FFF8F1E8"/>
        <bgColor rgb="FFF8EEE8"/>
      </patternFill>
    </fill>
    <fill>
      <patternFill patternType="solid">
        <fgColor rgb="FFF8E8EE"/>
        <bgColor rgb="FFFDECEC"/>
      </patternFill>
    </fill>
    <fill>
      <patternFill patternType="solid">
        <fgColor rgb="FFF8EEE8"/>
        <bgColor rgb="FFF8F1E8"/>
      </patternFill>
    </fill>
    <fill>
      <patternFill patternType="solid">
        <fgColor rgb="FFFFF4E5"/>
        <bgColor rgb="FFF8F1E8"/>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5" fontId="9" fillId="4" borderId="0" xfId="0" applyFont="true" applyBorder="fals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6" fontId="11"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8" fontId="11" fillId="0" borderId="0" xfId="0" applyFont="true" applyBorder="false" applyAlignment="true" applyProtection="false">
      <alignment horizontal="center" vertical="center" textRotation="0" wrapText="true" indent="0" shrinkToFit="false"/>
      <protection locked="true" hidden="false"/>
    </xf>
    <xf numFmtId="168" fontId="11" fillId="0" borderId="0" xfId="0" applyFont="true" applyBorder="fals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7" fontId="11" fillId="0" borderId="1" xfId="0" applyFont="true" applyBorder="true" applyAlignment="true" applyProtection="false">
      <alignment horizontal="general" vertical="center" textRotation="0" wrapText="false" indent="0" shrinkToFit="false"/>
      <protection locked="true" hidden="false"/>
    </xf>
    <xf numFmtId="166" fontId="11" fillId="0" borderId="1" xfId="0" applyFont="true" applyBorder="true" applyAlignment="true" applyProtection="false">
      <alignment horizontal="general" vertical="center" textRotation="0" wrapText="false" indent="0" shrinkToFit="false"/>
      <protection locked="tru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11" fillId="6" borderId="1"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7" fontId="11" fillId="6" borderId="1" xfId="0" applyFont="true" applyBorder="true" applyAlignment="true" applyProtection="false">
      <alignment horizontal="general" vertical="center" textRotation="0" wrapText="false" indent="0" shrinkToFit="false"/>
      <protection locked="true" hidden="false"/>
    </xf>
    <xf numFmtId="166" fontId="11" fillId="6" borderId="1" xfId="0" applyFont="true" applyBorder="true" applyAlignment="true" applyProtection="false">
      <alignment horizontal="general" vertical="center" textRotation="0" wrapText="false" indent="0" shrinkToFit="false"/>
      <protection locked="true" hidden="false"/>
    </xf>
    <xf numFmtId="164" fontId="11" fillId="8" borderId="1" xfId="0" applyFont="true" applyBorder="true" applyAlignment="true" applyProtection="false">
      <alignment horizontal="general" vertical="center" textRotation="0" wrapText="true" indent="0" shrinkToFit="false"/>
      <protection locked="true" hidden="false"/>
    </xf>
    <xf numFmtId="164" fontId="11" fillId="9" borderId="1" xfId="0" applyFont="true" applyBorder="true" applyAlignment="true" applyProtection="false">
      <alignment horizontal="general" vertical="center" textRotation="0" wrapText="true" indent="0" shrinkToFit="false"/>
      <protection locked="true" hidden="false"/>
    </xf>
    <xf numFmtId="164" fontId="11" fillId="10" borderId="1" xfId="0" applyFont="true" applyBorder="true" applyAlignment="true" applyProtection="false">
      <alignment horizontal="general" vertical="center" textRotation="0" wrapText="true" indent="0" shrinkToFit="false"/>
      <protection locked="true" hidden="false"/>
    </xf>
    <xf numFmtId="164" fontId="11" fillId="11" borderId="1" xfId="0" applyFont="true" applyBorder="true" applyAlignment="true" applyProtection="false">
      <alignment horizontal="general" vertical="center" textRotation="0" wrapText="true" indent="0" shrinkToFit="false"/>
      <protection locked="true" hidden="false"/>
    </xf>
    <xf numFmtId="164" fontId="11" fillId="12" borderId="1" xfId="0" applyFont="true" applyBorder="true" applyAlignment="true" applyProtection="false">
      <alignment horizontal="general" vertical="center" textRotation="0" wrapText="true" indent="0" shrinkToFit="false"/>
      <protection locked="true" hidden="false"/>
    </xf>
    <xf numFmtId="164" fontId="11" fillId="13" borderId="1" xfId="0" applyFont="true" applyBorder="true" applyAlignment="true" applyProtection="false">
      <alignment horizontal="general" vertical="center" textRotation="0" wrapText="true" indent="0" shrinkToFit="false"/>
      <protection locked="true" hidden="false"/>
    </xf>
    <xf numFmtId="164" fontId="11" fillId="14"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B3A4B"/>
        </patternFill>
      </fill>
    </dxf>
    <dxf>
      <fill>
        <patternFill patternType="solid">
          <fgColor rgb="FFF4F7F8"/>
        </patternFill>
      </fill>
    </dxf>
    <dxf>
      <fill>
        <patternFill patternType="solid">
          <fgColor rgb="00FFFFFF"/>
        </patternFill>
      </fill>
    </dxf>
    <dxf>
      <fill>
        <patternFill patternType="solid">
          <fgColor rgb="FFFFFFFF"/>
        </patternFill>
      </fill>
    </dxf>
    <dxf>
      <fill>
        <patternFill patternType="solid">
          <fgColor rgb="FFFFF3BF"/>
        </patternFill>
      </fill>
    </dxf>
    <dxf>
      <fill>
        <patternFill patternType="solid">
          <fgColor rgb="FF0000FF"/>
        </patternFill>
      </fill>
    </dxf>
    <dxf>
      <fill>
        <patternFill patternType="solid">
          <fgColor rgb="FFE5F6E8"/>
        </patternFill>
      </fill>
    </dxf>
    <dxf>
      <fill>
        <patternFill patternType="solid">
          <fgColor rgb="FFFDECEC"/>
        </patternFill>
      </fill>
    </dxf>
    <dxf>
      <fill>
        <patternFill patternType="solid">
          <fgColor rgb="FF17663A"/>
        </patternFill>
      </fill>
    </dxf>
    <dxf>
      <fill>
        <patternFill patternType="solid">
          <fgColor rgb="FF9B2C2C"/>
        </patternFill>
      </fill>
    </dxf>
    <dxf>
      <font>
        <name val="Arial"/>
        <charset val="1"/>
        <family val="0"/>
        <b val="1"/>
        <color rgb="FF17663A"/>
        <sz val="9"/>
      </font>
      <fill>
        <patternFill>
          <bgColor rgb="FFE5F6E8"/>
        </patternFill>
      </fill>
    </dxf>
    <dxf>
      <font>
        <name val="Arial"/>
        <charset val="1"/>
        <family val="0"/>
        <b val="1"/>
        <color rgb="FF9B2C2C"/>
        <sz val="9"/>
      </font>
      <fill>
        <patternFill>
          <bgColor rgb="FFFDECEC"/>
        </patternFill>
      </fill>
    </dxf>
    <dxf>
      <font>
        <name val="Arial"/>
        <charset val="1"/>
        <family val="0"/>
        <b val="1"/>
        <color rgb="FF975A16"/>
        <sz val="9"/>
      </font>
      <fill>
        <patternFill>
          <bgColor rgb="FFFFF3BF"/>
        </patternFill>
      </fill>
    </dxf>
    <dxf>
      <font>
        <name val="Arial"/>
        <charset val="1"/>
        <family val="0"/>
        <b val="1"/>
        <color rgb="FF9B2C2C"/>
        <sz val="9"/>
      </font>
      <fill>
        <patternFill>
          <bgColor rgb="FFFDECEC"/>
        </patternFill>
      </fill>
    </dxf>
    <dxf>
      <font>
        <name val="Arial"/>
        <charset val="1"/>
        <family val="0"/>
        <b val="1"/>
        <color rgb="FF17663A"/>
        <sz val="9"/>
      </font>
      <fill>
        <patternFill>
          <bgColor rgb="FFE5F6E8"/>
        </patternFill>
      </fill>
    </dxf>
    <dxf>
      <fill>
        <patternFill patternType="solid">
          <fgColor rgb="FFE8F4F8"/>
        </patternFill>
      </fill>
    </dxf>
    <dxf>
      <fill>
        <patternFill patternType="solid">
          <fgColor rgb="FFE8F6EE"/>
        </patternFill>
      </fill>
    </dxf>
    <dxf>
      <fill>
        <patternFill patternType="solid">
          <fgColor rgb="FFEEF1F6"/>
        </patternFill>
      </fill>
    </dxf>
    <dxf>
      <fill>
        <patternFill patternType="solid">
          <fgColor rgb="FFF3E8F8"/>
        </patternFill>
      </fill>
    </dxf>
    <dxf>
      <fill>
        <patternFill patternType="solid">
          <fgColor rgb="FFF8E8EE"/>
        </patternFill>
      </fill>
    </dxf>
    <dxf>
      <fill>
        <patternFill patternType="solid">
          <fgColor rgb="FFF8EEE8"/>
        </patternFill>
      </fill>
    </dxf>
    <dxf>
      <fill>
        <patternFill patternType="solid">
          <fgColor rgb="FFF8F1E8"/>
        </patternFill>
      </fill>
    </dxf>
    <dxf>
      <fill>
        <patternFill patternType="solid">
          <fgColor rgb="FFFFF4E5"/>
        </patternFill>
      </fill>
    </dxf>
  </dxfs>
  <colors>
    <indexedColors>
      <rgbColor rgb="FF000000"/>
      <rgbColor rgb="FFFFFFFF"/>
      <rgbColor rgb="FFFF0000"/>
      <rgbColor rgb="FF00FF00"/>
      <rgbColor rgb="FF0000FF"/>
      <rgbColor rgb="FFF8F1E8"/>
      <rgbColor rgb="FFFF00FF"/>
      <rgbColor rgb="FF00FFFF"/>
      <rgbColor rgb="FF800000"/>
      <rgbColor rgb="FF17663A"/>
      <rgbColor rgb="FF000080"/>
      <rgbColor rgb="FF975A16"/>
      <rgbColor rgb="FF800080"/>
      <rgbColor rgb="FF1F6F6A"/>
      <rgbColor rgb="FFD9D9D9"/>
      <rgbColor rgb="FF878787"/>
      <rgbColor rgb="FFEEF1F6"/>
      <rgbColor rgb="FF993366"/>
      <rgbColor rgb="FFFFF3BF"/>
      <rgbColor rgb="FFE5F6E8"/>
      <rgbColor rgb="FF660066"/>
      <rgbColor rgb="FFFF8080"/>
      <rgbColor rgb="FF0066CC"/>
      <rgbColor rgb="FFD0D7DE"/>
      <rgbColor rgb="FF000080"/>
      <rgbColor rgb="FFFF00FF"/>
      <rgbColor rgb="FFF4F7F8"/>
      <rgbColor rgb="FF00FFFF"/>
      <rgbColor rgb="FF800080"/>
      <rgbColor rgb="FF800000"/>
      <rgbColor rgb="FF008080"/>
      <rgbColor rgb="FF0000FF"/>
      <rgbColor rgb="FF00CCFF"/>
      <rgbColor rgb="FFE8F4F8"/>
      <rgbColor rgb="FFE8F6EE"/>
      <rgbColor rgb="FFFFF4E5"/>
      <rgbColor rgb="FFF3E8F8"/>
      <rgbColor rgb="FFFDECEC"/>
      <rgbColor rgb="FFF8EEE8"/>
      <rgbColor rgb="FFF8E8EE"/>
      <rgbColor rgb="FF4F81BD"/>
      <rgbColor rgb="FF33CCCC"/>
      <rgbColor rgb="FF99CC00"/>
      <rgbColor rgb="FFF9F9F9"/>
      <rgbColor rgb="FFFF9900"/>
      <rgbColor rgb="FFFF6600"/>
      <rgbColor rgb="FF4A5568"/>
      <rgbColor rgb="FF969696"/>
      <rgbColor rgb="FF003366"/>
      <rgbColor rgb="FF339966"/>
      <rgbColor rgb="FF003300"/>
      <rgbColor rgb="FF333300"/>
      <rgbColor rgb="FF9B2C2C"/>
      <rgbColor rgb="FF993366"/>
      <rgbColor rgb="FF333399"/>
      <rgbColor rgb="FF1B3A4B"/>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People still short, by category</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'Recert Status'!$A$214:$H$214</c:f>
              <c:strCache>
                <c:ptCount val="8"/>
                <c:pt idx="0">
                  <c:v>Airway</c:v>
                </c:pt>
                <c:pt idx="1">
                  <c:v>Cardiovascular</c:v>
                </c:pt>
                <c:pt idx="2">
                  <c:v>Trauma</c:v>
                </c:pt>
                <c:pt idx="3">
                  <c:v>Medical</c:v>
                </c:pt>
                <c:pt idx="4">
                  <c:v>Operations</c:v>
                </c:pt>
                <c:pt idx="5">
                  <c:v>PAHT</c:v>
                </c:pt>
                <c:pt idx="6">
                  <c:v>SVAT</c:v>
                </c:pt>
                <c:pt idx="7">
                  <c:v>CPR/AED</c:v>
                </c:pt>
              </c:strCache>
            </c:strRef>
          </c:cat>
          <c:val>
            <c:numRef>
              <c:f>'Recert Status'!$A$215:$H$215</c:f>
              <c:numCache>
                <c:formatCode>General</c:formatCode>
                <c:ptCount val="8"/>
                <c:pt idx="0">
                  <c:v>137</c:v>
                </c:pt>
                <c:pt idx="1">
                  <c:v>134</c:v>
                </c:pt>
                <c:pt idx="2">
                  <c:v>35</c:v>
                </c:pt>
                <c:pt idx="3">
                  <c:v>108</c:v>
                </c:pt>
                <c:pt idx="4">
                  <c:v>66</c:v>
                </c:pt>
                <c:pt idx="5">
                  <c:v>119</c:v>
                </c:pt>
                <c:pt idx="6">
                  <c:v>137</c:v>
                </c:pt>
                <c:pt idx="7">
                  <c:v>114</c:v>
                </c:pt>
              </c:numCache>
            </c:numRef>
          </c:val>
        </c:ser>
        <c:gapWidth val="150"/>
        <c:overlap val="0"/>
        <c:axId val="19063545"/>
        <c:axId val="98911322"/>
      </c:barChart>
      <c:catAx>
        <c:axId val="190635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911322"/>
        <c:crosses val="autoZero"/>
        <c:auto val="1"/>
        <c:lblAlgn val="ctr"/>
        <c:lblOffset val="100"/>
        <c:noMultiLvlLbl val="0"/>
      </c:catAx>
      <c:valAx>
        <c:axId val="989113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People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0635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218</xdr:row>
      <xdr:rowOff>0</xdr:rowOff>
    </xdr:from>
    <xdr:to>
      <xdr:col>5</xdr:col>
      <xdr:colOff>558720</xdr:colOff>
      <xdr:row>231</xdr:row>
      <xdr:rowOff>42840</xdr:rowOff>
    </xdr:to>
    <xdr:graphicFrame>
      <xdr:nvGraphicFramePr>
        <xdr:cNvPr id="0" name="Chart 1"/>
        <xdr:cNvGraphicFramePr/>
      </xdr:nvGraphicFramePr>
      <xdr:xfrm>
        <a:off x="0" y="4207176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15"/>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5" min="4" style="1" width="14"/>
    <col collapsed="false" customWidth="true" hidden="false" outlineLevel="0" max="13" min="6" style="1" width="16"/>
    <col collapsed="false" customWidth="true" hidden="false" outlineLevel="0" max="14" min="14" style="1" width="14"/>
    <col collapsed="false" customWidth="true" hidden="false" outlineLevel="0" max="15" min="15" style="0" width="46"/>
  </cols>
  <sheetData>
    <row r="1" customFormat="false" ht="24" hidden="false" customHeight="true" outlineLevel="0" collapsed="false">
      <c r="A1" s="2" t="s">
        <v>0</v>
      </c>
      <c r="B1" s="2"/>
      <c r="C1" s="2"/>
      <c r="D1" s="2"/>
      <c r="E1" s="2"/>
      <c r="F1" s="2"/>
      <c r="G1" s="2"/>
      <c r="H1" s="2"/>
      <c r="I1" s="2"/>
      <c r="J1" s="2"/>
      <c r="K1" s="2"/>
      <c r="L1" s="2"/>
      <c r="M1" s="2"/>
      <c r="N1" s="2"/>
    </row>
    <row r="2" customFormat="false" ht="33.75" hidden="false" customHeight="true" outlineLevel="0" collapsed="false">
      <c r="A2" s="3" t="s">
        <v>1</v>
      </c>
      <c r="B2" s="3"/>
      <c r="C2" s="3"/>
      <c r="D2" s="3"/>
      <c r="E2" s="3"/>
      <c r="F2" s="3"/>
      <c r="G2" s="3"/>
      <c r="H2" s="3"/>
      <c r="I2" s="3"/>
      <c r="J2" s="3"/>
      <c r="K2" s="3"/>
      <c r="L2" s="3"/>
      <c r="M2" s="3"/>
      <c r="N2" s="3"/>
    </row>
    <row r="4" customFormat="false" ht="15" hidden="false" customHeight="true" outlineLevel="0" collapsed="false">
      <c r="A4" s="4" t="s">
        <v>2</v>
      </c>
      <c r="B4" s="5" t="n">
        <f aca="false">COUNTIF(N8:N210,"Met")</f>
        <v>0</v>
      </c>
      <c r="C4" s="6" t="s">
        <v>3</v>
      </c>
      <c r="D4" s="7" t="n">
        <f aca="false">COUNTIF(N8:N210,"Short")</f>
        <v>155</v>
      </c>
      <c r="E4" s="8" t="s">
        <v>4</v>
      </c>
      <c r="F4" s="9" t="n">
        <f aca="false">COUNTIF(N8:N210,"Set exp date")</f>
        <v>23</v>
      </c>
    </row>
    <row r="7" customFormat="false" ht="30" hidden="false" customHeight="true" outlineLevel="0" collapsed="false">
      <c r="A7" s="10" t="s">
        <v>5</v>
      </c>
      <c r="B7" s="10" t="s">
        <v>6</v>
      </c>
      <c r="C7" s="10" t="s">
        <v>7</v>
      </c>
      <c r="D7" s="10" t="s">
        <v>8</v>
      </c>
      <c r="E7" s="10" t="s">
        <v>9</v>
      </c>
      <c r="F7" s="10" t="str">
        <f aca="false">Requirements!A5&amp;" ("&amp;TEXT(Requirements!B5,"0")&amp;")"</f>
        <v>Airway (4)</v>
      </c>
      <c r="G7" s="10" t="str">
        <f aca="false">Requirements!A6&amp;" ("&amp;TEXT(Requirements!B6,"0")&amp;")"</f>
        <v>Cardiovascular (5)</v>
      </c>
      <c r="H7" s="10" t="str">
        <f aca="false">Requirements!A7&amp;" ("&amp;TEXT(Requirements!B7,"0")&amp;")"</f>
        <v>Trauma (3)</v>
      </c>
      <c r="I7" s="10" t="str">
        <f aca="false">Requirements!A8&amp;" ("&amp;TEXT(Requirements!B8,"0")&amp;")"</f>
        <v>Medical (6)</v>
      </c>
      <c r="J7" s="10" t="str">
        <f aca="false">Requirements!A9&amp;" ("&amp;TEXT(Requirements!B9,"0")&amp;")"</f>
        <v>Operations (2)</v>
      </c>
      <c r="K7" s="10" t="str">
        <f aca="false">Requirements!A10&amp;" ("&amp;TEXT(Requirements!B10,"0")&amp;")"</f>
        <v>PAHT (1)</v>
      </c>
      <c r="L7" s="10" t="str">
        <f aca="false">Requirements!A11&amp;" ("&amp;TEXT(Requirements!B11,"0")&amp;")"</f>
        <v>SVAT (1)</v>
      </c>
      <c r="M7" s="10" t="str">
        <f aca="false">Requirements!A12&amp;" ("&amp;TEXT(Requirements!B12,"0")&amp;")"</f>
        <v>CPR/AED (1)</v>
      </c>
      <c r="N7" s="10" t="s">
        <v>10</v>
      </c>
      <c r="O7" s="10" t="s">
        <v>11</v>
      </c>
    </row>
    <row r="8" customFormat="false" ht="15" hidden="false" customHeight="true" outlineLevel="0" collapsed="false">
      <c r="A8" s="11" t="s">
        <v>12</v>
      </c>
      <c r="B8" s="12" t="s">
        <v>13</v>
      </c>
      <c r="C8" s="13" t="n">
        <v>46387</v>
      </c>
      <c r="D8" s="14" t="n">
        <f aca="false">IF(C8="","",DATE(YEAR(C8)-1,1,1))</f>
        <v>45658</v>
      </c>
      <c r="E8" s="14" t="n">
        <f aca="false">IF(C8="","",DATE(YEAR(C8),12,31))</f>
        <v>46387</v>
      </c>
      <c r="F8" s="15" t="n">
        <f aca="false">IF(OR(A8="",C8=""),"",SUMPRODUCT(('Training Detail'!$A$5:$A$5000=A8)*('Training Detail'!$M$5:$M$5000=Standards!A2)*('Training Detail'!$G$5:$G$5000&gt;=D8)*('Training Detail'!$G$5:$G$5000&lt;=E8)*('Training Detail'!$P$5:$P$5000)))</f>
        <v>2</v>
      </c>
      <c r="G8" s="15" t="n">
        <f aca="false">IF(OR(A8="",C8=""),"",SUMPRODUCT(('Training Detail'!$A$5:$A$5000=A8)*('Training Detail'!$M$5:$M$5000=Standards!A3)*('Training Detail'!$G$5:$G$5000&gt;=D8)*('Training Detail'!$G$5:$G$5000&lt;=E8)*('Training Detail'!$P$5:$P$5000)))</f>
        <v>0</v>
      </c>
      <c r="H8" s="15" t="n">
        <f aca="false">IF(OR(A8="",C8=""),"",SUMPRODUCT(('Training Detail'!$A$5:$A$5000=A8)*('Training Detail'!$M$5:$M$5000=Standards!A4)*('Training Detail'!$G$5:$G$5000&gt;=D8)*('Training Detail'!$G$5:$G$5000&lt;=E8)*('Training Detail'!$P$5:$P$5000)))</f>
        <v>2.5</v>
      </c>
      <c r="I8" s="15" t="n">
        <f aca="false">IF(OR(A8="",C8=""),"",SUMPRODUCT(('Training Detail'!$A$5:$A$5000=A8)*('Training Detail'!$M$5:$M$5000=Standards!A5)*('Training Detail'!$G$5:$G$5000&gt;=D8)*('Training Detail'!$G$5:$G$5000&lt;=E8)*('Training Detail'!$P$5:$P$5000)))</f>
        <v>5</v>
      </c>
      <c r="J8" s="15" t="n">
        <f aca="false">IF(OR(A8="",C8=""),"",SUMPRODUCT(('Training Detail'!$A$5:$A$5000=A8)*('Training Detail'!$M$5:$M$5000=Standards!A6)*('Training Detail'!$G$5:$G$5000&gt;=D8)*('Training Detail'!$G$5:$G$5000&lt;=E8)*('Training Detail'!$P$5:$P$5000)))</f>
        <v>1</v>
      </c>
      <c r="K8" s="15" t="n">
        <f aca="false">IF(OR(A8="",C8=""),"",SUMPRODUCT(('Training Detail'!$A$5:$A$5000=A8)*('Training Detail'!$M$5:$M$5000=Standards!A7)*('Training Detail'!$G$5:$G$5000&gt;=D8)*('Training Detail'!$G$5:$G$5000&lt;=E8)*('Training Detail'!$P$5:$P$5000)))</f>
        <v>1</v>
      </c>
      <c r="L8" s="15" t="n">
        <f aca="false">IF(OR(A8="",C8=""),"",SUMPRODUCT(('Training Detail'!$A$5:$A$5000=A8)*('Training Detail'!$M$5:$M$5000=Standards!A8)*('Training Detail'!$G$5:$G$5000&gt;=D8)*('Training Detail'!$G$5:$G$5000&lt;=E8)*('Training Detail'!$P$5:$P$5000)))</f>
        <v>1</v>
      </c>
      <c r="M8" s="16" t="n">
        <f aca="false">IF(OR(A8="",C8=""),"",SUMPRODUCT(('Training Detail'!$A$5:$A$5000=A8)*('Training Detail'!$M$5:$M$5000=Standards!A9)*('Training Detail'!$G$5:$G$5000&gt;=D8)*('Training Detail'!$G$5:$G$5000&lt;=E8)*('Training Detail'!$P$5:$P$5000)))</f>
        <v>0</v>
      </c>
      <c r="N8" s="17" t="str">
        <f aca="false">IF(A8="","",IF(C8="","Set exp date",IF(AND(F8&gt;=Requirements!B5,G8&gt;=Requirements!B6,H8&gt;=Requirements!B7,I8&gt;=Requirements!B8,J8&gt;=Requirements!B9,K8&gt;=Requirements!B10,L8&gt;=Requirements!B11,M8&gt;=Requirements!B12),"Met","Short")))</f>
        <v>Short</v>
      </c>
      <c r="O8" s="18" t="str">
        <f aca="false">IF(OR(A8="",C8=""),"",IF(N8="Met","",IF(F8&lt;Requirements!B5,Requirements!A5&amp;" "&amp;TEXT(Requirements!B5-F8,"0.##")&amp;"; ","")&amp;IF(G8&lt;Requirements!B6,Requirements!A6&amp;" "&amp;TEXT(Requirements!B6-G8,"0.##")&amp;"; ","")&amp;IF(H8&lt;Requirements!B7,Requirements!A7&amp;" "&amp;TEXT(Requirements!B7-H8,"0.##")&amp;"; ","")&amp;IF(I8&lt;Requirements!B8,Requirements!A8&amp;" "&amp;TEXT(Requirements!B8-I8,"0.##")&amp;"; ","")&amp;IF(J8&lt;Requirements!B9,Requirements!A9&amp;" "&amp;TEXT(Requirements!B9-J8,"0.##")&amp;"; ","")&amp;IF(K8&lt;Requirements!B10,Requirements!A10&amp;" "&amp;TEXT(Requirements!B10-K8,"0.##")&amp;"; ","")&amp;IF(L8&lt;Requirements!B11,Requirements!A11&amp;" "&amp;TEXT(Requirements!B11-L8,"0.##")&amp;"; ","")&amp;IF(M8&lt;Requirements!B12,Requirements!A12&amp;" "&amp;TEXT(Requirements!B12-M8,"0.##")&amp;"; ","")))</f>
        <v>Airway 2; Cardiovascular 5; Trauma 0.5; Medical 1; Operations 1; CPR/AED 1; </v>
      </c>
    </row>
    <row r="9" customFormat="false" ht="15" hidden="false" customHeight="true" outlineLevel="0" collapsed="false">
      <c r="A9" s="19" t="s">
        <v>14</v>
      </c>
      <c r="B9" s="20" t="s">
        <v>15</v>
      </c>
      <c r="C9" s="13" t="n">
        <v>46752</v>
      </c>
      <c r="D9" s="21" t="n">
        <f aca="false">IF(C9="","",DATE(YEAR(C9)-1,1,1))</f>
        <v>46023</v>
      </c>
      <c r="E9" s="21" t="n">
        <f aca="false">IF(C9="","",DATE(YEAR(C9),12,31))</f>
        <v>46752</v>
      </c>
      <c r="F9" s="15" t="n">
        <f aca="false">IF(OR(A9="",C9=""),"",SUMPRODUCT(('Training Detail'!$A$5:$A$5000=A9)*('Training Detail'!$M$5:$M$5000=Standards!A2)*('Training Detail'!$G$5:$G$5000&gt;=D9)*('Training Detail'!$G$5:$G$5000&lt;=E9)*('Training Detail'!$P$5:$P$5000)))</f>
        <v>0</v>
      </c>
      <c r="G9" s="15" t="n">
        <f aca="false">IF(OR(A9="",C9=""),"",SUMPRODUCT(('Training Detail'!$A$5:$A$5000=A9)*('Training Detail'!$M$5:$M$5000=Standards!A3)*('Training Detail'!$G$5:$G$5000&gt;=D9)*('Training Detail'!$G$5:$G$5000&lt;=E9)*('Training Detail'!$P$5:$P$5000)))</f>
        <v>0</v>
      </c>
      <c r="H9" s="15" t="n">
        <f aca="false">IF(OR(A9="",C9=""),"",SUMPRODUCT(('Training Detail'!$A$5:$A$5000=A9)*('Training Detail'!$M$5:$M$5000=Standards!A4)*('Training Detail'!$G$5:$G$5000&gt;=D9)*('Training Detail'!$G$5:$G$5000&lt;=E9)*('Training Detail'!$P$5:$P$5000)))</f>
        <v>2</v>
      </c>
      <c r="I9" s="15" t="n">
        <f aca="false">IF(OR(A9="",C9=""),"",SUMPRODUCT(('Training Detail'!$A$5:$A$5000=A9)*('Training Detail'!$M$5:$M$5000=Standards!A5)*('Training Detail'!$G$5:$G$5000&gt;=D9)*('Training Detail'!$G$5:$G$5000&lt;=E9)*('Training Detail'!$P$5:$P$5000)))</f>
        <v>0</v>
      </c>
      <c r="J9" s="15" t="n">
        <f aca="false">IF(OR(A9="",C9=""),"",SUMPRODUCT(('Training Detail'!$A$5:$A$5000=A9)*('Training Detail'!$M$5:$M$5000=Standards!A6)*('Training Detail'!$G$5:$G$5000&gt;=D9)*('Training Detail'!$G$5:$G$5000&lt;=E9)*('Training Detail'!$P$5:$P$5000)))</f>
        <v>1</v>
      </c>
      <c r="K9" s="15" t="n">
        <f aca="false">IF(OR(A9="",C9=""),"",SUMPRODUCT(('Training Detail'!$A$5:$A$5000=A9)*('Training Detail'!$M$5:$M$5000=Standards!A7)*('Training Detail'!$G$5:$G$5000&gt;=D9)*('Training Detail'!$G$5:$G$5000&lt;=E9)*('Training Detail'!$P$5:$P$5000)))</f>
        <v>0</v>
      </c>
      <c r="L9" s="15" t="n">
        <f aca="false">IF(OR(A9="",C9=""),"",SUMPRODUCT(('Training Detail'!$A$5:$A$5000=A9)*('Training Detail'!$M$5:$M$5000=Standards!A8)*('Training Detail'!$G$5:$G$5000&gt;=D9)*('Training Detail'!$G$5:$G$5000&lt;=E9)*('Training Detail'!$P$5:$P$5000)))</f>
        <v>0</v>
      </c>
      <c r="M9" s="16" t="n">
        <f aca="false">IF(OR(A9="",C9=""),"",SUMPRODUCT(('Training Detail'!$A$5:$A$5000=A9)*('Training Detail'!$M$5:$M$5000=Standards!A9)*('Training Detail'!$G$5:$G$5000&gt;=D9)*('Training Detail'!$G$5:$G$5000&lt;=E9)*('Training Detail'!$P$5:$P$5000)))</f>
        <v>0</v>
      </c>
      <c r="N9" s="17" t="str">
        <f aca="false">IF(A9="","",IF(C9="","Set exp date",IF(AND(F9&gt;=Requirements!B5,G9&gt;=Requirements!B6,H9&gt;=Requirements!B7,I9&gt;=Requirements!B8,J9&gt;=Requirements!B9,K9&gt;=Requirements!B10,L9&gt;=Requirements!B11,M9&gt;=Requirements!B12),"Met","Short")))</f>
        <v>Short</v>
      </c>
      <c r="O9" s="18" t="str">
        <f aca="false">IF(OR(A9="",C9=""),"",IF(N9="Met","",IF(F9&lt;Requirements!B5,Requirements!A5&amp;" "&amp;TEXT(Requirements!B5-F9,"0.##")&amp;"; ","")&amp;IF(G9&lt;Requirements!B6,Requirements!A6&amp;" "&amp;TEXT(Requirements!B6-G9,"0.##")&amp;"; ","")&amp;IF(H9&lt;Requirements!B7,Requirements!A7&amp;" "&amp;TEXT(Requirements!B7-H9,"0.##")&amp;"; ","")&amp;IF(I9&lt;Requirements!B8,Requirements!A8&amp;" "&amp;TEXT(Requirements!B8-I9,"0.##")&amp;"; ","")&amp;IF(J9&lt;Requirements!B9,Requirements!A9&amp;" "&amp;TEXT(Requirements!B9-J9,"0.##")&amp;"; ","")&amp;IF(K9&lt;Requirements!B10,Requirements!A10&amp;" "&amp;TEXT(Requirements!B10-K9,"0.##")&amp;"; ","")&amp;IF(L9&lt;Requirements!B11,Requirements!A11&amp;" "&amp;TEXT(Requirements!B11-L9,"0.##")&amp;"; ","")&amp;IF(M9&lt;Requirements!B12,Requirements!A12&amp;" "&amp;TEXT(Requirements!B12-M9,"0.##")&amp;"; ","")))</f>
        <v>Airway 4; Cardiovascular 5; Trauma 1; Medical 6; Operations 1; PAHT 1; SVAT 1; CPR/AED 1; </v>
      </c>
    </row>
    <row r="10" customFormat="false" ht="15" hidden="false" customHeight="true" outlineLevel="0" collapsed="false">
      <c r="A10" s="11" t="s">
        <v>16</v>
      </c>
      <c r="B10" s="12" t="s">
        <v>17</v>
      </c>
      <c r="C10" s="13" t="n">
        <v>46387</v>
      </c>
      <c r="D10" s="14" t="n">
        <f aca="false">IF(C10="","",DATE(YEAR(C10)-1,1,1))</f>
        <v>45658</v>
      </c>
      <c r="E10" s="14" t="n">
        <f aca="false">IF(C10="","",DATE(YEAR(C10),12,31))</f>
        <v>46387</v>
      </c>
      <c r="F10" s="15" t="n">
        <f aca="false">IF(OR(A10="",C10=""),"",SUMPRODUCT(('Training Detail'!$A$5:$A$5000=A10)*('Training Detail'!$M$5:$M$5000=Standards!A2)*('Training Detail'!$G$5:$G$5000&gt;=D10)*('Training Detail'!$G$5:$G$5000&lt;=E10)*('Training Detail'!$P$5:$P$5000)))</f>
        <v>3</v>
      </c>
      <c r="G10" s="15" t="n">
        <f aca="false">IF(OR(A10="",C10=""),"",SUMPRODUCT(('Training Detail'!$A$5:$A$5000=A10)*('Training Detail'!$M$5:$M$5000=Standards!A3)*('Training Detail'!$G$5:$G$5000&gt;=D10)*('Training Detail'!$G$5:$G$5000&lt;=E10)*('Training Detail'!$P$5:$P$5000)))</f>
        <v>2</v>
      </c>
      <c r="H10" s="15" t="n">
        <f aca="false">IF(OR(A10="",C10=""),"",SUMPRODUCT(('Training Detail'!$A$5:$A$5000=A10)*('Training Detail'!$M$5:$M$5000=Standards!A4)*('Training Detail'!$G$5:$G$5000&gt;=D10)*('Training Detail'!$G$5:$G$5000&lt;=E10)*('Training Detail'!$P$5:$P$5000)))</f>
        <v>12</v>
      </c>
      <c r="I10" s="15" t="n">
        <f aca="false">IF(OR(A10="",C10=""),"",SUMPRODUCT(('Training Detail'!$A$5:$A$5000=A10)*('Training Detail'!$M$5:$M$5000=Standards!A5)*('Training Detail'!$G$5:$G$5000&gt;=D10)*('Training Detail'!$G$5:$G$5000&lt;=E10)*('Training Detail'!$P$5:$P$5000)))</f>
        <v>3.5</v>
      </c>
      <c r="J10" s="15" t="n">
        <f aca="false">IF(OR(A10="",C10=""),"",SUMPRODUCT(('Training Detail'!$A$5:$A$5000=A10)*('Training Detail'!$M$5:$M$5000=Standards!A6)*('Training Detail'!$G$5:$G$5000&gt;=D10)*('Training Detail'!$G$5:$G$5000&lt;=E10)*('Training Detail'!$P$5:$P$5000)))</f>
        <v>1</v>
      </c>
      <c r="K10" s="15" t="n">
        <f aca="false">IF(OR(A10="",C10=""),"",SUMPRODUCT(('Training Detail'!$A$5:$A$5000=A10)*('Training Detail'!$M$5:$M$5000=Standards!A7)*('Training Detail'!$G$5:$G$5000&gt;=D10)*('Training Detail'!$G$5:$G$5000&lt;=E10)*('Training Detail'!$P$5:$P$5000)))</f>
        <v>1</v>
      </c>
      <c r="L10" s="15" t="n">
        <f aca="false">IF(OR(A10="",C10=""),"",SUMPRODUCT(('Training Detail'!$A$5:$A$5000=A10)*('Training Detail'!$M$5:$M$5000=Standards!A8)*('Training Detail'!$G$5:$G$5000&gt;=D10)*('Training Detail'!$G$5:$G$5000&lt;=E10)*('Training Detail'!$P$5:$P$5000)))</f>
        <v>1</v>
      </c>
      <c r="M10" s="16" t="n">
        <f aca="false">IF(OR(A10="",C10=""),"",SUMPRODUCT(('Training Detail'!$A$5:$A$5000=A10)*('Training Detail'!$M$5:$M$5000=Standards!A9)*('Training Detail'!$G$5:$G$5000&gt;=D10)*('Training Detail'!$G$5:$G$5000&lt;=E10)*('Training Detail'!$P$5:$P$5000)))</f>
        <v>0</v>
      </c>
      <c r="N10" s="17" t="str">
        <f aca="false">IF(A10="","",IF(C10="","Set exp date",IF(AND(F10&gt;=Requirements!B5,G10&gt;=Requirements!B6,H10&gt;=Requirements!B7,I10&gt;=Requirements!B8,J10&gt;=Requirements!B9,K10&gt;=Requirements!B10,L10&gt;=Requirements!B11,M10&gt;=Requirements!B12),"Met","Short")))</f>
        <v>Short</v>
      </c>
      <c r="O10" s="18" t="str">
        <f aca="false">IF(OR(A10="",C10=""),"",IF(N10="Met","",IF(F10&lt;Requirements!B5,Requirements!A5&amp;" "&amp;TEXT(Requirements!B5-F10,"0.##")&amp;"; ","")&amp;IF(G10&lt;Requirements!B6,Requirements!A6&amp;" "&amp;TEXT(Requirements!B6-G10,"0.##")&amp;"; ","")&amp;IF(H10&lt;Requirements!B7,Requirements!A7&amp;" "&amp;TEXT(Requirements!B7-H10,"0.##")&amp;"; ","")&amp;IF(I10&lt;Requirements!B8,Requirements!A8&amp;" "&amp;TEXT(Requirements!B8-I10,"0.##")&amp;"; ","")&amp;IF(J10&lt;Requirements!B9,Requirements!A9&amp;" "&amp;TEXT(Requirements!B9-J10,"0.##")&amp;"; ","")&amp;IF(K10&lt;Requirements!B10,Requirements!A10&amp;" "&amp;TEXT(Requirements!B10-K10,"0.##")&amp;"; ","")&amp;IF(L10&lt;Requirements!B11,Requirements!A11&amp;" "&amp;TEXT(Requirements!B11-L10,"0.##")&amp;"; ","")&amp;IF(M10&lt;Requirements!B12,Requirements!A12&amp;" "&amp;TEXT(Requirements!B12-M10,"0.##")&amp;"; ","")))</f>
        <v>Airway 1; Cardiovascular 3; Medical 2.5; Operations 1; CPR/AED 1; </v>
      </c>
    </row>
    <row r="11" customFormat="false" ht="15" hidden="false" customHeight="true" outlineLevel="0" collapsed="false">
      <c r="A11" s="19" t="s">
        <v>18</v>
      </c>
      <c r="B11" s="20" t="s">
        <v>19</v>
      </c>
      <c r="C11" s="13" t="n">
        <v>46752</v>
      </c>
      <c r="D11" s="21" t="n">
        <f aca="false">IF(C11="","",DATE(YEAR(C11)-1,1,1))</f>
        <v>46023</v>
      </c>
      <c r="E11" s="21" t="n">
        <f aca="false">IF(C11="","",DATE(YEAR(C11),12,31))</f>
        <v>46752</v>
      </c>
      <c r="F11" s="15" t="n">
        <f aca="false">IF(OR(A11="",C11=""),"",SUMPRODUCT(('Training Detail'!$A$5:$A$5000=A11)*('Training Detail'!$M$5:$M$5000=Standards!A2)*('Training Detail'!$G$5:$G$5000&gt;=D11)*('Training Detail'!$G$5:$G$5000&lt;=E11)*('Training Detail'!$P$5:$P$5000)))</f>
        <v>0</v>
      </c>
      <c r="G11" s="15" t="n">
        <f aca="false">IF(OR(A11="",C11=""),"",SUMPRODUCT(('Training Detail'!$A$5:$A$5000=A11)*('Training Detail'!$M$5:$M$5000=Standards!A3)*('Training Detail'!$G$5:$G$5000&gt;=D11)*('Training Detail'!$G$5:$G$5000&lt;=E11)*('Training Detail'!$P$5:$P$5000)))</f>
        <v>0</v>
      </c>
      <c r="H11" s="15" t="n">
        <f aca="false">IF(OR(A11="",C11=""),"",SUMPRODUCT(('Training Detail'!$A$5:$A$5000=A11)*('Training Detail'!$M$5:$M$5000=Standards!A4)*('Training Detail'!$G$5:$G$5000&gt;=D11)*('Training Detail'!$G$5:$G$5000&lt;=E11)*('Training Detail'!$P$5:$P$5000)))</f>
        <v>0</v>
      </c>
      <c r="I11" s="15" t="n">
        <f aca="false">IF(OR(A11="",C11=""),"",SUMPRODUCT(('Training Detail'!$A$5:$A$5000=A11)*('Training Detail'!$M$5:$M$5000=Standards!A5)*('Training Detail'!$G$5:$G$5000&gt;=D11)*('Training Detail'!$G$5:$G$5000&lt;=E11)*('Training Detail'!$P$5:$P$5000)))</f>
        <v>0</v>
      </c>
      <c r="J11" s="15" t="n">
        <f aca="false">IF(OR(A11="",C11=""),"",SUMPRODUCT(('Training Detail'!$A$5:$A$5000=A11)*('Training Detail'!$M$5:$M$5000=Standards!A6)*('Training Detail'!$G$5:$G$5000&gt;=D11)*('Training Detail'!$G$5:$G$5000&lt;=E11)*('Training Detail'!$P$5:$P$5000)))</f>
        <v>0</v>
      </c>
      <c r="K11" s="15" t="n">
        <f aca="false">IF(OR(A11="",C11=""),"",SUMPRODUCT(('Training Detail'!$A$5:$A$5000=A11)*('Training Detail'!$M$5:$M$5000=Standards!A7)*('Training Detail'!$G$5:$G$5000&gt;=D11)*('Training Detail'!$G$5:$G$5000&lt;=E11)*('Training Detail'!$P$5:$P$5000)))</f>
        <v>0</v>
      </c>
      <c r="L11" s="15" t="n">
        <f aca="false">IF(OR(A11="",C11=""),"",SUMPRODUCT(('Training Detail'!$A$5:$A$5000=A11)*('Training Detail'!$M$5:$M$5000=Standards!A8)*('Training Detail'!$G$5:$G$5000&gt;=D11)*('Training Detail'!$G$5:$G$5000&lt;=E11)*('Training Detail'!$P$5:$P$5000)))</f>
        <v>0</v>
      </c>
      <c r="M11" s="16" t="n">
        <f aca="false">IF(OR(A11="",C11=""),"",SUMPRODUCT(('Training Detail'!$A$5:$A$5000=A11)*('Training Detail'!$M$5:$M$5000=Standards!A9)*('Training Detail'!$G$5:$G$5000&gt;=D11)*('Training Detail'!$G$5:$G$5000&lt;=E11)*('Training Detail'!$P$5:$P$5000)))</f>
        <v>0</v>
      </c>
      <c r="N11" s="17" t="str">
        <f aca="false">IF(A11="","",IF(C11="","Set exp date",IF(AND(F11&gt;=Requirements!B5,G11&gt;=Requirements!B6,H11&gt;=Requirements!B7,I11&gt;=Requirements!B8,J11&gt;=Requirements!B9,K11&gt;=Requirements!B10,L11&gt;=Requirements!B11,M11&gt;=Requirements!B12),"Met","Short")))</f>
        <v>Short</v>
      </c>
      <c r="O11" s="18" t="str">
        <f aca="false">IF(OR(A11="",C11=""),"",IF(N11="Met","",IF(F11&lt;Requirements!B5,Requirements!A5&amp;" "&amp;TEXT(Requirements!B5-F11,"0.##")&amp;"; ","")&amp;IF(G11&lt;Requirements!B6,Requirements!A6&amp;" "&amp;TEXT(Requirements!B6-G11,"0.##")&amp;"; ","")&amp;IF(H11&lt;Requirements!B7,Requirements!A7&amp;" "&amp;TEXT(Requirements!B7-H11,"0.##")&amp;"; ","")&amp;IF(I11&lt;Requirements!B8,Requirements!A8&amp;" "&amp;TEXT(Requirements!B8-I11,"0.##")&amp;"; ","")&amp;IF(J11&lt;Requirements!B9,Requirements!A9&amp;" "&amp;TEXT(Requirements!B9-J11,"0.##")&amp;"; ","")&amp;IF(K11&lt;Requirements!B10,Requirements!A10&amp;" "&amp;TEXT(Requirements!B10-K11,"0.##")&amp;"; ","")&amp;IF(L11&lt;Requirements!B11,Requirements!A11&amp;" "&amp;TEXT(Requirements!B11-L11,"0.##")&amp;"; ","")&amp;IF(M11&lt;Requirements!B12,Requirements!A12&amp;" "&amp;TEXT(Requirements!B12-M11,"0.##")&amp;"; ","")))</f>
        <v>Airway 4; Cardiovascular 5; Trauma 3; Medical 6; Operations 2; PAHT 1; SVAT 1; CPR/AED 1; </v>
      </c>
    </row>
    <row r="12" customFormat="false" ht="15" hidden="false" customHeight="true" outlineLevel="0" collapsed="false">
      <c r="A12" s="11" t="s">
        <v>20</v>
      </c>
      <c r="B12" s="12" t="s">
        <v>21</v>
      </c>
      <c r="C12" s="13" t="n">
        <v>46752</v>
      </c>
      <c r="D12" s="14" t="n">
        <f aca="false">IF(C12="","",DATE(YEAR(C12)-1,1,1))</f>
        <v>46023</v>
      </c>
      <c r="E12" s="14" t="n">
        <f aca="false">IF(C12="","",DATE(YEAR(C12),12,31))</f>
        <v>46752</v>
      </c>
      <c r="F12" s="15" t="n">
        <f aca="false">IF(OR(A12="",C12=""),"",SUMPRODUCT(('Training Detail'!$A$5:$A$5000=A12)*('Training Detail'!$M$5:$M$5000=Standards!A2)*('Training Detail'!$G$5:$G$5000&gt;=D12)*('Training Detail'!$G$5:$G$5000&lt;=E12)*('Training Detail'!$P$5:$P$5000)))</f>
        <v>0</v>
      </c>
      <c r="G12" s="15" t="n">
        <f aca="false">IF(OR(A12="",C12=""),"",SUMPRODUCT(('Training Detail'!$A$5:$A$5000=A12)*('Training Detail'!$M$5:$M$5000=Standards!A3)*('Training Detail'!$G$5:$G$5000&gt;=D12)*('Training Detail'!$G$5:$G$5000&lt;=E12)*('Training Detail'!$P$5:$P$5000)))</f>
        <v>0</v>
      </c>
      <c r="H12" s="15" t="n">
        <f aca="false">IF(OR(A12="",C12=""),"",SUMPRODUCT(('Training Detail'!$A$5:$A$5000=A12)*('Training Detail'!$M$5:$M$5000=Standards!A4)*('Training Detail'!$G$5:$G$5000&gt;=D12)*('Training Detail'!$G$5:$G$5000&lt;=E12)*('Training Detail'!$P$5:$P$5000)))</f>
        <v>6.5</v>
      </c>
      <c r="I12" s="15" t="n">
        <f aca="false">IF(OR(A12="",C12=""),"",SUMPRODUCT(('Training Detail'!$A$5:$A$5000=A12)*('Training Detail'!$M$5:$M$5000=Standards!A5)*('Training Detail'!$G$5:$G$5000&gt;=D12)*('Training Detail'!$G$5:$G$5000&lt;=E12)*('Training Detail'!$P$5:$P$5000)))</f>
        <v>1</v>
      </c>
      <c r="J12" s="15" t="n">
        <f aca="false">IF(OR(A12="",C12=""),"",SUMPRODUCT(('Training Detail'!$A$5:$A$5000=A12)*('Training Detail'!$M$5:$M$5000=Standards!A6)*('Training Detail'!$G$5:$G$5000&gt;=D12)*('Training Detail'!$G$5:$G$5000&lt;=E12)*('Training Detail'!$P$5:$P$5000)))</f>
        <v>0</v>
      </c>
      <c r="K12" s="15" t="n">
        <f aca="false">IF(OR(A12="",C12=""),"",SUMPRODUCT(('Training Detail'!$A$5:$A$5000=A12)*('Training Detail'!$M$5:$M$5000=Standards!A7)*('Training Detail'!$G$5:$G$5000&gt;=D12)*('Training Detail'!$G$5:$G$5000&lt;=E12)*('Training Detail'!$P$5:$P$5000)))</f>
        <v>0</v>
      </c>
      <c r="L12" s="15" t="n">
        <f aca="false">IF(OR(A12="",C12=""),"",SUMPRODUCT(('Training Detail'!$A$5:$A$5000=A12)*('Training Detail'!$M$5:$M$5000=Standards!A8)*('Training Detail'!$G$5:$G$5000&gt;=D12)*('Training Detail'!$G$5:$G$5000&lt;=E12)*('Training Detail'!$P$5:$P$5000)))</f>
        <v>0</v>
      </c>
      <c r="M12" s="16" t="n">
        <f aca="false">IF(OR(A12="",C12=""),"",SUMPRODUCT(('Training Detail'!$A$5:$A$5000=A12)*('Training Detail'!$M$5:$M$5000=Standards!A9)*('Training Detail'!$G$5:$G$5000&gt;=D12)*('Training Detail'!$G$5:$G$5000&lt;=E12)*('Training Detail'!$P$5:$P$5000)))</f>
        <v>0</v>
      </c>
      <c r="N12" s="17" t="str">
        <f aca="false">IF(A12="","",IF(C12="","Set exp date",IF(AND(F12&gt;=Requirements!B5,G12&gt;=Requirements!B6,H12&gt;=Requirements!B7,I12&gt;=Requirements!B8,J12&gt;=Requirements!B9,K12&gt;=Requirements!B10,L12&gt;=Requirements!B11,M12&gt;=Requirements!B12),"Met","Short")))</f>
        <v>Short</v>
      </c>
      <c r="O12" s="18" t="str">
        <f aca="false">IF(OR(A12="",C12=""),"",IF(N12="Met","",IF(F12&lt;Requirements!B5,Requirements!A5&amp;" "&amp;TEXT(Requirements!B5-F12,"0.##")&amp;"; ","")&amp;IF(G12&lt;Requirements!B6,Requirements!A6&amp;" "&amp;TEXT(Requirements!B6-G12,"0.##")&amp;"; ","")&amp;IF(H12&lt;Requirements!B7,Requirements!A7&amp;" "&amp;TEXT(Requirements!B7-H12,"0.##")&amp;"; ","")&amp;IF(I12&lt;Requirements!B8,Requirements!A8&amp;" "&amp;TEXT(Requirements!B8-I12,"0.##")&amp;"; ","")&amp;IF(J12&lt;Requirements!B9,Requirements!A9&amp;" "&amp;TEXT(Requirements!B9-J12,"0.##")&amp;"; ","")&amp;IF(K12&lt;Requirements!B10,Requirements!A10&amp;" "&amp;TEXT(Requirements!B10-K12,"0.##")&amp;"; ","")&amp;IF(L12&lt;Requirements!B11,Requirements!A11&amp;" "&amp;TEXT(Requirements!B11-L12,"0.##")&amp;"; ","")&amp;IF(M12&lt;Requirements!B12,Requirements!A12&amp;" "&amp;TEXT(Requirements!B12-M12,"0.##")&amp;"; ","")))</f>
        <v>Airway 4; Cardiovascular 5; Medical 5; Operations 2; PAHT 1; SVAT 1; CPR/AED 1; </v>
      </c>
    </row>
    <row r="13" customFormat="false" ht="15" hidden="false" customHeight="true" outlineLevel="0" collapsed="false">
      <c r="A13" s="19" t="s">
        <v>22</v>
      </c>
      <c r="B13" s="20" t="s">
        <v>23</v>
      </c>
      <c r="C13" s="13" t="n">
        <v>46752</v>
      </c>
      <c r="D13" s="21" t="n">
        <f aca="false">IF(C13="","",DATE(YEAR(C13)-1,1,1))</f>
        <v>46023</v>
      </c>
      <c r="E13" s="21" t="n">
        <f aca="false">IF(C13="","",DATE(YEAR(C13),12,31))</f>
        <v>46752</v>
      </c>
      <c r="F13" s="15" t="n">
        <f aca="false">IF(OR(A13="",C13=""),"",SUMPRODUCT(('Training Detail'!$A$5:$A$5000=A13)*('Training Detail'!$M$5:$M$5000=Standards!A2)*('Training Detail'!$G$5:$G$5000&gt;=D13)*('Training Detail'!$G$5:$G$5000&lt;=E13)*('Training Detail'!$P$5:$P$5000)))</f>
        <v>1</v>
      </c>
      <c r="G13" s="15" t="n">
        <f aca="false">IF(OR(A13="",C13=""),"",SUMPRODUCT(('Training Detail'!$A$5:$A$5000=A13)*('Training Detail'!$M$5:$M$5000=Standards!A3)*('Training Detail'!$G$5:$G$5000&gt;=D13)*('Training Detail'!$G$5:$G$5000&lt;=E13)*('Training Detail'!$P$5:$P$5000)))</f>
        <v>1</v>
      </c>
      <c r="H13" s="15" t="n">
        <f aca="false">IF(OR(A13="",C13=""),"",SUMPRODUCT(('Training Detail'!$A$5:$A$5000=A13)*('Training Detail'!$M$5:$M$5000=Standards!A4)*('Training Detail'!$G$5:$G$5000&gt;=D13)*('Training Detail'!$G$5:$G$5000&lt;=E13)*('Training Detail'!$P$5:$P$5000)))</f>
        <v>4</v>
      </c>
      <c r="I13" s="15" t="n">
        <f aca="false">IF(OR(A13="",C13=""),"",SUMPRODUCT(('Training Detail'!$A$5:$A$5000=A13)*('Training Detail'!$M$5:$M$5000=Standards!A5)*('Training Detail'!$G$5:$G$5000&gt;=D13)*('Training Detail'!$G$5:$G$5000&lt;=E13)*('Training Detail'!$P$5:$P$5000)))</f>
        <v>2</v>
      </c>
      <c r="J13" s="15" t="n">
        <f aca="false">IF(OR(A13="",C13=""),"",SUMPRODUCT(('Training Detail'!$A$5:$A$5000=A13)*('Training Detail'!$M$5:$M$5000=Standards!A6)*('Training Detail'!$G$5:$G$5000&gt;=D13)*('Training Detail'!$G$5:$G$5000&lt;=E13)*('Training Detail'!$P$5:$P$5000)))</f>
        <v>2</v>
      </c>
      <c r="K13" s="15" t="n">
        <f aca="false">IF(OR(A13="",C13=""),"",SUMPRODUCT(('Training Detail'!$A$5:$A$5000=A13)*('Training Detail'!$M$5:$M$5000=Standards!A7)*('Training Detail'!$G$5:$G$5000&gt;=D13)*('Training Detail'!$G$5:$G$5000&lt;=E13)*('Training Detail'!$P$5:$P$5000)))</f>
        <v>0</v>
      </c>
      <c r="L13" s="15" t="n">
        <f aca="false">IF(OR(A13="",C13=""),"",SUMPRODUCT(('Training Detail'!$A$5:$A$5000=A13)*('Training Detail'!$M$5:$M$5000=Standards!A8)*('Training Detail'!$G$5:$G$5000&gt;=D13)*('Training Detail'!$G$5:$G$5000&lt;=E13)*('Training Detail'!$P$5:$P$5000)))</f>
        <v>0</v>
      </c>
      <c r="M13" s="16" t="n">
        <f aca="false">IF(OR(A13="",C13=""),"",SUMPRODUCT(('Training Detail'!$A$5:$A$5000=A13)*('Training Detail'!$M$5:$M$5000=Standards!A9)*('Training Detail'!$G$5:$G$5000&gt;=D13)*('Training Detail'!$G$5:$G$5000&lt;=E13)*('Training Detail'!$P$5:$P$5000)))</f>
        <v>0</v>
      </c>
      <c r="N13" s="17" t="str">
        <f aca="false">IF(A13="","",IF(C13="","Set exp date",IF(AND(F13&gt;=Requirements!B5,G13&gt;=Requirements!B6,H13&gt;=Requirements!B7,I13&gt;=Requirements!B8,J13&gt;=Requirements!B9,K13&gt;=Requirements!B10,L13&gt;=Requirements!B11,M13&gt;=Requirements!B12),"Met","Short")))</f>
        <v>Short</v>
      </c>
      <c r="O13" s="18" t="str">
        <f aca="false">IF(OR(A13="",C13=""),"",IF(N13="Met","",IF(F13&lt;Requirements!B5,Requirements!A5&amp;" "&amp;TEXT(Requirements!B5-F13,"0.##")&amp;"; ","")&amp;IF(G13&lt;Requirements!B6,Requirements!A6&amp;" "&amp;TEXT(Requirements!B6-G13,"0.##")&amp;"; ","")&amp;IF(H13&lt;Requirements!B7,Requirements!A7&amp;" "&amp;TEXT(Requirements!B7-H13,"0.##")&amp;"; ","")&amp;IF(I13&lt;Requirements!B8,Requirements!A8&amp;" "&amp;TEXT(Requirements!B8-I13,"0.##")&amp;"; ","")&amp;IF(J13&lt;Requirements!B9,Requirements!A9&amp;" "&amp;TEXT(Requirements!B9-J13,"0.##")&amp;"; ","")&amp;IF(K13&lt;Requirements!B10,Requirements!A10&amp;" "&amp;TEXT(Requirements!B10-K13,"0.##")&amp;"; ","")&amp;IF(L13&lt;Requirements!B11,Requirements!A11&amp;" "&amp;TEXT(Requirements!B11-L13,"0.##")&amp;"; ","")&amp;IF(M13&lt;Requirements!B12,Requirements!A12&amp;" "&amp;TEXT(Requirements!B12-M13,"0.##")&amp;"; ","")))</f>
        <v>Airway 3; Cardiovascular 4; Medical 4; PAHT 1; SVAT 1; CPR/AED 1; </v>
      </c>
    </row>
    <row r="14" customFormat="false" ht="15" hidden="false" customHeight="true" outlineLevel="0" collapsed="false">
      <c r="A14" s="11" t="s">
        <v>24</v>
      </c>
      <c r="B14" s="12" t="s">
        <v>25</v>
      </c>
      <c r="C14" s="13" t="n">
        <v>46387</v>
      </c>
      <c r="D14" s="14" t="n">
        <f aca="false">IF(C14="","",DATE(YEAR(C14)-1,1,1))</f>
        <v>45658</v>
      </c>
      <c r="E14" s="14" t="n">
        <f aca="false">IF(C14="","",DATE(YEAR(C14),12,31))</f>
        <v>46387</v>
      </c>
      <c r="F14" s="15" t="n">
        <f aca="false">IF(OR(A14="",C14=""),"",SUMPRODUCT(('Training Detail'!$A$5:$A$5000=A14)*('Training Detail'!$M$5:$M$5000=Standards!A2)*('Training Detail'!$G$5:$G$5000&gt;=D14)*('Training Detail'!$G$5:$G$5000&lt;=E14)*('Training Detail'!$P$5:$P$5000)))</f>
        <v>0</v>
      </c>
      <c r="G14" s="15" t="n">
        <f aca="false">IF(OR(A14="",C14=""),"",SUMPRODUCT(('Training Detail'!$A$5:$A$5000=A14)*('Training Detail'!$M$5:$M$5000=Standards!A3)*('Training Detail'!$G$5:$G$5000&gt;=D14)*('Training Detail'!$G$5:$G$5000&lt;=E14)*('Training Detail'!$P$5:$P$5000)))</f>
        <v>0</v>
      </c>
      <c r="H14" s="15" t="n">
        <f aca="false">IF(OR(A14="",C14=""),"",SUMPRODUCT(('Training Detail'!$A$5:$A$5000=A14)*('Training Detail'!$M$5:$M$5000=Standards!A4)*('Training Detail'!$G$5:$G$5000&gt;=D14)*('Training Detail'!$G$5:$G$5000&lt;=E14)*('Training Detail'!$P$5:$P$5000)))</f>
        <v>16</v>
      </c>
      <c r="I14" s="15" t="n">
        <f aca="false">IF(OR(A14="",C14=""),"",SUMPRODUCT(('Training Detail'!$A$5:$A$5000=A14)*('Training Detail'!$M$5:$M$5000=Standards!A5)*('Training Detail'!$G$5:$G$5000&gt;=D14)*('Training Detail'!$G$5:$G$5000&lt;=E14)*('Training Detail'!$P$5:$P$5000)))</f>
        <v>2</v>
      </c>
      <c r="J14" s="15" t="n">
        <f aca="false">IF(OR(A14="",C14=""),"",SUMPRODUCT(('Training Detail'!$A$5:$A$5000=A14)*('Training Detail'!$M$5:$M$5000=Standards!A6)*('Training Detail'!$G$5:$G$5000&gt;=D14)*('Training Detail'!$G$5:$G$5000&lt;=E14)*('Training Detail'!$P$5:$P$5000)))</f>
        <v>3.5</v>
      </c>
      <c r="K14" s="15" t="n">
        <f aca="false">IF(OR(A14="",C14=""),"",SUMPRODUCT(('Training Detail'!$A$5:$A$5000=A14)*('Training Detail'!$M$5:$M$5000=Standards!A7)*('Training Detail'!$G$5:$G$5000&gt;=D14)*('Training Detail'!$G$5:$G$5000&lt;=E14)*('Training Detail'!$P$5:$P$5000)))</f>
        <v>0</v>
      </c>
      <c r="L14" s="15" t="n">
        <f aca="false">IF(OR(A14="",C14=""),"",SUMPRODUCT(('Training Detail'!$A$5:$A$5000=A14)*('Training Detail'!$M$5:$M$5000=Standards!A8)*('Training Detail'!$G$5:$G$5000&gt;=D14)*('Training Detail'!$G$5:$G$5000&lt;=E14)*('Training Detail'!$P$5:$P$5000)))</f>
        <v>0</v>
      </c>
      <c r="M14" s="16" t="n">
        <f aca="false">IF(OR(A14="",C14=""),"",SUMPRODUCT(('Training Detail'!$A$5:$A$5000=A14)*('Training Detail'!$M$5:$M$5000=Standards!A9)*('Training Detail'!$G$5:$G$5000&gt;=D14)*('Training Detail'!$G$5:$G$5000&lt;=E14)*('Training Detail'!$P$5:$P$5000)))</f>
        <v>2</v>
      </c>
      <c r="N14" s="17" t="str">
        <f aca="false">IF(A14="","",IF(C14="","Set exp date",IF(AND(F14&gt;=Requirements!B5,G14&gt;=Requirements!B6,H14&gt;=Requirements!B7,I14&gt;=Requirements!B8,J14&gt;=Requirements!B9,K14&gt;=Requirements!B10,L14&gt;=Requirements!B11,M14&gt;=Requirements!B12),"Met","Short")))</f>
        <v>Short</v>
      </c>
      <c r="O14" s="18" t="str">
        <f aca="false">IF(OR(A14="",C14=""),"",IF(N14="Met","",IF(F14&lt;Requirements!B5,Requirements!A5&amp;" "&amp;TEXT(Requirements!B5-F14,"0.##")&amp;"; ","")&amp;IF(G14&lt;Requirements!B6,Requirements!A6&amp;" "&amp;TEXT(Requirements!B6-G14,"0.##")&amp;"; ","")&amp;IF(H14&lt;Requirements!B7,Requirements!A7&amp;" "&amp;TEXT(Requirements!B7-H14,"0.##")&amp;"; ","")&amp;IF(I14&lt;Requirements!B8,Requirements!A8&amp;" "&amp;TEXT(Requirements!B8-I14,"0.##")&amp;"; ","")&amp;IF(J14&lt;Requirements!B9,Requirements!A9&amp;" "&amp;TEXT(Requirements!B9-J14,"0.##")&amp;"; ","")&amp;IF(K14&lt;Requirements!B10,Requirements!A10&amp;" "&amp;TEXT(Requirements!B10-K14,"0.##")&amp;"; ","")&amp;IF(L14&lt;Requirements!B11,Requirements!A11&amp;" "&amp;TEXT(Requirements!B11-L14,"0.##")&amp;"; ","")&amp;IF(M14&lt;Requirements!B12,Requirements!A12&amp;" "&amp;TEXT(Requirements!B12-M14,"0.##")&amp;"; ","")))</f>
        <v>Airway 4; Cardiovascular 5; Medical 4; PAHT 1; SVAT 1; </v>
      </c>
    </row>
    <row r="15" customFormat="false" ht="15" hidden="false" customHeight="true" outlineLevel="0" collapsed="false">
      <c r="A15" s="19" t="s">
        <v>26</v>
      </c>
      <c r="B15" s="20" t="s">
        <v>27</v>
      </c>
      <c r="C15" s="13" t="n">
        <v>46752</v>
      </c>
      <c r="D15" s="21" t="n">
        <f aca="false">IF(C15="","",DATE(YEAR(C15)-1,1,1))</f>
        <v>46023</v>
      </c>
      <c r="E15" s="21" t="n">
        <f aca="false">IF(C15="","",DATE(YEAR(C15),12,31))</f>
        <v>46752</v>
      </c>
      <c r="F15" s="15" t="n">
        <f aca="false">IF(OR(A15="",C15=""),"",SUMPRODUCT(('Training Detail'!$A$5:$A$5000=A15)*('Training Detail'!$M$5:$M$5000=Standards!A2)*('Training Detail'!$G$5:$G$5000&gt;=D15)*('Training Detail'!$G$5:$G$5000&lt;=E15)*('Training Detail'!$P$5:$P$5000)))</f>
        <v>0</v>
      </c>
      <c r="G15" s="15" t="n">
        <f aca="false">IF(OR(A15="",C15=""),"",SUMPRODUCT(('Training Detail'!$A$5:$A$5000=A15)*('Training Detail'!$M$5:$M$5000=Standards!A3)*('Training Detail'!$G$5:$G$5000&gt;=D15)*('Training Detail'!$G$5:$G$5000&lt;=E15)*('Training Detail'!$P$5:$P$5000)))</f>
        <v>0</v>
      </c>
      <c r="H15" s="15" t="n">
        <f aca="false">IF(OR(A15="",C15=""),"",SUMPRODUCT(('Training Detail'!$A$5:$A$5000=A15)*('Training Detail'!$M$5:$M$5000=Standards!A4)*('Training Detail'!$G$5:$G$5000&gt;=D15)*('Training Detail'!$G$5:$G$5000&lt;=E15)*('Training Detail'!$P$5:$P$5000)))</f>
        <v>26</v>
      </c>
      <c r="I15" s="15" t="n">
        <f aca="false">IF(OR(A15="",C15=""),"",SUMPRODUCT(('Training Detail'!$A$5:$A$5000=A15)*('Training Detail'!$M$5:$M$5000=Standards!A5)*('Training Detail'!$G$5:$G$5000&gt;=D15)*('Training Detail'!$G$5:$G$5000&lt;=E15)*('Training Detail'!$P$5:$P$5000)))</f>
        <v>0.5</v>
      </c>
      <c r="J15" s="15" t="n">
        <f aca="false">IF(OR(A15="",C15=""),"",SUMPRODUCT(('Training Detail'!$A$5:$A$5000=A15)*('Training Detail'!$M$5:$M$5000=Standards!A6)*('Training Detail'!$G$5:$G$5000&gt;=D15)*('Training Detail'!$G$5:$G$5000&lt;=E15)*('Training Detail'!$P$5:$P$5000)))</f>
        <v>14</v>
      </c>
      <c r="K15" s="15" t="n">
        <f aca="false">IF(OR(A15="",C15=""),"",SUMPRODUCT(('Training Detail'!$A$5:$A$5000=A15)*('Training Detail'!$M$5:$M$5000=Standards!A7)*('Training Detail'!$G$5:$G$5000&gt;=D15)*('Training Detail'!$G$5:$G$5000&lt;=E15)*('Training Detail'!$P$5:$P$5000)))</f>
        <v>0</v>
      </c>
      <c r="L15" s="15" t="n">
        <f aca="false">IF(OR(A15="",C15=""),"",SUMPRODUCT(('Training Detail'!$A$5:$A$5000=A15)*('Training Detail'!$M$5:$M$5000=Standards!A8)*('Training Detail'!$G$5:$G$5000&gt;=D15)*('Training Detail'!$G$5:$G$5000&lt;=E15)*('Training Detail'!$P$5:$P$5000)))</f>
        <v>0</v>
      </c>
      <c r="M15" s="16" t="n">
        <f aca="false">IF(OR(A15="",C15=""),"",SUMPRODUCT(('Training Detail'!$A$5:$A$5000=A15)*('Training Detail'!$M$5:$M$5000=Standards!A9)*('Training Detail'!$G$5:$G$5000&gt;=D15)*('Training Detail'!$G$5:$G$5000&lt;=E15)*('Training Detail'!$P$5:$P$5000)))</f>
        <v>1</v>
      </c>
      <c r="N15" s="17" t="str">
        <f aca="false">IF(A15="","",IF(C15="","Set exp date",IF(AND(F15&gt;=Requirements!B5,G15&gt;=Requirements!B6,H15&gt;=Requirements!B7,I15&gt;=Requirements!B8,J15&gt;=Requirements!B9,K15&gt;=Requirements!B10,L15&gt;=Requirements!B11,M15&gt;=Requirements!B12),"Met","Short")))</f>
        <v>Short</v>
      </c>
      <c r="O15" s="18" t="str">
        <f aca="false">IF(OR(A15="",C15=""),"",IF(N15="Met","",IF(F15&lt;Requirements!B5,Requirements!A5&amp;" "&amp;TEXT(Requirements!B5-F15,"0.##")&amp;"; ","")&amp;IF(G15&lt;Requirements!B6,Requirements!A6&amp;" "&amp;TEXT(Requirements!B6-G15,"0.##")&amp;"; ","")&amp;IF(H15&lt;Requirements!B7,Requirements!A7&amp;" "&amp;TEXT(Requirements!B7-H15,"0.##")&amp;"; ","")&amp;IF(I15&lt;Requirements!B8,Requirements!A8&amp;" "&amp;TEXT(Requirements!B8-I15,"0.##")&amp;"; ","")&amp;IF(J15&lt;Requirements!B9,Requirements!A9&amp;" "&amp;TEXT(Requirements!B9-J15,"0.##")&amp;"; ","")&amp;IF(K15&lt;Requirements!B10,Requirements!A10&amp;" "&amp;TEXT(Requirements!B10-K15,"0.##")&amp;"; ","")&amp;IF(L15&lt;Requirements!B11,Requirements!A11&amp;" "&amp;TEXT(Requirements!B11-L15,"0.##")&amp;"; ","")&amp;IF(M15&lt;Requirements!B12,Requirements!A12&amp;" "&amp;TEXT(Requirements!B12-M15,"0.##")&amp;"; ","")))</f>
        <v>Airway 4; Cardiovascular 5; Medical 5.5; PAHT 1; SVAT 1; </v>
      </c>
    </row>
    <row r="16" customFormat="false" ht="15" hidden="false" customHeight="true" outlineLevel="0" collapsed="false">
      <c r="A16" s="11" t="s">
        <v>28</v>
      </c>
      <c r="B16" s="12"/>
      <c r="C16" s="13"/>
      <c r="D16" s="14" t="str">
        <f aca="false">IF(C16="","",DATE(YEAR(C16)-1,1,1))</f>
        <v/>
      </c>
      <c r="E16" s="14" t="str">
        <f aca="false">IF(C16="","",DATE(YEAR(C16),12,31))</f>
        <v/>
      </c>
      <c r="F16" s="15" t="str">
        <f aca="false">IF(OR(A16="",C16=""),"",SUMPRODUCT(('Training Detail'!$A$5:$A$5000=A16)*('Training Detail'!$M$5:$M$5000=Standards!A2)*('Training Detail'!$G$5:$G$5000&gt;=D16)*('Training Detail'!$G$5:$G$5000&lt;=E16)*('Training Detail'!$P$5:$P$5000)))</f>
        <v/>
      </c>
      <c r="G16" s="15" t="str">
        <f aca="false">IF(OR(A16="",C16=""),"",SUMPRODUCT(('Training Detail'!$A$5:$A$5000=A16)*('Training Detail'!$M$5:$M$5000=Standards!A3)*('Training Detail'!$G$5:$G$5000&gt;=D16)*('Training Detail'!$G$5:$G$5000&lt;=E16)*('Training Detail'!$P$5:$P$5000)))</f>
        <v/>
      </c>
      <c r="H16" s="15" t="str">
        <f aca="false">IF(OR(A16="",C16=""),"",SUMPRODUCT(('Training Detail'!$A$5:$A$5000=A16)*('Training Detail'!$M$5:$M$5000=Standards!A4)*('Training Detail'!$G$5:$G$5000&gt;=D16)*('Training Detail'!$G$5:$G$5000&lt;=E16)*('Training Detail'!$P$5:$P$5000)))</f>
        <v/>
      </c>
      <c r="I16" s="15" t="str">
        <f aca="false">IF(OR(A16="",C16=""),"",SUMPRODUCT(('Training Detail'!$A$5:$A$5000=A16)*('Training Detail'!$M$5:$M$5000=Standards!A5)*('Training Detail'!$G$5:$G$5000&gt;=D16)*('Training Detail'!$G$5:$G$5000&lt;=E16)*('Training Detail'!$P$5:$P$5000)))</f>
        <v/>
      </c>
      <c r="J16" s="15" t="str">
        <f aca="false">IF(OR(A16="",C16=""),"",SUMPRODUCT(('Training Detail'!$A$5:$A$5000=A16)*('Training Detail'!$M$5:$M$5000=Standards!A6)*('Training Detail'!$G$5:$G$5000&gt;=D16)*('Training Detail'!$G$5:$G$5000&lt;=E16)*('Training Detail'!$P$5:$P$5000)))</f>
        <v/>
      </c>
      <c r="K16" s="15" t="str">
        <f aca="false">IF(OR(A16="",C16=""),"",SUMPRODUCT(('Training Detail'!$A$5:$A$5000=A16)*('Training Detail'!$M$5:$M$5000=Standards!A7)*('Training Detail'!$G$5:$G$5000&gt;=D16)*('Training Detail'!$G$5:$G$5000&lt;=E16)*('Training Detail'!$P$5:$P$5000)))</f>
        <v/>
      </c>
      <c r="L16" s="15" t="str">
        <f aca="false">IF(OR(A16="",C16=""),"",SUMPRODUCT(('Training Detail'!$A$5:$A$5000=A16)*('Training Detail'!$M$5:$M$5000=Standards!A8)*('Training Detail'!$G$5:$G$5000&gt;=D16)*('Training Detail'!$G$5:$G$5000&lt;=E16)*('Training Detail'!$P$5:$P$5000)))</f>
        <v/>
      </c>
      <c r="M16" s="16" t="str">
        <f aca="false">IF(OR(A16="",C16=""),"",SUMPRODUCT(('Training Detail'!$A$5:$A$5000=A16)*('Training Detail'!$M$5:$M$5000=Standards!A9)*('Training Detail'!$G$5:$G$5000&gt;=D16)*('Training Detail'!$G$5:$G$5000&lt;=E16)*('Training Detail'!$P$5:$P$5000)))</f>
        <v/>
      </c>
      <c r="N16" s="17" t="str">
        <f aca="false">IF(A16="","",IF(C16="","Set exp date",IF(AND(F16&gt;=Requirements!B5,G16&gt;=Requirements!B6,H16&gt;=Requirements!B7,I16&gt;=Requirements!B8,J16&gt;=Requirements!B9,K16&gt;=Requirements!B10,L16&gt;=Requirements!B11,M16&gt;=Requirements!B12),"Met","Short")))</f>
        <v>Set exp date</v>
      </c>
      <c r="O16" s="18" t="str">
        <f aca="false">IF(OR(A16="",C16=""),"",IF(N16="Met","",IF(F16&lt;Requirements!B5,Requirements!A5&amp;" "&amp;TEXT(Requirements!B5-F16,"0.##")&amp;"; ","")&amp;IF(G16&lt;Requirements!B6,Requirements!A6&amp;" "&amp;TEXT(Requirements!B6-G16,"0.##")&amp;"; ","")&amp;IF(H16&lt;Requirements!B7,Requirements!A7&amp;" "&amp;TEXT(Requirements!B7-H16,"0.##")&amp;"; ","")&amp;IF(I16&lt;Requirements!B8,Requirements!A8&amp;" "&amp;TEXT(Requirements!B8-I16,"0.##")&amp;"; ","")&amp;IF(J16&lt;Requirements!B9,Requirements!A9&amp;" "&amp;TEXT(Requirements!B9-J16,"0.##")&amp;"; ","")&amp;IF(K16&lt;Requirements!B10,Requirements!A10&amp;" "&amp;TEXT(Requirements!B10-K16,"0.##")&amp;"; ","")&amp;IF(L16&lt;Requirements!B11,Requirements!A11&amp;" "&amp;TEXT(Requirements!B11-L16,"0.##")&amp;"; ","")&amp;IF(M16&lt;Requirements!B12,Requirements!A12&amp;" "&amp;TEXT(Requirements!B12-M16,"0.##")&amp;"; ","")))</f>
        <v/>
      </c>
    </row>
    <row r="17" customFormat="false" ht="15" hidden="false" customHeight="true" outlineLevel="0" collapsed="false">
      <c r="A17" s="19" t="s">
        <v>29</v>
      </c>
      <c r="B17" s="20"/>
      <c r="C17" s="13"/>
      <c r="D17" s="21" t="str">
        <f aca="false">IF(C17="","",DATE(YEAR(C17)-1,1,1))</f>
        <v/>
      </c>
      <c r="E17" s="21" t="str">
        <f aca="false">IF(C17="","",DATE(YEAR(C17),12,31))</f>
        <v/>
      </c>
      <c r="F17" s="15" t="str">
        <f aca="false">IF(OR(A17="",C17=""),"",SUMPRODUCT(('Training Detail'!$A$5:$A$5000=A17)*('Training Detail'!$M$5:$M$5000=Standards!A2)*('Training Detail'!$G$5:$G$5000&gt;=D17)*('Training Detail'!$G$5:$G$5000&lt;=E17)*('Training Detail'!$P$5:$P$5000)))</f>
        <v/>
      </c>
      <c r="G17" s="15" t="str">
        <f aca="false">IF(OR(A17="",C17=""),"",SUMPRODUCT(('Training Detail'!$A$5:$A$5000=A17)*('Training Detail'!$M$5:$M$5000=Standards!A3)*('Training Detail'!$G$5:$G$5000&gt;=D17)*('Training Detail'!$G$5:$G$5000&lt;=E17)*('Training Detail'!$P$5:$P$5000)))</f>
        <v/>
      </c>
      <c r="H17" s="15" t="str">
        <f aca="false">IF(OR(A17="",C17=""),"",SUMPRODUCT(('Training Detail'!$A$5:$A$5000=A17)*('Training Detail'!$M$5:$M$5000=Standards!A4)*('Training Detail'!$G$5:$G$5000&gt;=D17)*('Training Detail'!$G$5:$G$5000&lt;=E17)*('Training Detail'!$P$5:$P$5000)))</f>
        <v/>
      </c>
      <c r="I17" s="15" t="str">
        <f aca="false">IF(OR(A17="",C17=""),"",SUMPRODUCT(('Training Detail'!$A$5:$A$5000=A17)*('Training Detail'!$M$5:$M$5000=Standards!A5)*('Training Detail'!$G$5:$G$5000&gt;=D17)*('Training Detail'!$G$5:$G$5000&lt;=E17)*('Training Detail'!$P$5:$P$5000)))</f>
        <v/>
      </c>
      <c r="J17" s="15" t="str">
        <f aca="false">IF(OR(A17="",C17=""),"",SUMPRODUCT(('Training Detail'!$A$5:$A$5000=A17)*('Training Detail'!$M$5:$M$5000=Standards!A6)*('Training Detail'!$G$5:$G$5000&gt;=D17)*('Training Detail'!$G$5:$G$5000&lt;=E17)*('Training Detail'!$P$5:$P$5000)))</f>
        <v/>
      </c>
      <c r="K17" s="15" t="str">
        <f aca="false">IF(OR(A17="",C17=""),"",SUMPRODUCT(('Training Detail'!$A$5:$A$5000=A17)*('Training Detail'!$M$5:$M$5000=Standards!A7)*('Training Detail'!$G$5:$G$5000&gt;=D17)*('Training Detail'!$G$5:$G$5000&lt;=E17)*('Training Detail'!$P$5:$P$5000)))</f>
        <v/>
      </c>
      <c r="L17" s="15" t="str">
        <f aca="false">IF(OR(A17="",C17=""),"",SUMPRODUCT(('Training Detail'!$A$5:$A$5000=A17)*('Training Detail'!$M$5:$M$5000=Standards!A8)*('Training Detail'!$G$5:$G$5000&gt;=D17)*('Training Detail'!$G$5:$G$5000&lt;=E17)*('Training Detail'!$P$5:$P$5000)))</f>
        <v/>
      </c>
      <c r="M17" s="16" t="str">
        <f aca="false">IF(OR(A17="",C17=""),"",SUMPRODUCT(('Training Detail'!$A$5:$A$5000=A17)*('Training Detail'!$M$5:$M$5000=Standards!A9)*('Training Detail'!$G$5:$G$5000&gt;=D17)*('Training Detail'!$G$5:$G$5000&lt;=E17)*('Training Detail'!$P$5:$P$5000)))</f>
        <v/>
      </c>
      <c r="N17" s="17" t="str">
        <f aca="false">IF(A17="","",IF(C17="","Set exp date",IF(AND(F17&gt;=Requirements!B5,G17&gt;=Requirements!B6,H17&gt;=Requirements!B7,I17&gt;=Requirements!B8,J17&gt;=Requirements!B9,K17&gt;=Requirements!B10,L17&gt;=Requirements!B11,M17&gt;=Requirements!B12),"Met","Short")))</f>
        <v>Set exp date</v>
      </c>
      <c r="O17" s="18" t="str">
        <f aca="false">IF(OR(A17="",C17=""),"",IF(N17="Met","",IF(F17&lt;Requirements!B5,Requirements!A5&amp;" "&amp;TEXT(Requirements!B5-F17,"0.##")&amp;"; ","")&amp;IF(G17&lt;Requirements!B6,Requirements!A6&amp;" "&amp;TEXT(Requirements!B6-G17,"0.##")&amp;"; ","")&amp;IF(H17&lt;Requirements!B7,Requirements!A7&amp;" "&amp;TEXT(Requirements!B7-H17,"0.##")&amp;"; ","")&amp;IF(I17&lt;Requirements!B8,Requirements!A8&amp;" "&amp;TEXT(Requirements!B8-I17,"0.##")&amp;"; ","")&amp;IF(J17&lt;Requirements!B9,Requirements!A9&amp;" "&amp;TEXT(Requirements!B9-J17,"0.##")&amp;"; ","")&amp;IF(K17&lt;Requirements!B10,Requirements!A10&amp;" "&amp;TEXT(Requirements!B10-K17,"0.##")&amp;"; ","")&amp;IF(L17&lt;Requirements!B11,Requirements!A11&amp;" "&amp;TEXT(Requirements!B11-L17,"0.##")&amp;"; ","")&amp;IF(M17&lt;Requirements!B12,Requirements!A12&amp;" "&amp;TEXT(Requirements!B12-M17,"0.##")&amp;"; ","")))</f>
        <v/>
      </c>
    </row>
    <row r="18" customFormat="false" ht="15" hidden="false" customHeight="true" outlineLevel="0" collapsed="false">
      <c r="A18" s="11" t="s">
        <v>30</v>
      </c>
      <c r="B18" s="12" t="s">
        <v>31</v>
      </c>
      <c r="C18" s="13" t="n">
        <v>46752</v>
      </c>
      <c r="D18" s="14" t="n">
        <f aca="false">IF(C18="","",DATE(YEAR(C18)-1,1,1))</f>
        <v>46023</v>
      </c>
      <c r="E18" s="14" t="n">
        <f aca="false">IF(C18="","",DATE(YEAR(C18),12,31))</f>
        <v>46752</v>
      </c>
      <c r="F18" s="15" t="n">
        <f aca="false">IF(OR(A18="",C18=""),"",SUMPRODUCT(('Training Detail'!$A$5:$A$5000=A18)*('Training Detail'!$M$5:$M$5000=Standards!A2)*('Training Detail'!$G$5:$G$5000&gt;=D18)*('Training Detail'!$G$5:$G$5000&lt;=E18)*('Training Detail'!$P$5:$P$5000)))</f>
        <v>0</v>
      </c>
      <c r="G18" s="15" t="n">
        <f aca="false">IF(OR(A18="",C18=""),"",SUMPRODUCT(('Training Detail'!$A$5:$A$5000=A18)*('Training Detail'!$M$5:$M$5000=Standards!A3)*('Training Detail'!$G$5:$G$5000&gt;=D18)*('Training Detail'!$G$5:$G$5000&lt;=E18)*('Training Detail'!$P$5:$P$5000)))</f>
        <v>0</v>
      </c>
      <c r="H18" s="15" t="n">
        <f aca="false">IF(OR(A18="",C18=""),"",SUMPRODUCT(('Training Detail'!$A$5:$A$5000=A18)*('Training Detail'!$M$5:$M$5000=Standards!A4)*('Training Detail'!$G$5:$G$5000&gt;=D18)*('Training Detail'!$G$5:$G$5000&lt;=E18)*('Training Detail'!$P$5:$P$5000)))</f>
        <v>4</v>
      </c>
      <c r="I18" s="15" t="n">
        <f aca="false">IF(OR(A18="",C18=""),"",SUMPRODUCT(('Training Detail'!$A$5:$A$5000=A18)*('Training Detail'!$M$5:$M$5000=Standards!A5)*('Training Detail'!$G$5:$G$5000&gt;=D18)*('Training Detail'!$G$5:$G$5000&lt;=E18)*('Training Detail'!$P$5:$P$5000)))</f>
        <v>0</v>
      </c>
      <c r="J18" s="15" t="n">
        <f aca="false">IF(OR(A18="",C18=""),"",SUMPRODUCT(('Training Detail'!$A$5:$A$5000=A18)*('Training Detail'!$M$5:$M$5000=Standards!A6)*('Training Detail'!$G$5:$G$5000&gt;=D18)*('Training Detail'!$G$5:$G$5000&lt;=E18)*('Training Detail'!$P$5:$P$5000)))</f>
        <v>1</v>
      </c>
      <c r="K18" s="15" t="n">
        <f aca="false">IF(OR(A18="",C18=""),"",SUMPRODUCT(('Training Detail'!$A$5:$A$5000=A18)*('Training Detail'!$M$5:$M$5000=Standards!A7)*('Training Detail'!$G$5:$G$5000&gt;=D18)*('Training Detail'!$G$5:$G$5000&lt;=E18)*('Training Detail'!$P$5:$P$5000)))</f>
        <v>0</v>
      </c>
      <c r="L18" s="15" t="n">
        <f aca="false">IF(OR(A18="",C18=""),"",SUMPRODUCT(('Training Detail'!$A$5:$A$5000=A18)*('Training Detail'!$M$5:$M$5000=Standards!A8)*('Training Detail'!$G$5:$G$5000&gt;=D18)*('Training Detail'!$G$5:$G$5000&lt;=E18)*('Training Detail'!$P$5:$P$5000)))</f>
        <v>0</v>
      </c>
      <c r="M18" s="16" t="n">
        <f aca="false">IF(OR(A18="",C18=""),"",SUMPRODUCT(('Training Detail'!$A$5:$A$5000=A18)*('Training Detail'!$M$5:$M$5000=Standards!A9)*('Training Detail'!$G$5:$G$5000&gt;=D18)*('Training Detail'!$G$5:$G$5000&lt;=E18)*('Training Detail'!$P$5:$P$5000)))</f>
        <v>0</v>
      </c>
      <c r="N18" s="17" t="str">
        <f aca="false">IF(A18="","",IF(C18="","Set exp date",IF(AND(F18&gt;=Requirements!B5,G18&gt;=Requirements!B6,H18&gt;=Requirements!B7,I18&gt;=Requirements!B8,J18&gt;=Requirements!B9,K18&gt;=Requirements!B10,L18&gt;=Requirements!B11,M18&gt;=Requirements!B12),"Met","Short")))</f>
        <v>Short</v>
      </c>
      <c r="O18" s="18" t="str">
        <f aca="false">IF(OR(A18="",C18=""),"",IF(N18="Met","",IF(F18&lt;Requirements!B5,Requirements!A5&amp;" "&amp;TEXT(Requirements!B5-F18,"0.##")&amp;"; ","")&amp;IF(G18&lt;Requirements!B6,Requirements!A6&amp;" "&amp;TEXT(Requirements!B6-G18,"0.##")&amp;"; ","")&amp;IF(H18&lt;Requirements!B7,Requirements!A7&amp;" "&amp;TEXT(Requirements!B7-H18,"0.##")&amp;"; ","")&amp;IF(I18&lt;Requirements!B8,Requirements!A8&amp;" "&amp;TEXT(Requirements!B8-I18,"0.##")&amp;"; ","")&amp;IF(J18&lt;Requirements!B9,Requirements!A9&amp;" "&amp;TEXT(Requirements!B9-J18,"0.##")&amp;"; ","")&amp;IF(K18&lt;Requirements!B10,Requirements!A10&amp;" "&amp;TEXT(Requirements!B10-K18,"0.##")&amp;"; ","")&amp;IF(L18&lt;Requirements!B11,Requirements!A11&amp;" "&amp;TEXT(Requirements!B11-L18,"0.##")&amp;"; ","")&amp;IF(M18&lt;Requirements!B12,Requirements!A12&amp;" "&amp;TEXT(Requirements!B12-M18,"0.##")&amp;"; ","")))</f>
        <v>Airway 4; Cardiovascular 5; Medical 6; Operations 1; PAHT 1; SVAT 1; CPR/AED 1; </v>
      </c>
    </row>
    <row r="19" customFormat="false" ht="15" hidden="false" customHeight="true" outlineLevel="0" collapsed="false">
      <c r="A19" s="19" t="s">
        <v>32</v>
      </c>
      <c r="B19" s="20" t="s">
        <v>33</v>
      </c>
      <c r="C19" s="13" t="n">
        <v>46387</v>
      </c>
      <c r="D19" s="21" t="n">
        <f aca="false">IF(C19="","",DATE(YEAR(C19)-1,1,1))</f>
        <v>45658</v>
      </c>
      <c r="E19" s="21" t="n">
        <f aca="false">IF(C19="","",DATE(YEAR(C19),12,31))</f>
        <v>46387</v>
      </c>
      <c r="F19" s="15" t="n">
        <f aca="false">IF(OR(A19="",C19=""),"",SUMPRODUCT(('Training Detail'!$A$5:$A$5000=A19)*('Training Detail'!$M$5:$M$5000=Standards!A2)*('Training Detail'!$G$5:$G$5000&gt;=D19)*('Training Detail'!$G$5:$G$5000&lt;=E19)*('Training Detail'!$P$5:$P$5000)))</f>
        <v>1</v>
      </c>
      <c r="G19" s="15" t="n">
        <f aca="false">IF(OR(A19="",C19=""),"",SUMPRODUCT(('Training Detail'!$A$5:$A$5000=A19)*('Training Detail'!$M$5:$M$5000=Standards!A3)*('Training Detail'!$G$5:$G$5000&gt;=D19)*('Training Detail'!$G$5:$G$5000&lt;=E19)*('Training Detail'!$P$5:$P$5000)))</f>
        <v>3.5</v>
      </c>
      <c r="H19" s="15" t="n">
        <f aca="false">IF(OR(A19="",C19=""),"",SUMPRODUCT(('Training Detail'!$A$5:$A$5000=A19)*('Training Detail'!$M$5:$M$5000=Standards!A4)*('Training Detail'!$G$5:$G$5000&gt;=D19)*('Training Detail'!$G$5:$G$5000&lt;=E19)*('Training Detail'!$P$5:$P$5000)))</f>
        <v>4.5</v>
      </c>
      <c r="I19" s="15" t="n">
        <f aca="false">IF(OR(A19="",C19=""),"",SUMPRODUCT(('Training Detail'!$A$5:$A$5000=A19)*('Training Detail'!$M$5:$M$5000=Standards!A5)*('Training Detail'!$G$5:$G$5000&gt;=D19)*('Training Detail'!$G$5:$G$5000&lt;=E19)*('Training Detail'!$P$5:$P$5000)))</f>
        <v>10.5</v>
      </c>
      <c r="J19" s="15" t="n">
        <f aca="false">IF(OR(A19="",C19=""),"",SUMPRODUCT(('Training Detail'!$A$5:$A$5000=A19)*('Training Detail'!$M$5:$M$5000=Standards!A6)*('Training Detail'!$G$5:$G$5000&gt;=D19)*('Training Detail'!$G$5:$G$5000&lt;=E19)*('Training Detail'!$P$5:$P$5000)))</f>
        <v>2</v>
      </c>
      <c r="K19" s="15" t="n">
        <f aca="false">IF(OR(A19="",C19=""),"",SUMPRODUCT(('Training Detail'!$A$5:$A$5000=A19)*('Training Detail'!$M$5:$M$5000=Standards!A7)*('Training Detail'!$G$5:$G$5000&gt;=D19)*('Training Detail'!$G$5:$G$5000&lt;=E19)*('Training Detail'!$P$5:$P$5000)))</f>
        <v>0</v>
      </c>
      <c r="L19" s="15" t="n">
        <f aca="false">IF(OR(A19="",C19=""),"",SUMPRODUCT(('Training Detail'!$A$5:$A$5000=A19)*('Training Detail'!$M$5:$M$5000=Standards!A8)*('Training Detail'!$G$5:$G$5000&gt;=D19)*('Training Detail'!$G$5:$G$5000&lt;=E19)*('Training Detail'!$P$5:$P$5000)))</f>
        <v>0</v>
      </c>
      <c r="M19" s="16" t="n">
        <f aca="false">IF(OR(A19="",C19=""),"",SUMPRODUCT(('Training Detail'!$A$5:$A$5000=A19)*('Training Detail'!$M$5:$M$5000=Standards!A9)*('Training Detail'!$G$5:$G$5000&gt;=D19)*('Training Detail'!$G$5:$G$5000&lt;=E19)*('Training Detail'!$P$5:$P$5000)))</f>
        <v>0.5</v>
      </c>
      <c r="N19" s="17" t="str">
        <f aca="false">IF(A19="","",IF(C19="","Set exp date",IF(AND(F19&gt;=Requirements!B5,G19&gt;=Requirements!B6,H19&gt;=Requirements!B7,I19&gt;=Requirements!B8,J19&gt;=Requirements!B9,K19&gt;=Requirements!B10,L19&gt;=Requirements!B11,M19&gt;=Requirements!B12),"Met","Short")))</f>
        <v>Short</v>
      </c>
      <c r="O19" s="18" t="str">
        <f aca="false">IF(OR(A19="",C19=""),"",IF(N19="Met","",IF(F19&lt;Requirements!B5,Requirements!A5&amp;" "&amp;TEXT(Requirements!B5-F19,"0.##")&amp;"; ","")&amp;IF(G19&lt;Requirements!B6,Requirements!A6&amp;" "&amp;TEXT(Requirements!B6-G19,"0.##")&amp;"; ","")&amp;IF(H19&lt;Requirements!B7,Requirements!A7&amp;" "&amp;TEXT(Requirements!B7-H19,"0.##")&amp;"; ","")&amp;IF(I19&lt;Requirements!B8,Requirements!A8&amp;" "&amp;TEXT(Requirements!B8-I19,"0.##")&amp;"; ","")&amp;IF(J19&lt;Requirements!B9,Requirements!A9&amp;" "&amp;TEXT(Requirements!B9-J19,"0.##")&amp;"; ","")&amp;IF(K19&lt;Requirements!B10,Requirements!A10&amp;" "&amp;TEXT(Requirements!B10-K19,"0.##")&amp;"; ","")&amp;IF(L19&lt;Requirements!B11,Requirements!A11&amp;" "&amp;TEXT(Requirements!B11-L19,"0.##")&amp;"; ","")&amp;IF(M19&lt;Requirements!B12,Requirements!A12&amp;" "&amp;TEXT(Requirements!B12-M19,"0.##")&amp;"; ","")))</f>
        <v>Airway 3; Cardiovascular 1.5; PAHT 1; SVAT 1; CPR/AED 0.5; </v>
      </c>
    </row>
    <row r="20" customFormat="false" ht="15" hidden="false" customHeight="true" outlineLevel="0" collapsed="false">
      <c r="A20" s="11" t="s">
        <v>34</v>
      </c>
      <c r="B20" s="12" t="s">
        <v>35</v>
      </c>
      <c r="C20" s="13" t="n">
        <v>46387</v>
      </c>
      <c r="D20" s="14" t="n">
        <f aca="false">IF(C20="","",DATE(YEAR(C20)-1,1,1))</f>
        <v>45658</v>
      </c>
      <c r="E20" s="14" t="n">
        <f aca="false">IF(C20="","",DATE(YEAR(C20),12,31))</f>
        <v>46387</v>
      </c>
      <c r="F20" s="15" t="n">
        <f aca="false">IF(OR(A20="",C20=""),"",SUMPRODUCT(('Training Detail'!$A$5:$A$5000=A20)*('Training Detail'!$M$5:$M$5000=Standards!A2)*('Training Detail'!$G$5:$G$5000&gt;=D20)*('Training Detail'!$G$5:$G$5000&lt;=E20)*('Training Detail'!$P$5:$P$5000)))</f>
        <v>4</v>
      </c>
      <c r="G20" s="15" t="n">
        <f aca="false">IF(OR(A20="",C20=""),"",SUMPRODUCT(('Training Detail'!$A$5:$A$5000=A20)*('Training Detail'!$M$5:$M$5000=Standards!A3)*('Training Detail'!$G$5:$G$5000&gt;=D20)*('Training Detail'!$G$5:$G$5000&lt;=E20)*('Training Detail'!$P$5:$P$5000)))</f>
        <v>5</v>
      </c>
      <c r="H20" s="15" t="n">
        <f aca="false">IF(OR(A20="",C20=""),"",SUMPRODUCT(('Training Detail'!$A$5:$A$5000=A20)*('Training Detail'!$M$5:$M$5000=Standards!A4)*('Training Detail'!$G$5:$G$5000&gt;=D20)*('Training Detail'!$G$5:$G$5000&lt;=E20)*('Training Detail'!$P$5:$P$5000)))</f>
        <v>39.5</v>
      </c>
      <c r="I20" s="15" t="n">
        <f aca="false">IF(OR(A20="",C20=""),"",SUMPRODUCT(('Training Detail'!$A$5:$A$5000=A20)*('Training Detail'!$M$5:$M$5000=Standards!A5)*('Training Detail'!$G$5:$G$5000&gt;=D20)*('Training Detail'!$G$5:$G$5000&lt;=E20)*('Training Detail'!$P$5:$P$5000)))</f>
        <v>7</v>
      </c>
      <c r="J20" s="15" t="n">
        <f aca="false">IF(OR(A20="",C20=""),"",SUMPRODUCT(('Training Detail'!$A$5:$A$5000=A20)*('Training Detail'!$M$5:$M$5000=Standards!A6)*('Training Detail'!$G$5:$G$5000&gt;=D20)*('Training Detail'!$G$5:$G$5000&lt;=E20)*('Training Detail'!$P$5:$P$5000)))</f>
        <v>19</v>
      </c>
      <c r="K20" s="15" t="n">
        <f aca="false">IF(OR(A20="",C20=""),"",SUMPRODUCT(('Training Detail'!$A$5:$A$5000=A20)*('Training Detail'!$M$5:$M$5000=Standards!A7)*('Training Detail'!$G$5:$G$5000&gt;=D20)*('Training Detail'!$G$5:$G$5000&lt;=E20)*('Training Detail'!$P$5:$P$5000)))</f>
        <v>1</v>
      </c>
      <c r="L20" s="15" t="n">
        <f aca="false">IF(OR(A20="",C20=""),"",SUMPRODUCT(('Training Detail'!$A$5:$A$5000=A20)*('Training Detail'!$M$5:$M$5000=Standards!A8)*('Training Detail'!$G$5:$G$5000&gt;=D20)*('Training Detail'!$G$5:$G$5000&lt;=E20)*('Training Detail'!$P$5:$P$5000)))</f>
        <v>1</v>
      </c>
      <c r="M20" s="16" t="n">
        <f aca="false">IF(OR(A20="",C20=""),"",SUMPRODUCT(('Training Detail'!$A$5:$A$5000=A20)*('Training Detail'!$M$5:$M$5000=Standards!A9)*('Training Detail'!$G$5:$G$5000&gt;=D20)*('Training Detail'!$G$5:$G$5000&lt;=E20)*('Training Detail'!$P$5:$P$5000)))</f>
        <v>0.5</v>
      </c>
      <c r="N20" s="17" t="str">
        <f aca="false">IF(A20="","",IF(C20="","Set exp date",IF(AND(F20&gt;=Requirements!B5,G20&gt;=Requirements!B6,H20&gt;=Requirements!B7,I20&gt;=Requirements!B8,J20&gt;=Requirements!B9,K20&gt;=Requirements!B10,L20&gt;=Requirements!B11,M20&gt;=Requirements!B12),"Met","Short")))</f>
        <v>Short</v>
      </c>
      <c r="O20" s="18" t="str">
        <f aca="false">IF(OR(A20="",C20=""),"",IF(N20="Met","",IF(F20&lt;Requirements!B5,Requirements!A5&amp;" "&amp;TEXT(Requirements!B5-F20,"0.##")&amp;"; ","")&amp;IF(G20&lt;Requirements!B6,Requirements!A6&amp;" "&amp;TEXT(Requirements!B6-G20,"0.##")&amp;"; ","")&amp;IF(H20&lt;Requirements!B7,Requirements!A7&amp;" "&amp;TEXT(Requirements!B7-H20,"0.##")&amp;"; ","")&amp;IF(I20&lt;Requirements!B8,Requirements!A8&amp;" "&amp;TEXT(Requirements!B8-I20,"0.##")&amp;"; ","")&amp;IF(J20&lt;Requirements!B9,Requirements!A9&amp;" "&amp;TEXT(Requirements!B9-J20,"0.##")&amp;"; ","")&amp;IF(K20&lt;Requirements!B10,Requirements!A10&amp;" "&amp;TEXT(Requirements!B10-K20,"0.##")&amp;"; ","")&amp;IF(L20&lt;Requirements!B11,Requirements!A11&amp;" "&amp;TEXT(Requirements!B11-L20,"0.##")&amp;"; ","")&amp;IF(M20&lt;Requirements!B12,Requirements!A12&amp;" "&amp;TEXT(Requirements!B12-M20,"0.##")&amp;"; ","")))</f>
        <v>CPR/AED 0.5; </v>
      </c>
    </row>
    <row r="21" customFormat="false" ht="15" hidden="false" customHeight="true" outlineLevel="0" collapsed="false">
      <c r="A21" s="19" t="s">
        <v>36</v>
      </c>
      <c r="B21" s="20" t="s">
        <v>37</v>
      </c>
      <c r="C21" s="13" t="n">
        <v>46387</v>
      </c>
      <c r="D21" s="21" t="n">
        <f aca="false">IF(C21="","",DATE(YEAR(C21)-1,1,1))</f>
        <v>45658</v>
      </c>
      <c r="E21" s="21" t="n">
        <f aca="false">IF(C21="","",DATE(YEAR(C21),12,31))</f>
        <v>46387</v>
      </c>
      <c r="F21" s="15" t="n">
        <f aca="false">IF(OR(A21="",C21=""),"",SUMPRODUCT(('Training Detail'!$A$5:$A$5000=A21)*('Training Detail'!$M$5:$M$5000=Standards!A2)*('Training Detail'!$G$5:$G$5000&gt;=D21)*('Training Detail'!$G$5:$G$5000&lt;=E21)*('Training Detail'!$P$5:$P$5000)))</f>
        <v>3</v>
      </c>
      <c r="G21" s="15" t="n">
        <f aca="false">IF(OR(A21="",C21=""),"",SUMPRODUCT(('Training Detail'!$A$5:$A$5000=A21)*('Training Detail'!$M$5:$M$5000=Standards!A3)*('Training Detail'!$G$5:$G$5000&gt;=D21)*('Training Detail'!$G$5:$G$5000&lt;=E21)*('Training Detail'!$P$5:$P$5000)))</f>
        <v>3.5</v>
      </c>
      <c r="H21" s="15" t="n">
        <f aca="false">IF(OR(A21="",C21=""),"",SUMPRODUCT(('Training Detail'!$A$5:$A$5000=A21)*('Training Detail'!$M$5:$M$5000=Standards!A4)*('Training Detail'!$G$5:$G$5000&gt;=D21)*('Training Detail'!$G$5:$G$5000&lt;=E21)*('Training Detail'!$P$5:$P$5000)))</f>
        <v>22</v>
      </c>
      <c r="I21" s="15" t="n">
        <f aca="false">IF(OR(A21="",C21=""),"",SUMPRODUCT(('Training Detail'!$A$5:$A$5000=A21)*('Training Detail'!$M$5:$M$5000=Standards!A5)*('Training Detail'!$G$5:$G$5000&gt;=D21)*('Training Detail'!$G$5:$G$5000&lt;=E21)*('Training Detail'!$P$5:$P$5000)))</f>
        <v>11</v>
      </c>
      <c r="J21" s="15" t="n">
        <f aca="false">IF(OR(A21="",C21=""),"",SUMPRODUCT(('Training Detail'!$A$5:$A$5000=A21)*('Training Detail'!$M$5:$M$5000=Standards!A6)*('Training Detail'!$G$5:$G$5000&gt;=D21)*('Training Detail'!$G$5:$G$5000&lt;=E21)*('Training Detail'!$P$5:$P$5000)))</f>
        <v>5</v>
      </c>
      <c r="K21" s="15" t="n">
        <f aca="false">IF(OR(A21="",C21=""),"",SUMPRODUCT(('Training Detail'!$A$5:$A$5000=A21)*('Training Detail'!$M$5:$M$5000=Standards!A7)*('Training Detail'!$G$5:$G$5000&gt;=D21)*('Training Detail'!$G$5:$G$5000&lt;=E21)*('Training Detail'!$P$5:$P$5000)))</f>
        <v>1</v>
      </c>
      <c r="L21" s="15" t="n">
        <f aca="false">IF(OR(A21="",C21=""),"",SUMPRODUCT(('Training Detail'!$A$5:$A$5000=A21)*('Training Detail'!$M$5:$M$5000=Standards!A8)*('Training Detail'!$G$5:$G$5000&gt;=D21)*('Training Detail'!$G$5:$G$5000&lt;=E21)*('Training Detail'!$P$5:$P$5000)))</f>
        <v>0</v>
      </c>
      <c r="M21" s="16" t="n">
        <f aca="false">IF(OR(A21="",C21=""),"",SUMPRODUCT(('Training Detail'!$A$5:$A$5000=A21)*('Training Detail'!$M$5:$M$5000=Standards!A9)*('Training Detail'!$G$5:$G$5000&gt;=D21)*('Training Detail'!$G$5:$G$5000&lt;=E21)*('Training Detail'!$P$5:$P$5000)))</f>
        <v>0</v>
      </c>
      <c r="N21" s="17" t="str">
        <f aca="false">IF(A21="","",IF(C21="","Set exp date",IF(AND(F21&gt;=Requirements!B5,G21&gt;=Requirements!B6,H21&gt;=Requirements!B7,I21&gt;=Requirements!B8,J21&gt;=Requirements!B9,K21&gt;=Requirements!B10,L21&gt;=Requirements!B11,M21&gt;=Requirements!B12),"Met","Short")))</f>
        <v>Short</v>
      </c>
      <c r="O21" s="18" t="str">
        <f aca="false">IF(OR(A21="",C21=""),"",IF(N21="Met","",IF(F21&lt;Requirements!B5,Requirements!A5&amp;" "&amp;TEXT(Requirements!B5-F21,"0.##")&amp;"; ","")&amp;IF(G21&lt;Requirements!B6,Requirements!A6&amp;" "&amp;TEXT(Requirements!B6-G21,"0.##")&amp;"; ","")&amp;IF(H21&lt;Requirements!B7,Requirements!A7&amp;" "&amp;TEXT(Requirements!B7-H21,"0.##")&amp;"; ","")&amp;IF(I21&lt;Requirements!B8,Requirements!A8&amp;" "&amp;TEXT(Requirements!B8-I21,"0.##")&amp;"; ","")&amp;IF(J21&lt;Requirements!B9,Requirements!A9&amp;" "&amp;TEXT(Requirements!B9-J21,"0.##")&amp;"; ","")&amp;IF(K21&lt;Requirements!B10,Requirements!A10&amp;" "&amp;TEXT(Requirements!B10-K21,"0.##")&amp;"; ","")&amp;IF(L21&lt;Requirements!B11,Requirements!A11&amp;" "&amp;TEXT(Requirements!B11-L21,"0.##")&amp;"; ","")&amp;IF(M21&lt;Requirements!B12,Requirements!A12&amp;" "&amp;TEXT(Requirements!B12-M21,"0.##")&amp;"; ","")))</f>
        <v>Airway 1; Cardiovascular 1.5; SVAT 1; CPR/AED 1; </v>
      </c>
    </row>
    <row r="22" customFormat="false" ht="15" hidden="false" customHeight="true" outlineLevel="0" collapsed="false">
      <c r="A22" s="11" t="s">
        <v>38</v>
      </c>
      <c r="B22" s="12"/>
      <c r="C22" s="13"/>
      <c r="D22" s="14" t="str">
        <f aca="false">IF(C22="","",DATE(YEAR(C22)-1,1,1))</f>
        <v/>
      </c>
      <c r="E22" s="14" t="str">
        <f aca="false">IF(C22="","",DATE(YEAR(C22),12,31))</f>
        <v/>
      </c>
      <c r="F22" s="15" t="str">
        <f aca="false">IF(OR(A22="",C22=""),"",SUMPRODUCT(('Training Detail'!$A$5:$A$5000=A22)*('Training Detail'!$M$5:$M$5000=Standards!A2)*('Training Detail'!$G$5:$G$5000&gt;=D22)*('Training Detail'!$G$5:$G$5000&lt;=E22)*('Training Detail'!$P$5:$P$5000)))</f>
        <v/>
      </c>
      <c r="G22" s="15" t="str">
        <f aca="false">IF(OR(A22="",C22=""),"",SUMPRODUCT(('Training Detail'!$A$5:$A$5000=A22)*('Training Detail'!$M$5:$M$5000=Standards!A3)*('Training Detail'!$G$5:$G$5000&gt;=D22)*('Training Detail'!$G$5:$G$5000&lt;=E22)*('Training Detail'!$P$5:$P$5000)))</f>
        <v/>
      </c>
      <c r="H22" s="15" t="str">
        <f aca="false">IF(OR(A22="",C22=""),"",SUMPRODUCT(('Training Detail'!$A$5:$A$5000=A22)*('Training Detail'!$M$5:$M$5000=Standards!A4)*('Training Detail'!$G$5:$G$5000&gt;=D22)*('Training Detail'!$G$5:$G$5000&lt;=E22)*('Training Detail'!$P$5:$P$5000)))</f>
        <v/>
      </c>
      <c r="I22" s="15" t="str">
        <f aca="false">IF(OR(A22="",C22=""),"",SUMPRODUCT(('Training Detail'!$A$5:$A$5000=A22)*('Training Detail'!$M$5:$M$5000=Standards!A5)*('Training Detail'!$G$5:$G$5000&gt;=D22)*('Training Detail'!$G$5:$G$5000&lt;=E22)*('Training Detail'!$P$5:$P$5000)))</f>
        <v/>
      </c>
      <c r="J22" s="15" t="str">
        <f aca="false">IF(OR(A22="",C22=""),"",SUMPRODUCT(('Training Detail'!$A$5:$A$5000=A22)*('Training Detail'!$M$5:$M$5000=Standards!A6)*('Training Detail'!$G$5:$G$5000&gt;=D22)*('Training Detail'!$G$5:$G$5000&lt;=E22)*('Training Detail'!$P$5:$P$5000)))</f>
        <v/>
      </c>
      <c r="K22" s="15" t="str">
        <f aca="false">IF(OR(A22="",C22=""),"",SUMPRODUCT(('Training Detail'!$A$5:$A$5000=A22)*('Training Detail'!$M$5:$M$5000=Standards!A7)*('Training Detail'!$G$5:$G$5000&gt;=D22)*('Training Detail'!$G$5:$G$5000&lt;=E22)*('Training Detail'!$P$5:$P$5000)))</f>
        <v/>
      </c>
      <c r="L22" s="15" t="str">
        <f aca="false">IF(OR(A22="",C22=""),"",SUMPRODUCT(('Training Detail'!$A$5:$A$5000=A22)*('Training Detail'!$M$5:$M$5000=Standards!A8)*('Training Detail'!$G$5:$G$5000&gt;=D22)*('Training Detail'!$G$5:$G$5000&lt;=E22)*('Training Detail'!$P$5:$P$5000)))</f>
        <v/>
      </c>
      <c r="M22" s="16" t="str">
        <f aca="false">IF(OR(A22="",C22=""),"",SUMPRODUCT(('Training Detail'!$A$5:$A$5000=A22)*('Training Detail'!$M$5:$M$5000=Standards!A9)*('Training Detail'!$G$5:$G$5000&gt;=D22)*('Training Detail'!$G$5:$G$5000&lt;=E22)*('Training Detail'!$P$5:$P$5000)))</f>
        <v/>
      </c>
      <c r="N22" s="17" t="str">
        <f aca="false">IF(A22="","",IF(C22="","Set exp date",IF(AND(F22&gt;=Requirements!B5,G22&gt;=Requirements!B6,H22&gt;=Requirements!B7,I22&gt;=Requirements!B8,J22&gt;=Requirements!B9,K22&gt;=Requirements!B10,L22&gt;=Requirements!B11,M22&gt;=Requirements!B12),"Met","Short")))</f>
        <v>Set exp date</v>
      </c>
      <c r="O22" s="18" t="str">
        <f aca="false">IF(OR(A22="",C22=""),"",IF(N22="Met","",IF(F22&lt;Requirements!B5,Requirements!A5&amp;" "&amp;TEXT(Requirements!B5-F22,"0.##")&amp;"; ","")&amp;IF(G22&lt;Requirements!B6,Requirements!A6&amp;" "&amp;TEXT(Requirements!B6-G22,"0.##")&amp;"; ","")&amp;IF(H22&lt;Requirements!B7,Requirements!A7&amp;" "&amp;TEXT(Requirements!B7-H22,"0.##")&amp;"; ","")&amp;IF(I22&lt;Requirements!B8,Requirements!A8&amp;" "&amp;TEXT(Requirements!B8-I22,"0.##")&amp;"; ","")&amp;IF(J22&lt;Requirements!B9,Requirements!A9&amp;" "&amp;TEXT(Requirements!B9-J22,"0.##")&amp;"; ","")&amp;IF(K22&lt;Requirements!B10,Requirements!A10&amp;" "&amp;TEXT(Requirements!B10-K22,"0.##")&amp;"; ","")&amp;IF(L22&lt;Requirements!B11,Requirements!A11&amp;" "&amp;TEXT(Requirements!B11-L22,"0.##")&amp;"; ","")&amp;IF(M22&lt;Requirements!B12,Requirements!A12&amp;" "&amp;TEXT(Requirements!B12-M22,"0.##")&amp;"; ","")))</f>
        <v/>
      </c>
    </row>
    <row r="23" customFormat="false" ht="15" hidden="false" customHeight="true" outlineLevel="0" collapsed="false">
      <c r="A23" s="19" t="s">
        <v>39</v>
      </c>
      <c r="B23" s="20" t="s">
        <v>40</v>
      </c>
      <c r="C23" s="13" t="n">
        <v>46387</v>
      </c>
      <c r="D23" s="21" t="n">
        <f aca="false">IF(C23="","",DATE(YEAR(C23)-1,1,1))</f>
        <v>45658</v>
      </c>
      <c r="E23" s="21" t="n">
        <f aca="false">IF(C23="","",DATE(YEAR(C23),12,31))</f>
        <v>46387</v>
      </c>
      <c r="F23" s="15" t="n">
        <f aca="false">IF(OR(A23="",C23=""),"",SUMPRODUCT(('Training Detail'!$A$5:$A$5000=A23)*('Training Detail'!$M$5:$M$5000=Standards!A2)*('Training Detail'!$G$5:$G$5000&gt;=D23)*('Training Detail'!$G$5:$G$5000&lt;=E23)*('Training Detail'!$P$5:$P$5000)))</f>
        <v>4</v>
      </c>
      <c r="G23" s="15" t="n">
        <f aca="false">IF(OR(A23="",C23=""),"",SUMPRODUCT(('Training Detail'!$A$5:$A$5000=A23)*('Training Detail'!$M$5:$M$5000=Standards!A3)*('Training Detail'!$G$5:$G$5000&gt;=D23)*('Training Detail'!$G$5:$G$5000&lt;=E23)*('Training Detail'!$P$5:$P$5000)))</f>
        <v>0</v>
      </c>
      <c r="H23" s="15" t="n">
        <f aca="false">IF(OR(A23="",C23=""),"",SUMPRODUCT(('Training Detail'!$A$5:$A$5000=A23)*('Training Detail'!$M$5:$M$5000=Standards!A4)*('Training Detail'!$G$5:$G$5000&gt;=D23)*('Training Detail'!$G$5:$G$5000&lt;=E23)*('Training Detail'!$P$5:$P$5000)))</f>
        <v>6</v>
      </c>
      <c r="I23" s="15" t="n">
        <f aca="false">IF(OR(A23="",C23=""),"",SUMPRODUCT(('Training Detail'!$A$5:$A$5000=A23)*('Training Detail'!$M$5:$M$5000=Standards!A5)*('Training Detail'!$G$5:$G$5000&gt;=D23)*('Training Detail'!$G$5:$G$5000&lt;=E23)*('Training Detail'!$P$5:$P$5000)))</f>
        <v>10</v>
      </c>
      <c r="J23" s="15" t="n">
        <f aca="false">IF(OR(A23="",C23=""),"",SUMPRODUCT(('Training Detail'!$A$5:$A$5000=A23)*('Training Detail'!$M$5:$M$5000=Standards!A6)*('Training Detail'!$G$5:$G$5000&gt;=D23)*('Training Detail'!$G$5:$G$5000&lt;=E23)*('Training Detail'!$P$5:$P$5000)))</f>
        <v>0</v>
      </c>
      <c r="K23" s="15" t="n">
        <f aca="false">IF(OR(A23="",C23=""),"",SUMPRODUCT(('Training Detail'!$A$5:$A$5000=A23)*('Training Detail'!$M$5:$M$5000=Standards!A7)*('Training Detail'!$G$5:$G$5000&gt;=D23)*('Training Detail'!$G$5:$G$5000&lt;=E23)*('Training Detail'!$P$5:$P$5000)))</f>
        <v>1</v>
      </c>
      <c r="L23" s="15" t="n">
        <f aca="false">IF(OR(A23="",C23=""),"",SUMPRODUCT(('Training Detail'!$A$5:$A$5000=A23)*('Training Detail'!$M$5:$M$5000=Standards!A8)*('Training Detail'!$G$5:$G$5000&gt;=D23)*('Training Detail'!$G$5:$G$5000&lt;=E23)*('Training Detail'!$P$5:$P$5000)))</f>
        <v>0</v>
      </c>
      <c r="M23" s="16" t="n">
        <f aca="false">IF(OR(A23="",C23=""),"",SUMPRODUCT(('Training Detail'!$A$5:$A$5000=A23)*('Training Detail'!$M$5:$M$5000=Standards!A9)*('Training Detail'!$G$5:$G$5000&gt;=D23)*('Training Detail'!$G$5:$G$5000&lt;=E23)*('Training Detail'!$P$5:$P$5000)))</f>
        <v>0</v>
      </c>
      <c r="N23" s="17" t="str">
        <f aca="false">IF(A23="","",IF(C23="","Set exp date",IF(AND(F23&gt;=Requirements!B5,G23&gt;=Requirements!B6,H23&gt;=Requirements!B7,I23&gt;=Requirements!B8,J23&gt;=Requirements!B9,K23&gt;=Requirements!B10,L23&gt;=Requirements!B11,M23&gt;=Requirements!B12),"Met","Short")))</f>
        <v>Short</v>
      </c>
      <c r="O23" s="18" t="str">
        <f aca="false">IF(OR(A23="",C23=""),"",IF(N23="Met","",IF(F23&lt;Requirements!B5,Requirements!A5&amp;" "&amp;TEXT(Requirements!B5-F23,"0.##")&amp;"; ","")&amp;IF(G23&lt;Requirements!B6,Requirements!A6&amp;" "&amp;TEXT(Requirements!B6-G23,"0.##")&amp;"; ","")&amp;IF(H23&lt;Requirements!B7,Requirements!A7&amp;" "&amp;TEXT(Requirements!B7-H23,"0.##")&amp;"; ","")&amp;IF(I23&lt;Requirements!B8,Requirements!A8&amp;" "&amp;TEXT(Requirements!B8-I23,"0.##")&amp;"; ","")&amp;IF(J23&lt;Requirements!B9,Requirements!A9&amp;" "&amp;TEXT(Requirements!B9-J23,"0.##")&amp;"; ","")&amp;IF(K23&lt;Requirements!B10,Requirements!A10&amp;" "&amp;TEXT(Requirements!B10-K23,"0.##")&amp;"; ","")&amp;IF(L23&lt;Requirements!B11,Requirements!A11&amp;" "&amp;TEXT(Requirements!B11-L23,"0.##")&amp;"; ","")&amp;IF(M23&lt;Requirements!B12,Requirements!A12&amp;" "&amp;TEXT(Requirements!B12-M23,"0.##")&amp;"; ","")))</f>
        <v>Cardiovascular 5; Operations 2; SVAT 1; CPR/AED 1; </v>
      </c>
    </row>
    <row r="24" customFormat="false" ht="15" hidden="false" customHeight="true" outlineLevel="0" collapsed="false">
      <c r="A24" s="11" t="s">
        <v>41</v>
      </c>
      <c r="B24" s="12" t="s">
        <v>42</v>
      </c>
      <c r="C24" s="13" t="n">
        <v>46387</v>
      </c>
      <c r="D24" s="14" t="n">
        <f aca="false">IF(C24="","",DATE(YEAR(C24)-1,1,1))</f>
        <v>45658</v>
      </c>
      <c r="E24" s="14" t="n">
        <f aca="false">IF(C24="","",DATE(YEAR(C24),12,31))</f>
        <v>46387</v>
      </c>
      <c r="F24" s="15" t="n">
        <f aca="false">IF(OR(A24="",C24=""),"",SUMPRODUCT(('Training Detail'!$A$5:$A$5000=A24)*('Training Detail'!$M$5:$M$5000=Standards!A2)*('Training Detail'!$G$5:$G$5000&gt;=D24)*('Training Detail'!$G$5:$G$5000&lt;=E24)*('Training Detail'!$P$5:$P$5000)))</f>
        <v>0</v>
      </c>
      <c r="G24" s="15" t="n">
        <f aca="false">IF(OR(A24="",C24=""),"",SUMPRODUCT(('Training Detail'!$A$5:$A$5000=A24)*('Training Detail'!$M$5:$M$5000=Standards!A3)*('Training Detail'!$G$5:$G$5000&gt;=D24)*('Training Detail'!$G$5:$G$5000&lt;=E24)*('Training Detail'!$P$5:$P$5000)))</f>
        <v>0</v>
      </c>
      <c r="H24" s="15" t="n">
        <f aca="false">IF(OR(A24="",C24=""),"",SUMPRODUCT(('Training Detail'!$A$5:$A$5000=A24)*('Training Detail'!$M$5:$M$5000=Standards!A4)*('Training Detail'!$G$5:$G$5000&gt;=D24)*('Training Detail'!$G$5:$G$5000&lt;=E24)*('Training Detail'!$P$5:$P$5000)))</f>
        <v>2</v>
      </c>
      <c r="I24" s="15" t="n">
        <f aca="false">IF(OR(A24="",C24=""),"",SUMPRODUCT(('Training Detail'!$A$5:$A$5000=A24)*('Training Detail'!$M$5:$M$5000=Standards!A5)*('Training Detail'!$G$5:$G$5000&gt;=D24)*('Training Detail'!$G$5:$G$5000&lt;=E24)*('Training Detail'!$P$5:$P$5000)))</f>
        <v>2.5</v>
      </c>
      <c r="J24" s="15" t="n">
        <f aca="false">IF(OR(A24="",C24=""),"",SUMPRODUCT(('Training Detail'!$A$5:$A$5000=A24)*('Training Detail'!$M$5:$M$5000=Standards!A6)*('Training Detail'!$G$5:$G$5000&gt;=D24)*('Training Detail'!$G$5:$G$5000&lt;=E24)*('Training Detail'!$P$5:$P$5000)))</f>
        <v>2</v>
      </c>
      <c r="K24" s="15" t="n">
        <f aca="false">IF(OR(A24="",C24=""),"",SUMPRODUCT(('Training Detail'!$A$5:$A$5000=A24)*('Training Detail'!$M$5:$M$5000=Standards!A7)*('Training Detail'!$G$5:$G$5000&gt;=D24)*('Training Detail'!$G$5:$G$5000&lt;=E24)*('Training Detail'!$P$5:$P$5000)))</f>
        <v>0</v>
      </c>
      <c r="L24" s="15" t="n">
        <f aca="false">IF(OR(A24="",C24=""),"",SUMPRODUCT(('Training Detail'!$A$5:$A$5000=A24)*('Training Detail'!$M$5:$M$5000=Standards!A8)*('Training Detail'!$G$5:$G$5000&gt;=D24)*('Training Detail'!$G$5:$G$5000&lt;=E24)*('Training Detail'!$P$5:$P$5000)))</f>
        <v>0</v>
      </c>
      <c r="M24" s="16" t="n">
        <f aca="false">IF(OR(A24="",C24=""),"",SUMPRODUCT(('Training Detail'!$A$5:$A$5000=A24)*('Training Detail'!$M$5:$M$5000=Standards!A9)*('Training Detail'!$G$5:$G$5000&gt;=D24)*('Training Detail'!$G$5:$G$5000&lt;=E24)*('Training Detail'!$P$5:$P$5000)))</f>
        <v>0.5</v>
      </c>
      <c r="N24" s="17" t="str">
        <f aca="false">IF(A24="","",IF(C24="","Set exp date",IF(AND(F24&gt;=Requirements!B5,G24&gt;=Requirements!B6,H24&gt;=Requirements!B7,I24&gt;=Requirements!B8,J24&gt;=Requirements!B9,K24&gt;=Requirements!B10,L24&gt;=Requirements!B11,M24&gt;=Requirements!B12),"Met","Short")))</f>
        <v>Short</v>
      </c>
      <c r="O24" s="18" t="str">
        <f aca="false">IF(OR(A24="",C24=""),"",IF(N24="Met","",IF(F24&lt;Requirements!B5,Requirements!A5&amp;" "&amp;TEXT(Requirements!B5-F24,"0.##")&amp;"; ","")&amp;IF(G24&lt;Requirements!B6,Requirements!A6&amp;" "&amp;TEXT(Requirements!B6-G24,"0.##")&amp;"; ","")&amp;IF(H24&lt;Requirements!B7,Requirements!A7&amp;" "&amp;TEXT(Requirements!B7-H24,"0.##")&amp;"; ","")&amp;IF(I24&lt;Requirements!B8,Requirements!A8&amp;" "&amp;TEXT(Requirements!B8-I24,"0.##")&amp;"; ","")&amp;IF(J24&lt;Requirements!B9,Requirements!A9&amp;" "&amp;TEXT(Requirements!B9-J24,"0.##")&amp;"; ","")&amp;IF(K24&lt;Requirements!B10,Requirements!A10&amp;" "&amp;TEXT(Requirements!B10-K24,"0.##")&amp;"; ","")&amp;IF(L24&lt;Requirements!B11,Requirements!A11&amp;" "&amp;TEXT(Requirements!B11-L24,"0.##")&amp;"; ","")&amp;IF(M24&lt;Requirements!B12,Requirements!A12&amp;" "&amp;TEXT(Requirements!B12-M24,"0.##")&amp;"; ","")))</f>
        <v>Airway 4; Cardiovascular 5; Trauma 1; Medical 3.5; PAHT 1; SVAT 1; CPR/AED 0.5; </v>
      </c>
    </row>
    <row r="25" customFormat="false" ht="15" hidden="false" customHeight="true" outlineLevel="0" collapsed="false">
      <c r="A25" s="19" t="s">
        <v>43</v>
      </c>
      <c r="B25" s="20" t="s">
        <v>44</v>
      </c>
      <c r="C25" s="13" t="n">
        <v>46387</v>
      </c>
      <c r="D25" s="21" t="n">
        <f aca="false">IF(C25="","",DATE(YEAR(C25)-1,1,1))</f>
        <v>45658</v>
      </c>
      <c r="E25" s="21" t="n">
        <f aca="false">IF(C25="","",DATE(YEAR(C25),12,31))</f>
        <v>46387</v>
      </c>
      <c r="F25" s="15" t="n">
        <f aca="false">IF(OR(A25="",C25=""),"",SUMPRODUCT(('Training Detail'!$A$5:$A$5000=A25)*('Training Detail'!$M$5:$M$5000=Standards!A2)*('Training Detail'!$G$5:$G$5000&gt;=D25)*('Training Detail'!$G$5:$G$5000&lt;=E25)*('Training Detail'!$P$5:$P$5000)))</f>
        <v>0</v>
      </c>
      <c r="G25" s="15" t="n">
        <f aca="false">IF(OR(A25="",C25=""),"",SUMPRODUCT(('Training Detail'!$A$5:$A$5000=A25)*('Training Detail'!$M$5:$M$5000=Standards!A3)*('Training Detail'!$G$5:$G$5000&gt;=D25)*('Training Detail'!$G$5:$G$5000&lt;=E25)*('Training Detail'!$P$5:$P$5000)))</f>
        <v>2</v>
      </c>
      <c r="H25" s="15" t="n">
        <f aca="false">IF(OR(A25="",C25=""),"",SUMPRODUCT(('Training Detail'!$A$5:$A$5000=A25)*('Training Detail'!$M$5:$M$5000=Standards!A4)*('Training Detail'!$G$5:$G$5000&gt;=D25)*('Training Detail'!$G$5:$G$5000&lt;=E25)*('Training Detail'!$P$5:$P$5000)))</f>
        <v>7</v>
      </c>
      <c r="I25" s="15" t="n">
        <f aca="false">IF(OR(A25="",C25=""),"",SUMPRODUCT(('Training Detail'!$A$5:$A$5000=A25)*('Training Detail'!$M$5:$M$5000=Standards!A5)*('Training Detail'!$G$5:$G$5000&gt;=D25)*('Training Detail'!$G$5:$G$5000&lt;=E25)*('Training Detail'!$P$5:$P$5000)))</f>
        <v>3.5</v>
      </c>
      <c r="J25" s="15" t="n">
        <f aca="false">IF(OR(A25="",C25=""),"",SUMPRODUCT(('Training Detail'!$A$5:$A$5000=A25)*('Training Detail'!$M$5:$M$5000=Standards!A6)*('Training Detail'!$G$5:$G$5000&gt;=D25)*('Training Detail'!$G$5:$G$5000&lt;=E25)*('Training Detail'!$P$5:$P$5000)))</f>
        <v>2</v>
      </c>
      <c r="K25" s="15" t="n">
        <f aca="false">IF(OR(A25="",C25=""),"",SUMPRODUCT(('Training Detail'!$A$5:$A$5000=A25)*('Training Detail'!$M$5:$M$5000=Standards!A7)*('Training Detail'!$G$5:$G$5000&gt;=D25)*('Training Detail'!$G$5:$G$5000&lt;=E25)*('Training Detail'!$P$5:$P$5000)))</f>
        <v>0</v>
      </c>
      <c r="L25" s="15" t="n">
        <f aca="false">IF(OR(A25="",C25=""),"",SUMPRODUCT(('Training Detail'!$A$5:$A$5000=A25)*('Training Detail'!$M$5:$M$5000=Standards!A8)*('Training Detail'!$G$5:$G$5000&gt;=D25)*('Training Detail'!$G$5:$G$5000&lt;=E25)*('Training Detail'!$P$5:$P$5000)))</f>
        <v>0</v>
      </c>
      <c r="M25" s="16" t="n">
        <f aca="false">IF(OR(A25="",C25=""),"",SUMPRODUCT(('Training Detail'!$A$5:$A$5000=A25)*('Training Detail'!$M$5:$M$5000=Standards!A9)*('Training Detail'!$G$5:$G$5000&gt;=D25)*('Training Detail'!$G$5:$G$5000&lt;=E25)*('Training Detail'!$P$5:$P$5000)))</f>
        <v>3</v>
      </c>
      <c r="N25" s="17" t="str">
        <f aca="false">IF(A25="","",IF(C25="","Set exp date",IF(AND(F25&gt;=Requirements!B5,G25&gt;=Requirements!B6,H25&gt;=Requirements!B7,I25&gt;=Requirements!B8,J25&gt;=Requirements!B9,K25&gt;=Requirements!B10,L25&gt;=Requirements!B11,M25&gt;=Requirements!B12),"Met","Short")))</f>
        <v>Short</v>
      </c>
      <c r="O25" s="18" t="str">
        <f aca="false">IF(OR(A25="",C25=""),"",IF(N25="Met","",IF(F25&lt;Requirements!B5,Requirements!A5&amp;" "&amp;TEXT(Requirements!B5-F25,"0.##")&amp;"; ","")&amp;IF(G25&lt;Requirements!B6,Requirements!A6&amp;" "&amp;TEXT(Requirements!B6-G25,"0.##")&amp;"; ","")&amp;IF(H25&lt;Requirements!B7,Requirements!A7&amp;" "&amp;TEXT(Requirements!B7-H25,"0.##")&amp;"; ","")&amp;IF(I25&lt;Requirements!B8,Requirements!A8&amp;" "&amp;TEXT(Requirements!B8-I25,"0.##")&amp;"; ","")&amp;IF(J25&lt;Requirements!B9,Requirements!A9&amp;" "&amp;TEXT(Requirements!B9-J25,"0.##")&amp;"; ","")&amp;IF(K25&lt;Requirements!B10,Requirements!A10&amp;" "&amp;TEXT(Requirements!B10-K25,"0.##")&amp;"; ","")&amp;IF(L25&lt;Requirements!B11,Requirements!A11&amp;" "&amp;TEXT(Requirements!B11-L25,"0.##")&amp;"; ","")&amp;IF(M25&lt;Requirements!B12,Requirements!A12&amp;" "&amp;TEXT(Requirements!B12-M25,"0.##")&amp;"; ","")))</f>
        <v>Airway 4; Cardiovascular 3; Medical 2.5; PAHT 1; SVAT 1; </v>
      </c>
    </row>
    <row r="26" customFormat="false" ht="15" hidden="false" customHeight="true" outlineLevel="0" collapsed="false">
      <c r="A26" s="11" t="s">
        <v>45</v>
      </c>
      <c r="B26" s="12" t="s">
        <v>46</v>
      </c>
      <c r="C26" s="13" t="n">
        <v>46387</v>
      </c>
      <c r="D26" s="14" t="n">
        <f aca="false">IF(C26="","",DATE(YEAR(C26)-1,1,1))</f>
        <v>45658</v>
      </c>
      <c r="E26" s="14" t="n">
        <f aca="false">IF(C26="","",DATE(YEAR(C26),12,31))</f>
        <v>46387</v>
      </c>
      <c r="F26" s="15" t="n">
        <f aca="false">IF(OR(A26="",C26=""),"",SUMPRODUCT(('Training Detail'!$A$5:$A$5000=A26)*('Training Detail'!$M$5:$M$5000=Standards!A2)*('Training Detail'!$G$5:$G$5000&gt;=D26)*('Training Detail'!$G$5:$G$5000&lt;=E26)*('Training Detail'!$P$5:$P$5000)))</f>
        <v>2</v>
      </c>
      <c r="G26" s="15" t="n">
        <f aca="false">IF(OR(A26="",C26=""),"",SUMPRODUCT(('Training Detail'!$A$5:$A$5000=A26)*('Training Detail'!$M$5:$M$5000=Standards!A3)*('Training Detail'!$G$5:$G$5000&gt;=D26)*('Training Detail'!$G$5:$G$5000&lt;=E26)*('Training Detail'!$P$5:$P$5000)))</f>
        <v>2</v>
      </c>
      <c r="H26" s="15" t="n">
        <f aca="false">IF(OR(A26="",C26=""),"",SUMPRODUCT(('Training Detail'!$A$5:$A$5000=A26)*('Training Detail'!$M$5:$M$5000=Standards!A4)*('Training Detail'!$G$5:$G$5000&gt;=D26)*('Training Detail'!$G$5:$G$5000&lt;=E26)*('Training Detail'!$P$5:$P$5000)))</f>
        <v>8</v>
      </c>
      <c r="I26" s="15" t="n">
        <f aca="false">IF(OR(A26="",C26=""),"",SUMPRODUCT(('Training Detail'!$A$5:$A$5000=A26)*('Training Detail'!$M$5:$M$5000=Standards!A5)*('Training Detail'!$G$5:$G$5000&gt;=D26)*('Training Detail'!$G$5:$G$5000&lt;=E26)*('Training Detail'!$P$5:$P$5000)))</f>
        <v>5</v>
      </c>
      <c r="J26" s="15" t="n">
        <f aca="false">IF(OR(A26="",C26=""),"",SUMPRODUCT(('Training Detail'!$A$5:$A$5000=A26)*('Training Detail'!$M$5:$M$5000=Standards!A6)*('Training Detail'!$G$5:$G$5000&gt;=D26)*('Training Detail'!$G$5:$G$5000&lt;=E26)*('Training Detail'!$P$5:$P$5000)))</f>
        <v>0</v>
      </c>
      <c r="K26" s="15" t="n">
        <f aca="false">IF(OR(A26="",C26=""),"",SUMPRODUCT(('Training Detail'!$A$5:$A$5000=A26)*('Training Detail'!$M$5:$M$5000=Standards!A7)*('Training Detail'!$G$5:$G$5000&gt;=D26)*('Training Detail'!$G$5:$G$5000&lt;=E26)*('Training Detail'!$P$5:$P$5000)))</f>
        <v>0</v>
      </c>
      <c r="L26" s="15" t="n">
        <f aca="false">IF(OR(A26="",C26=""),"",SUMPRODUCT(('Training Detail'!$A$5:$A$5000=A26)*('Training Detail'!$M$5:$M$5000=Standards!A8)*('Training Detail'!$G$5:$G$5000&gt;=D26)*('Training Detail'!$G$5:$G$5000&lt;=E26)*('Training Detail'!$P$5:$P$5000)))</f>
        <v>0</v>
      </c>
      <c r="M26" s="16" t="n">
        <f aca="false">IF(OR(A26="",C26=""),"",SUMPRODUCT(('Training Detail'!$A$5:$A$5000=A26)*('Training Detail'!$M$5:$M$5000=Standards!A9)*('Training Detail'!$G$5:$G$5000&gt;=D26)*('Training Detail'!$G$5:$G$5000&lt;=E26)*('Training Detail'!$P$5:$P$5000)))</f>
        <v>0</v>
      </c>
      <c r="N26" s="17" t="str">
        <f aca="false">IF(A26="","",IF(C26="","Set exp date",IF(AND(F26&gt;=Requirements!B5,G26&gt;=Requirements!B6,H26&gt;=Requirements!B7,I26&gt;=Requirements!B8,J26&gt;=Requirements!B9,K26&gt;=Requirements!B10,L26&gt;=Requirements!B11,M26&gt;=Requirements!B12),"Met","Short")))</f>
        <v>Short</v>
      </c>
      <c r="O26" s="18" t="str">
        <f aca="false">IF(OR(A26="",C26=""),"",IF(N26="Met","",IF(F26&lt;Requirements!B5,Requirements!A5&amp;" "&amp;TEXT(Requirements!B5-F26,"0.##")&amp;"; ","")&amp;IF(G26&lt;Requirements!B6,Requirements!A6&amp;" "&amp;TEXT(Requirements!B6-G26,"0.##")&amp;"; ","")&amp;IF(H26&lt;Requirements!B7,Requirements!A7&amp;" "&amp;TEXT(Requirements!B7-H26,"0.##")&amp;"; ","")&amp;IF(I26&lt;Requirements!B8,Requirements!A8&amp;" "&amp;TEXT(Requirements!B8-I26,"0.##")&amp;"; ","")&amp;IF(J26&lt;Requirements!B9,Requirements!A9&amp;" "&amp;TEXT(Requirements!B9-J26,"0.##")&amp;"; ","")&amp;IF(K26&lt;Requirements!B10,Requirements!A10&amp;" "&amp;TEXT(Requirements!B10-K26,"0.##")&amp;"; ","")&amp;IF(L26&lt;Requirements!B11,Requirements!A11&amp;" "&amp;TEXT(Requirements!B11-L26,"0.##")&amp;"; ","")&amp;IF(M26&lt;Requirements!B12,Requirements!A12&amp;" "&amp;TEXT(Requirements!B12-M26,"0.##")&amp;"; ","")))</f>
        <v>Airway 2; Cardiovascular 3; Medical 1; Operations 2; PAHT 1; SVAT 1; CPR/AED 1; </v>
      </c>
    </row>
    <row r="27" customFormat="false" ht="15" hidden="false" customHeight="true" outlineLevel="0" collapsed="false">
      <c r="A27" s="19" t="s">
        <v>47</v>
      </c>
      <c r="B27" s="20" t="s">
        <v>48</v>
      </c>
      <c r="C27" s="13" t="n">
        <v>46752</v>
      </c>
      <c r="D27" s="21" t="n">
        <f aca="false">IF(C27="","",DATE(YEAR(C27)-1,1,1))</f>
        <v>46023</v>
      </c>
      <c r="E27" s="21" t="n">
        <f aca="false">IF(C27="","",DATE(YEAR(C27),12,31))</f>
        <v>46752</v>
      </c>
      <c r="F27" s="15" t="n">
        <f aca="false">IF(OR(A27="",C27=""),"",SUMPRODUCT(('Training Detail'!$A$5:$A$5000=A27)*('Training Detail'!$M$5:$M$5000=Standards!A2)*('Training Detail'!$G$5:$G$5000&gt;=D27)*('Training Detail'!$G$5:$G$5000&lt;=E27)*('Training Detail'!$P$5:$P$5000)))</f>
        <v>0</v>
      </c>
      <c r="G27" s="15" t="n">
        <f aca="false">IF(OR(A27="",C27=""),"",SUMPRODUCT(('Training Detail'!$A$5:$A$5000=A27)*('Training Detail'!$M$5:$M$5000=Standards!A3)*('Training Detail'!$G$5:$G$5000&gt;=D27)*('Training Detail'!$G$5:$G$5000&lt;=E27)*('Training Detail'!$P$5:$P$5000)))</f>
        <v>0.5</v>
      </c>
      <c r="H27" s="15" t="n">
        <f aca="false">IF(OR(A27="",C27=""),"",SUMPRODUCT(('Training Detail'!$A$5:$A$5000=A27)*('Training Detail'!$M$5:$M$5000=Standards!A4)*('Training Detail'!$G$5:$G$5000&gt;=D27)*('Training Detail'!$G$5:$G$5000&lt;=E27)*('Training Detail'!$P$5:$P$5000)))</f>
        <v>6</v>
      </c>
      <c r="I27" s="15" t="n">
        <f aca="false">IF(OR(A27="",C27=""),"",SUMPRODUCT(('Training Detail'!$A$5:$A$5000=A27)*('Training Detail'!$M$5:$M$5000=Standards!A5)*('Training Detail'!$G$5:$G$5000&gt;=D27)*('Training Detail'!$G$5:$G$5000&lt;=E27)*('Training Detail'!$P$5:$P$5000)))</f>
        <v>1</v>
      </c>
      <c r="J27" s="15" t="n">
        <f aca="false">IF(OR(A27="",C27=""),"",SUMPRODUCT(('Training Detail'!$A$5:$A$5000=A27)*('Training Detail'!$M$5:$M$5000=Standards!A6)*('Training Detail'!$G$5:$G$5000&gt;=D27)*('Training Detail'!$G$5:$G$5000&lt;=E27)*('Training Detail'!$P$5:$P$5000)))</f>
        <v>5.5</v>
      </c>
      <c r="K27" s="15" t="n">
        <f aca="false">IF(OR(A27="",C27=""),"",SUMPRODUCT(('Training Detail'!$A$5:$A$5000=A27)*('Training Detail'!$M$5:$M$5000=Standards!A7)*('Training Detail'!$G$5:$G$5000&gt;=D27)*('Training Detail'!$G$5:$G$5000&lt;=E27)*('Training Detail'!$P$5:$P$5000)))</f>
        <v>0</v>
      </c>
      <c r="L27" s="15" t="n">
        <f aca="false">IF(OR(A27="",C27=""),"",SUMPRODUCT(('Training Detail'!$A$5:$A$5000=A27)*('Training Detail'!$M$5:$M$5000=Standards!A8)*('Training Detail'!$G$5:$G$5000&gt;=D27)*('Training Detail'!$G$5:$G$5000&lt;=E27)*('Training Detail'!$P$5:$P$5000)))</f>
        <v>0</v>
      </c>
      <c r="M27" s="16" t="n">
        <f aca="false">IF(OR(A27="",C27=""),"",SUMPRODUCT(('Training Detail'!$A$5:$A$5000=A27)*('Training Detail'!$M$5:$M$5000=Standards!A9)*('Training Detail'!$G$5:$G$5000&gt;=D27)*('Training Detail'!$G$5:$G$5000&lt;=E27)*('Training Detail'!$P$5:$P$5000)))</f>
        <v>0</v>
      </c>
      <c r="N27" s="17" t="str">
        <f aca="false">IF(A27="","",IF(C27="","Set exp date",IF(AND(F27&gt;=Requirements!B5,G27&gt;=Requirements!B6,H27&gt;=Requirements!B7,I27&gt;=Requirements!B8,J27&gt;=Requirements!B9,K27&gt;=Requirements!B10,L27&gt;=Requirements!B11,M27&gt;=Requirements!B12),"Met","Short")))</f>
        <v>Short</v>
      </c>
      <c r="O27" s="18" t="str">
        <f aca="false">IF(OR(A27="",C27=""),"",IF(N27="Met","",IF(F27&lt;Requirements!B5,Requirements!A5&amp;" "&amp;TEXT(Requirements!B5-F27,"0.##")&amp;"; ","")&amp;IF(G27&lt;Requirements!B6,Requirements!A6&amp;" "&amp;TEXT(Requirements!B6-G27,"0.##")&amp;"; ","")&amp;IF(H27&lt;Requirements!B7,Requirements!A7&amp;" "&amp;TEXT(Requirements!B7-H27,"0.##")&amp;"; ","")&amp;IF(I27&lt;Requirements!B8,Requirements!A8&amp;" "&amp;TEXT(Requirements!B8-I27,"0.##")&amp;"; ","")&amp;IF(J27&lt;Requirements!B9,Requirements!A9&amp;" "&amp;TEXT(Requirements!B9-J27,"0.##")&amp;"; ","")&amp;IF(K27&lt;Requirements!B10,Requirements!A10&amp;" "&amp;TEXT(Requirements!B10-K27,"0.##")&amp;"; ","")&amp;IF(L27&lt;Requirements!B11,Requirements!A11&amp;" "&amp;TEXT(Requirements!B11-L27,"0.##")&amp;"; ","")&amp;IF(M27&lt;Requirements!B12,Requirements!A12&amp;" "&amp;TEXT(Requirements!B12-M27,"0.##")&amp;"; ","")))</f>
        <v>Airway 4; Cardiovascular 4.5; Medical 5; PAHT 1; SVAT 1; CPR/AED 1; </v>
      </c>
    </row>
    <row r="28" customFormat="false" ht="15" hidden="false" customHeight="true" outlineLevel="0" collapsed="false">
      <c r="A28" s="11" t="s">
        <v>49</v>
      </c>
      <c r="B28" s="12" t="s">
        <v>50</v>
      </c>
      <c r="C28" s="13" t="n">
        <v>46387</v>
      </c>
      <c r="D28" s="14" t="n">
        <f aca="false">IF(C28="","",DATE(YEAR(C28)-1,1,1))</f>
        <v>45658</v>
      </c>
      <c r="E28" s="14" t="n">
        <f aca="false">IF(C28="","",DATE(YEAR(C28),12,31))</f>
        <v>46387</v>
      </c>
      <c r="F28" s="15" t="n">
        <f aca="false">IF(OR(A28="",C28=""),"",SUMPRODUCT(('Training Detail'!$A$5:$A$5000=A28)*('Training Detail'!$M$5:$M$5000=Standards!A2)*('Training Detail'!$G$5:$G$5000&gt;=D28)*('Training Detail'!$G$5:$G$5000&lt;=E28)*('Training Detail'!$P$5:$P$5000)))</f>
        <v>4</v>
      </c>
      <c r="G28" s="15" t="n">
        <f aca="false">IF(OR(A28="",C28=""),"",SUMPRODUCT(('Training Detail'!$A$5:$A$5000=A28)*('Training Detail'!$M$5:$M$5000=Standards!A3)*('Training Detail'!$G$5:$G$5000&gt;=D28)*('Training Detail'!$G$5:$G$5000&lt;=E28)*('Training Detail'!$P$5:$P$5000)))</f>
        <v>2.5</v>
      </c>
      <c r="H28" s="15" t="n">
        <f aca="false">IF(OR(A28="",C28=""),"",SUMPRODUCT(('Training Detail'!$A$5:$A$5000=A28)*('Training Detail'!$M$5:$M$5000=Standards!A4)*('Training Detail'!$G$5:$G$5000&gt;=D28)*('Training Detail'!$G$5:$G$5000&lt;=E28)*('Training Detail'!$P$5:$P$5000)))</f>
        <v>11</v>
      </c>
      <c r="I28" s="15" t="n">
        <f aca="false">IF(OR(A28="",C28=""),"",SUMPRODUCT(('Training Detail'!$A$5:$A$5000=A28)*('Training Detail'!$M$5:$M$5000=Standards!A5)*('Training Detail'!$G$5:$G$5000&gt;=D28)*('Training Detail'!$G$5:$G$5000&lt;=E28)*('Training Detail'!$P$5:$P$5000)))</f>
        <v>4.5</v>
      </c>
      <c r="J28" s="15" t="n">
        <f aca="false">IF(OR(A28="",C28=""),"",SUMPRODUCT(('Training Detail'!$A$5:$A$5000=A28)*('Training Detail'!$M$5:$M$5000=Standards!A6)*('Training Detail'!$G$5:$G$5000&gt;=D28)*('Training Detail'!$G$5:$G$5000&lt;=E28)*('Training Detail'!$P$5:$P$5000)))</f>
        <v>4.5</v>
      </c>
      <c r="K28" s="15" t="n">
        <f aca="false">IF(OR(A28="",C28=""),"",SUMPRODUCT(('Training Detail'!$A$5:$A$5000=A28)*('Training Detail'!$M$5:$M$5000=Standards!A7)*('Training Detail'!$G$5:$G$5000&gt;=D28)*('Training Detail'!$G$5:$G$5000&lt;=E28)*('Training Detail'!$P$5:$P$5000)))</f>
        <v>1</v>
      </c>
      <c r="L28" s="15" t="n">
        <f aca="false">IF(OR(A28="",C28=""),"",SUMPRODUCT(('Training Detail'!$A$5:$A$5000=A28)*('Training Detail'!$M$5:$M$5000=Standards!A8)*('Training Detail'!$G$5:$G$5000&gt;=D28)*('Training Detail'!$G$5:$G$5000&lt;=E28)*('Training Detail'!$P$5:$P$5000)))</f>
        <v>1</v>
      </c>
      <c r="M28" s="16" t="n">
        <f aca="false">IF(OR(A28="",C28=""),"",SUMPRODUCT(('Training Detail'!$A$5:$A$5000=A28)*('Training Detail'!$M$5:$M$5000=Standards!A9)*('Training Detail'!$G$5:$G$5000&gt;=D28)*('Training Detail'!$G$5:$G$5000&lt;=E28)*('Training Detail'!$P$5:$P$5000)))</f>
        <v>1.5</v>
      </c>
      <c r="N28" s="17" t="str">
        <f aca="false">IF(A28="","",IF(C28="","Set exp date",IF(AND(F28&gt;=Requirements!B5,G28&gt;=Requirements!B6,H28&gt;=Requirements!B7,I28&gt;=Requirements!B8,J28&gt;=Requirements!B9,K28&gt;=Requirements!B10,L28&gt;=Requirements!B11,M28&gt;=Requirements!B12),"Met","Short")))</f>
        <v>Short</v>
      </c>
      <c r="O28" s="18" t="str">
        <f aca="false">IF(OR(A28="",C28=""),"",IF(N28="Met","",IF(F28&lt;Requirements!B5,Requirements!A5&amp;" "&amp;TEXT(Requirements!B5-F28,"0.##")&amp;"; ","")&amp;IF(G28&lt;Requirements!B6,Requirements!A6&amp;" "&amp;TEXT(Requirements!B6-G28,"0.##")&amp;"; ","")&amp;IF(H28&lt;Requirements!B7,Requirements!A7&amp;" "&amp;TEXT(Requirements!B7-H28,"0.##")&amp;"; ","")&amp;IF(I28&lt;Requirements!B8,Requirements!A8&amp;" "&amp;TEXT(Requirements!B8-I28,"0.##")&amp;"; ","")&amp;IF(J28&lt;Requirements!B9,Requirements!A9&amp;" "&amp;TEXT(Requirements!B9-J28,"0.##")&amp;"; ","")&amp;IF(K28&lt;Requirements!B10,Requirements!A10&amp;" "&amp;TEXT(Requirements!B10-K28,"0.##")&amp;"; ","")&amp;IF(L28&lt;Requirements!B11,Requirements!A11&amp;" "&amp;TEXT(Requirements!B11-L28,"0.##")&amp;"; ","")&amp;IF(M28&lt;Requirements!B12,Requirements!A12&amp;" "&amp;TEXT(Requirements!B12-M28,"0.##")&amp;"; ","")))</f>
        <v>Cardiovascular 2.5; Medical 1.5; </v>
      </c>
    </row>
    <row r="29" customFormat="false" ht="15" hidden="false" customHeight="true" outlineLevel="0" collapsed="false">
      <c r="A29" s="19" t="s">
        <v>51</v>
      </c>
      <c r="B29" s="20" t="s">
        <v>52</v>
      </c>
      <c r="C29" s="13" t="n">
        <v>46387</v>
      </c>
      <c r="D29" s="21" t="n">
        <f aca="false">IF(C29="","",DATE(YEAR(C29)-1,1,1))</f>
        <v>45658</v>
      </c>
      <c r="E29" s="21" t="n">
        <f aca="false">IF(C29="","",DATE(YEAR(C29),12,31))</f>
        <v>46387</v>
      </c>
      <c r="F29" s="15" t="n">
        <f aca="false">IF(OR(A29="",C29=""),"",SUMPRODUCT(('Training Detail'!$A$5:$A$5000=A29)*('Training Detail'!$M$5:$M$5000=Standards!A2)*('Training Detail'!$G$5:$G$5000&gt;=D29)*('Training Detail'!$G$5:$G$5000&lt;=E29)*('Training Detail'!$P$5:$P$5000)))</f>
        <v>2</v>
      </c>
      <c r="G29" s="15" t="n">
        <f aca="false">IF(OR(A29="",C29=""),"",SUMPRODUCT(('Training Detail'!$A$5:$A$5000=A29)*('Training Detail'!$M$5:$M$5000=Standards!A3)*('Training Detail'!$G$5:$G$5000&gt;=D29)*('Training Detail'!$G$5:$G$5000&lt;=E29)*('Training Detail'!$P$5:$P$5000)))</f>
        <v>6</v>
      </c>
      <c r="H29" s="15" t="n">
        <f aca="false">IF(OR(A29="",C29=""),"",SUMPRODUCT(('Training Detail'!$A$5:$A$5000=A29)*('Training Detail'!$M$5:$M$5000=Standards!A4)*('Training Detail'!$G$5:$G$5000&gt;=D29)*('Training Detail'!$G$5:$G$5000&lt;=E29)*('Training Detail'!$P$5:$P$5000)))</f>
        <v>13</v>
      </c>
      <c r="I29" s="15" t="n">
        <f aca="false">IF(OR(A29="",C29=""),"",SUMPRODUCT(('Training Detail'!$A$5:$A$5000=A29)*('Training Detail'!$M$5:$M$5000=Standards!A5)*('Training Detail'!$G$5:$G$5000&gt;=D29)*('Training Detail'!$G$5:$G$5000&lt;=E29)*('Training Detail'!$P$5:$P$5000)))</f>
        <v>14.5</v>
      </c>
      <c r="J29" s="15" t="n">
        <f aca="false">IF(OR(A29="",C29=""),"",SUMPRODUCT(('Training Detail'!$A$5:$A$5000=A29)*('Training Detail'!$M$5:$M$5000=Standards!A6)*('Training Detail'!$G$5:$G$5000&gt;=D29)*('Training Detail'!$G$5:$G$5000&lt;=E29)*('Training Detail'!$P$5:$P$5000)))</f>
        <v>2</v>
      </c>
      <c r="K29" s="15" t="n">
        <f aca="false">IF(OR(A29="",C29=""),"",SUMPRODUCT(('Training Detail'!$A$5:$A$5000=A29)*('Training Detail'!$M$5:$M$5000=Standards!A7)*('Training Detail'!$G$5:$G$5000&gt;=D29)*('Training Detail'!$G$5:$G$5000&lt;=E29)*('Training Detail'!$P$5:$P$5000)))</f>
        <v>0</v>
      </c>
      <c r="L29" s="15" t="n">
        <f aca="false">IF(OR(A29="",C29=""),"",SUMPRODUCT(('Training Detail'!$A$5:$A$5000=A29)*('Training Detail'!$M$5:$M$5000=Standards!A8)*('Training Detail'!$G$5:$G$5000&gt;=D29)*('Training Detail'!$G$5:$G$5000&lt;=E29)*('Training Detail'!$P$5:$P$5000)))</f>
        <v>0</v>
      </c>
      <c r="M29" s="16" t="n">
        <f aca="false">IF(OR(A29="",C29=""),"",SUMPRODUCT(('Training Detail'!$A$5:$A$5000=A29)*('Training Detail'!$M$5:$M$5000=Standards!A9)*('Training Detail'!$G$5:$G$5000&gt;=D29)*('Training Detail'!$G$5:$G$5000&lt;=E29)*('Training Detail'!$P$5:$P$5000)))</f>
        <v>0</v>
      </c>
      <c r="N29" s="17" t="str">
        <f aca="false">IF(A29="","",IF(C29="","Set exp date",IF(AND(F29&gt;=Requirements!B5,G29&gt;=Requirements!B6,H29&gt;=Requirements!B7,I29&gt;=Requirements!B8,J29&gt;=Requirements!B9,K29&gt;=Requirements!B10,L29&gt;=Requirements!B11,M29&gt;=Requirements!B12),"Met","Short")))</f>
        <v>Short</v>
      </c>
      <c r="O29" s="18" t="str">
        <f aca="false">IF(OR(A29="",C29=""),"",IF(N29="Met","",IF(F29&lt;Requirements!B5,Requirements!A5&amp;" "&amp;TEXT(Requirements!B5-F29,"0.##")&amp;"; ","")&amp;IF(G29&lt;Requirements!B6,Requirements!A6&amp;" "&amp;TEXT(Requirements!B6-G29,"0.##")&amp;"; ","")&amp;IF(H29&lt;Requirements!B7,Requirements!A7&amp;" "&amp;TEXT(Requirements!B7-H29,"0.##")&amp;"; ","")&amp;IF(I29&lt;Requirements!B8,Requirements!A8&amp;" "&amp;TEXT(Requirements!B8-I29,"0.##")&amp;"; ","")&amp;IF(J29&lt;Requirements!B9,Requirements!A9&amp;" "&amp;TEXT(Requirements!B9-J29,"0.##")&amp;"; ","")&amp;IF(K29&lt;Requirements!B10,Requirements!A10&amp;" "&amp;TEXT(Requirements!B10-K29,"0.##")&amp;"; ","")&amp;IF(L29&lt;Requirements!B11,Requirements!A11&amp;" "&amp;TEXT(Requirements!B11-L29,"0.##")&amp;"; ","")&amp;IF(M29&lt;Requirements!B12,Requirements!A12&amp;" "&amp;TEXT(Requirements!B12-M29,"0.##")&amp;"; ","")))</f>
        <v>Airway 2; PAHT 1; SVAT 1; CPR/AED 1; </v>
      </c>
    </row>
    <row r="30" customFormat="false" ht="15" hidden="false" customHeight="true" outlineLevel="0" collapsed="false">
      <c r="A30" s="11" t="s">
        <v>53</v>
      </c>
      <c r="B30" s="12" t="s">
        <v>54</v>
      </c>
      <c r="C30" s="13" t="n">
        <v>46387</v>
      </c>
      <c r="D30" s="14" t="n">
        <f aca="false">IF(C30="","",DATE(YEAR(C30)-1,1,1))</f>
        <v>45658</v>
      </c>
      <c r="E30" s="14" t="n">
        <f aca="false">IF(C30="","",DATE(YEAR(C30),12,31))</f>
        <v>46387</v>
      </c>
      <c r="F30" s="15" t="n">
        <f aca="false">IF(OR(A30="",C30=""),"",SUMPRODUCT(('Training Detail'!$A$5:$A$5000=A30)*('Training Detail'!$M$5:$M$5000=Standards!A2)*('Training Detail'!$G$5:$G$5000&gt;=D30)*('Training Detail'!$G$5:$G$5000&lt;=E30)*('Training Detail'!$P$5:$P$5000)))</f>
        <v>2</v>
      </c>
      <c r="G30" s="15" t="n">
        <f aca="false">IF(OR(A30="",C30=""),"",SUMPRODUCT(('Training Detail'!$A$5:$A$5000=A30)*('Training Detail'!$M$5:$M$5000=Standards!A3)*('Training Detail'!$G$5:$G$5000&gt;=D30)*('Training Detail'!$G$5:$G$5000&lt;=E30)*('Training Detail'!$P$5:$P$5000)))</f>
        <v>2</v>
      </c>
      <c r="H30" s="15" t="n">
        <f aca="false">IF(OR(A30="",C30=""),"",SUMPRODUCT(('Training Detail'!$A$5:$A$5000=A30)*('Training Detail'!$M$5:$M$5000=Standards!A4)*('Training Detail'!$G$5:$G$5000&gt;=D30)*('Training Detail'!$G$5:$G$5000&lt;=E30)*('Training Detail'!$P$5:$P$5000)))</f>
        <v>4</v>
      </c>
      <c r="I30" s="15" t="n">
        <f aca="false">IF(OR(A30="",C30=""),"",SUMPRODUCT(('Training Detail'!$A$5:$A$5000=A30)*('Training Detail'!$M$5:$M$5000=Standards!A5)*('Training Detail'!$G$5:$G$5000&gt;=D30)*('Training Detail'!$G$5:$G$5000&lt;=E30)*('Training Detail'!$P$5:$P$5000)))</f>
        <v>8</v>
      </c>
      <c r="J30" s="15" t="n">
        <f aca="false">IF(OR(A30="",C30=""),"",SUMPRODUCT(('Training Detail'!$A$5:$A$5000=A30)*('Training Detail'!$M$5:$M$5000=Standards!A6)*('Training Detail'!$G$5:$G$5000&gt;=D30)*('Training Detail'!$G$5:$G$5000&lt;=E30)*('Training Detail'!$P$5:$P$5000)))</f>
        <v>0</v>
      </c>
      <c r="K30" s="15" t="n">
        <f aca="false">IF(OR(A30="",C30=""),"",SUMPRODUCT(('Training Detail'!$A$5:$A$5000=A30)*('Training Detail'!$M$5:$M$5000=Standards!A7)*('Training Detail'!$G$5:$G$5000&gt;=D30)*('Training Detail'!$G$5:$G$5000&lt;=E30)*('Training Detail'!$P$5:$P$5000)))</f>
        <v>0</v>
      </c>
      <c r="L30" s="15" t="n">
        <f aca="false">IF(OR(A30="",C30=""),"",SUMPRODUCT(('Training Detail'!$A$5:$A$5000=A30)*('Training Detail'!$M$5:$M$5000=Standards!A8)*('Training Detail'!$G$5:$G$5000&gt;=D30)*('Training Detail'!$G$5:$G$5000&lt;=E30)*('Training Detail'!$P$5:$P$5000)))</f>
        <v>0</v>
      </c>
      <c r="M30" s="16" t="n">
        <f aca="false">IF(OR(A30="",C30=""),"",SUMPRODUCT(('Training Detail'!$A$5:$A$5000=A30)*('Training Detail'!$M$5:$M$5000=Standards!A9)*('Training Detail'!$G$5:$G$5000&gt;=D30)*('Training Detail'!$G$5:$G$5000&lt;=E30)*('Training Detail'!$P$5:$P$5000)))</f>
        <v>0</v>
      </c>
      <c r="N30" s="17" t="str">
        <f aca="false">IF(A30="","",IF(C30="","Set exp date",IF(AND(F30&gt;=Requirements!B5,G30&gt;=Requirements!B6,H30&gt;=Requirements!B7,I30&gt;=Requirements!B8,J30&gt;=Requirements!B9,K30&gt;=Requirements!B10,L30&gt;=Requirements!B11,M30&gt;=Requirements!B12),"Met","Short")))</f>
        <v>Short</v>
      </c>
      <c r="O30" s="18" t="str">
        <f aca="false">IF(OR(A30="",C30=""),"",IF(N30="Met","",IF(F30&lt;Requirements!B5,Requirements!A5&amp;" "&amp;TEXT(Requirements!B5-F30,"0.##")&amp;"; ","")&amp;IF(G30&lt;Requirements!B6,Requirements!A6&amp;" "&amp;TEXT(Requirements!B6-G30,"0.##")&amp;"; ","")&amp;IF(H30&lt;Requirements!B7,Requirements!A7&amp;" "&amp;TEXT(Requirements!B7-H30,"0.##")&amp;"; ","")&amp;IF(I30&lt;Requirements!B8,Requirements!A8&amp;" "&amp;TEXT(Requirements!B8-I30,"0.##")&amp;"; ","")&amp;IF(J30&lt;Requirements!B9,Requirements!A9&amp;" "&amp;TEXT(Requirements!B9-J30,"0.##")&amp;"; ","")&amp;IF(K30&lt;Requirements!B10,Requirements!A10&amp;" "&amp;TEXT(Requirements!B10-K30,"0.##")&amp;"; ","")&amp;IF(L30&lt;Requirements!B11,Requirements!A11&amp;" "&amp;TEXT(Requirements!B11-L30,"0.##")&amp;"; ","")&amp;IF(M30&lt;Requirements!B12,Requirements!A12&amp;" "&amp;TEXT(Requirements!B12-M30,"0.##")&amp;"; ","")))</f>
        <v>Airway 2; Cardiovascular 3; Operations 2; PAHT 1; SVAT 1; CPR/AED 1; </v>
      </c>
    </row>
    <row r="31" customFormat="false" ht="15" hidden="false" customHeight="true" outlineLevel="0" collapsed="false">
      <c r="A31" s="19" t="s">
        <v>55</v>
      </c>
      <c r="B31" s="20" t="s">
        <v>56</v>
      </c>
      <c r="C31" s="13" t="n">
        <v>46387</v>
      </c>
      <c r="D31" s="21" t="n">
        <f aca="false">IF(C31="","",DATE(YEAR(C31)-1,1,1))</f>
        <v>45658</v>
      </c>
      <c r="E31" s="21" t="n">
        <f aca="false">IF(C31="","",DATE(YEAR(C31),12,31))</f>
        <v>46387</v>
      </c>
      <c r="F31" s="15" t="n">
        <f aca="false">IF(OR(A31="",C31=""),"",SUMPRODUCT(('Training Detail'!$A$5:$A$5000=A31)*('Training Detail'!$M$5:$M$5000=Standards!A2)*('Training Detail'!$G$5:$G$5000&gt;=D31)*('Training Detail'!$G$5:$G$5000&lt;=E31)*('Training Detail'!$P$5:$P$5000)))</f>
        <v>3</v>
      </c>
      <c r="G31" s="15" t="n">
        <f aca="false">IF(OR(A31="",C31=""),"",SUMPRODUCT(('Training Detail'!$A$5:$A$5000=A31)*('Training Detail'!$M$5:$M$5000=Standards!A3)*('Training Detail'!$G$5:$G$5000&gt;=D31)*('Training Detail'!$G$5:$G$5000&lt;=E31)*('Training Detail'!$P$5:$P$5000)))</f>
        <v>3</v>
      </c>
      <c r="H31" s="15" t="n">
        <f aca="false">IF(OR(A31="",C31=""),"",SUMPRODUCT(('Training Detail'!$A$5:$A$5000=A31)*('Training Detail'!$M$5:$M$5000=Standards!A4)*('Training Detail'!$G$5:$G$5000&gt;=D31)*('Training Detail'!$G$5:$G$5000&lt;=E31)*('Training Detail'!$P$5:$P$5000)))</f>
        <v>8</v>
      </c>
      <c r="I31" s="15" t="n">
        <f aca="false">IF(OR(A31="",C31=""),"",SUMPRODUCT(('Training Detail'!$A$5:$A$5000=A31)*('Training Detail'!$M$5:$M$5000=Standards!A5)*('Training Detail'!$G$5:$G$5000&gt;=D31)*('Training Detail'!$G$5:$G$5000&lt;=E31)*('Training Detail'!$P$5:$P$5000)))</f>
        <v>6</v>
      </c>
      <c r="J31" s="15" t="n">
        <f aca="false">IF(OR(A31="",C31=""),"",SUMPRODUCT(('Training Detail'!$A$5:$A$5000=A31)*('Training Detail'!$M$5:$M$5000=Standards!A6)*('Training Detail'!$G$5:$G$5000&gt;=D31)*('Training Detail'!$G$5:$G$5000&lt;=E31)*('Training Detail'!$P$5:$P$5000)))</f>
        <v>1</v>
      </c>
      <c r="K31" s="15" t="n">
        <f aca="false">IF(OR(A31="",C31=""),"",SUMPRODUCT(('Training Detail'!$A$5:$A$5000=A31)*('Training Detail'!$M$5:$M$5000=Standards!A7)*('Training Detail'!$G$5:$G$5000&gt;=D31)*('Training Detail'!$G$5:$G$5000&lt;=E31)*('Training Detail'!$P$5:$P$5000)))</f>
        <v>0</v>
      </c>
      <c r="L31" s="15" t="n">
        <f aca="false">IF(OR(A31="",C31=""),"",SUMPRODUCT(('Training Detail'!$A$5:$A$5000=A31)*('Training Detail'!$M$5:$M$5000=Standards!A8)*('Training Detail'!$G$5:$G$5000&gt;=D31)*('Training Detail'!$G$5:$G$5000&lt;=E31)*('Training Detail'!$P$5:$P$5000)))</f>
        <v>0</v>
      </c>
      <c r="M31" s="16" t="n">
        <f aca="false">IF(OR(A31="",C31=""),"",SUMPRODUCT(('Training Detail'!$A$5:$A$5000=A31)*('Training Detail'!$M$5:$M$5000=Standards!A9)*('Training Detail'!$G$5:$G$5000&gt;=D31)*('Training Detail'!$G$5:$G$5000&lt;=E31)*('Training Detail'!$P$5:$P$5000)))</f>
        <v>1</v>
      </c>
      <c r="N31" s="17" t="str">
        <f aca="false">IF(A31="","",IF(C31="","Set exp date",IF(AND(F31&gt;=Requirements!B5,G31&gt;=Requirements!B6,H31&gt;=Requirements!B7,I31&gt;=Requirements!B8,J31&gt;=Requirements!B9,K31&gt;=Requirements!B10,L31&gt;=Requirements!B11,M31&gt;=Requirements!B12),"Met","Short")))</f>
        <v>Short</v>
      </c>
      <c r="O31" s="18" t="str">
        <f aca="false">IF(OR(A31="",C31=""),"",IF(N31="Met","",IF(F31&lt;Requirements!B5,Requirements!A5&amp;" "&amp;TEXT(Requirements!B5-F31,"0.##")&amp;"; ","")&amp;IF(G31&lt;Requirements!B6,Requirements!A6&amp;" "&amp;TEXT(Requirements!B6-G31,"0.##")&amp;"; ","")&amp;IF(H31&lt;Requirements!B7,Requirements!A7&amp;" "&amp;TEXT(Requirements!B7-H31,"0.##")&amp;"; ","")&amp;IF(I31&lt;Requirements!B8,Requirements!A8&amp;" "&amp;TEXT(Requirements!B8-I31,"0.##")&amp;"; ","")&amp;IF(J31&lt;Requirements!B9,Requirements!A9&amp;" "&amp;TEXT(Requirements!B9-J31,"0.##")&amp;"; ","")&amp;IF(K31&lt;Requirements!B10,Requirements!A10&amp;" "&amp;TEXT(Requirements!B10-K31,"0.##")&amp;"; ","")&amp;IF(L31&lt;Requirements!B11,Requirements!A11&amp;" "&amp;TEXT(Requirements!B11-L31,"0.##")&amp;"; ","")&amp;IF(M31&lt;Requirements!B12,Requirements!A12&amp;" "&amp;TEXT(Requirements!B12-M31,"0.##")&amp;"; ","")))</f>
        <v>Airway 1; Cardiovascular 2; Operations 1; PAHT 1; SVAT 1; </v>
      </c>
    </row>
    <row r="32" customFormat="false" ht="15" hidden="false" customHeight="true" outlineLevel="0" collapsed="false">
      <c r="A32" s="11" t="s">
        <v>57</v>
      </c>
      <c r="B32" s="12" t="s">
        <v>58</v>
      </c>
      <c r="C32" s="13" t="n">
        <v>46752</v>
      </c>
      <c r="D32" s="14" t="n">
        <f aca="false">IF(C32="","",DATE(YEAR(C32)-1,1,1))</f>
        <v>46023</v>
      </c>
      <c r="E32" s="14" t="n">
        <f aca="false">IF(C32="","",DATE(YEAR(C32),12,31))</f>
        <v>46752</v>
      </c>
      <c r="F32" s="15" t="n">
        <f aca="false">IF(OR(A32="",C32=""),"",SUMPRODUCT(('Training Detail'!$A$5:$A$5000=A32)*('Training Detail'!$M$5:$M$5000=Standards!A2)*('Training Detail'!$G$5:$G$5000&gt;=D32)*('Training Detail'!$G$5:$G$5000&lt;=E32)*('Training Detail'!$P$5:$P$5000)))</f>
        <v>0</v>
      </c>
      <c r="G32" s="15" t="n">
        <f aca="false">IF(OR(A32="",C32=""),"",SUMPRODUCT(('Training Detail'!$A$5:$A$5000=A32)*('Training Detail'!$M$5:$M$5000=Standards!A3)*('Training Detail'!$G$5:$G$5000&gt;=D32)*('Training Detail'!$G$5:$G$5000&lt;=E32)*('Training Detail'!$P$5:$P$5000)))</f>
        <v>3</v>
      </c>
      <c r="H32" s="15" t="n">
        <f aca="false">IF(OR(A32="",C32=""),"",SUMPRODUCT(('Training Detail'!$A$5:$A$5000=A32)*('Training Detail'!$M$5:$M$5000=Standards!A4)*('Training Detail'!$G$5:$G$5000&gt;=D32)*('Training Detail'!$G$5:$G$5000&lt;=E32)*('Training Detail'!$P$5:$P$5000)))</f>
        <v>2</v>
      </c>
      <c r="I32" s="15" t="n">
        <f aca="false">IF(OR(A32="",C32=""),"",SUMPRODUCT(('Training Detail'!$A$5:$A$5000=A32)*('Training Detail'!$M$5:$M$5000=Standards!A5)*('Training Detail'!$G$5:$G$5000&gt;=D32)*('Training Detail'!$G$5:$G$5000&lt;=E32)*('Training Detail'!$P$5:$P$5000)))</f>
        <v>2</v>
      </c>
      <c r="J32" s="15" t="n">
        <f aca="false">IF(OR(A32="",C32=""),"",SUMPRODUCT(('Training Detail'!$A$5:$A$5000=A32)*('Training Detail'!$M$5:$M$5000=Standards!A6)*('Training Detail'!$G$5:$G$5000&gt;=D32)*('Training Detail'!$G$5:$G$5000&lt;=E32)*('Training Detail'!$P$5:$P$5000)))</f>
        <v>2</v>
      </c>
      <c r="K32" s="15" t="n">
        <f aca="false">IF(OR(A32="",C32=""),"",SUMPRODUCT(('Training Detail'!$A$5:$A$5000=A32)*('Training Detail'!$M$5:$M$5000=Standards!A7)*('Training Detail'!$G$5:$G$5000&gt;=D32)*('Training Detail'!$G$5:$G$5000&lt;=E32)*('Training Detail'!$P$5:$P$5000)))</f>
        <v>0</v>
      </c>
      <c r="L32" s="15" t="n">
        <f aca="false">IF(OR(A32="",C32=""),"",SUMPRODUCT(('Training Detail'!$A$5:$A$5000=A32)*('Training Detail'!$M$5:$M$5000=Standards!A8)*('Training Detail'!$G$5:$G$5000&gt;=D32)*('Training Detail'!$G$5:$G$5000&lt;=E32)*('Training Detail'!$P$5:$P$5000)))</f>
        <v>0</v>
      </c>
      <c r="M32" s="16" t="n">
        <f aca="false">IF(OR(A32="",C32=""),"",SUMPRODUCT(('Training Detail'!$A$5:$A$5000=A32)*('Training Detail'!$M$5:$M$5000=Standards!A9)*('Training Detail'!$G$5:$G$5000&gt;=D32)*('Training Detail'!$G$5:$G$5000&lt;=E32)*('Training Detail'!$P$5:$P$5000)))</f>
        <v>0</v>
      </c>
      <c r="N32" s="17" t="str">
        <f aca="false">IF(A32="","",IF(C32="","Set exp date",IF(AND(F32&gt;=Requirements!B5,G32&gt;=Requirements!B6,H32&gt;=Requirements!B7,I32&gt;=Requirements!B8,J32&gt;=Requirements!B9,K32&gt;=Requirements!B10,L32&gt;=Requirements!B11,M32&gt;=Requirements!B12),"Met","Short")))</f>
        <v>Short</v>
      </c>
      <c r="O32" s="18" t="str">
        <f aca="false">IF(OR(A32="",C32=""),"",IF(N32="Met","",IF(F32&lt;Requirements!B5,Requirements!A5&amp;" "&amp;TEXT(Requirements!B5-F32,"0.##")&amp;"; ","")&amp;IF(G32&lt;Requirements!B6,Requirements!A6&amp;" "&amp;TEXT(Requirements!B6-G32,"0.##")&amp;"; ","")&amp;IF(H32&lt;Requirements!B7,Requirements!A7&amp;" "&amp;TEXT(Requirements!B7-H32,"0.##")&amp;"; ","")&amp;IF(I32&lt;Requirements!B8,Requirements!A8&amp;" "&amp;TEXT(Requirements!B8-I32,"0.##")&amp;"; ","")&amp;IF(J32&lt;Requirements!B9,Requirements!A9&amp;" "&amp;TEXT(Requirements!B9-J32,"0.##")&amp;"; ","")&amp;IF(K32&lt;Requirements!B10,Requirements!A10&amp;" "&amp;TEXT(Requirements!B10-K32,"0.##")&amp;"; ","")&amp;IF(L32&lt;Requirements!B11,Requirements!A11&amp;" "&amp;TEXT(Requirements!B11-L32,"0.##")&amp;"; ","")&amp;IF(M32&lt;Requirements!B12,Requirements!A12&amp;" "&amp;TEXT(Requirements!B12-M32,"0.##")&amp;"; ","")))</f>
        <v>Airway 4; Cardiovascular 2; Trauma 1; Medical 4; PAHT 1; SVAT 1; CPR/AED 1; </v>
      </c>
    </row>
    <row r="33" customFormat="false" ht="15" hidden="false" customHeight="true" outlineLevel="0" collapsed="false">
      <c r="A33" s="19" t="s">
        <v>59</v>
      </c>
      <c r="B33" s="20" t="s">
        <v>60</v>
      </c>
      <c r="C33" s="13" t="n">
        <v>46752</v>
      </c>
      <c r="D33" s="21" t="n">
        <f aca="false">IF(C33="","",DATE(YEAR(C33)-1,1,1))</f>
        <v>46023</v>
      </c>
      <c r="E33" s="21" t="n">
        <f aca="false">IF(C33="","",DATE(YEAR(C33),12,31))</f>
        <v>46752</v>
      </c>
      <c r="F33" s="15" t="n">
        <f aca="false">IF(OR(A33="",C33=""),"",SUMPRODUCT(('Training Detail'!$A$5:$A$5000=A33)*('Training Detail'!$M$5:$M$5000=Standards!A2)*('Training Detail'!$G$5:$G$5000&gt;=D33)*('Training Detail'!$G$5:$G$5000&lt;=E33)*('Training Detail'!$P$5:$P$5000)))</f>
        <v>1</v>
      </c>
      <c r="G33" s="15" t="n">
        <f aca="false">IF(OR(A33="",C33=""),"",SUMPRODUCT(('Training Detail'!$A$5:$A$5000=A33)*('Training Detail'!$M$5:$M$5000=Standards!A3)*('Training Detail'!$G$5:$G$5000&gt;=D33)*('Training Detail'!$G$5:$G$5000&lt;=E33)*('Training Detail'!$P$5:$P$5000)))</f>
        <v>1</v>
      </c>
      <c r="H33" s="15" t="n">
        <f aca="false">IF(OR(A33="",C33=""),"",SUMPRODUCT(('Training Detail'!$A$5:$A$5000=A33)*('Training Detail'!$M$5:$M$5000=Standards!A4)*('Training Detail'!$G$5:$G$5000&gt;=D33)*('Training Detail'!$G$5:$G$5000&lt;=E33)*('Training Detail'!$P$5:$P$5000)))</f>
        <v>3</v>
      </c>
      <c r="I33" s="15" t="n">
        <f aca="false">IF(OR(A33="",C33=""),"",SUMPRODUCT(('Training Detail'!$A$5:$A$5000=A33)*('Training Detail'!$M$5:$M$5000=Standards!A5)*('Training Detail'!$G$5:$G$5000&gt;=D33)*('Training Detail'!$G$5:$G$5000&lt;=E33)*('Training Detail'!$P$5:$P$5000)))</f>
        <v>1</v>
      </c>
      <c r="J33" s="15" t="n">
        <f aca="false">IF(OR(A33="",C33=""),"",SUMPRODUCT(('Training Detail'!$A$5:$A$5000=A33)*('Training Detail'!$M$5:$M$5000=Standards!A6)*('Training Detail'!$G$5:$G$5000&gt;=D33)*('Training Detail'!$G$5:$G$5000&lt;=E33)*('Training Detail'!$P$5:$P$5000)))</f>
        <v>1</v>
      </c>
      <c r="K33" s="15" t="n">
        <f aca="false">IF(OR(A33="",C33=""),"",SUMPRODUCT(('Training Detail'!$A$5:$A$5000=A33)*('Training Detail'!$M$5:$M$5000=Standards!A7)*('Training Detail'!$G$5:$G$5000&gt;=D33)*('Training Detail'!$G$5:$G$5000&lt;=E33)*('Training Detail'!$P$5:$P$5000)))</f>
        <v>0</v>
      </c>
      <c r="L33" s="15" t="n">
        <f aca="false">IF(OR(A33="",C33=""),"",SUMPRODUCT(('Training Detail'!$A$5:$A$5000=A33)*('Training Detail'!$M$5:$M$5000=Standards!A8)*('Training Detail'!$G$5:$G$5000&gt;=D33)*('Training Detail'!$G$5:$G$5000&lt;=E33)*('Training Detail'!$P$5:$P$5000)))</f>
        <v>0</v>
      </c>
      <c r="M33" s="16" t="n">
        <f aca="false">IF(OR(A33="",C33=""),"",SUMPRODUCT(('Training Detail'!$A$5:$A$5000=A33)*('Training Detail'!$M$5:$M$5000=Standards!A9)*('Training Detail'!$G$5:$G$5000&gt;=D33)*('Training Detail'!$G$5:$G$5000&lt;=E33)*('Training Detail'!$P$5:$P$5000)))</f>
        <v>0</v>
      </c>
      <c r="N33" s="17" t="str">
        <f aca="false">IF(A33="","",IF(C33="","Set exp date",IF(AND(F33&gt;=Requirements!B5,G33&gt;=Requirements!B6,H33&gt;=Requirements!B7,I33&gt;=Requirements!B8,J33&gt;=Requirements!B9,K33&gt;=Requirements!B10,L33&gt;=Requirements!B11,M33&gt;=Requirements!B12),"Met","Short")))</f>
        <v>Short</v>
      </c>
      <c r="O33" s="18" t="str">
        <f aca="false">IF(OR(A33="",C33=""),"",IF(N33="Met","",IF(F33&lt;Requirements!B5,Requirements!A5&amp;" "&amp;TEXT(Requirements!B5-F33,"0.##")&amp;"; ","")&amp;IF(G33&lt;Requirements!B6,Requirements!A6&amp;" "&amp;TEXT(Requirements!B6-G33,"0.##")&amp;"; ","")&amp;IF(H33&lt;Requirements!B7,Requirements!A7&amp;" "&amp;TEXT(Requirements!B7-H33,"0.##")&amp;"; ","")&amp;IF(I33&lt;Requirements!B8,Requirements!A8&amp;" "&amp;TEXT(Requirements!B8-I33,"0.##")&amp;"; ","")&amp;IF(J33&lt;Requirements!B9,Requirements!A9&amp;" "&amp;TEXT(Requirements!B9-J33,"0.##")&amp;"; ","")&amp;IF(K33&lt;Requirements!B10,Requirements!A10&amp;" "&amp;TEXT(Requirements!B10-K33,"0.##")&amp;"; ","")&amp;IF(L33&lt;Requirements!B11,Requirements!A11&amp;" "&amp;TEXT(Requirements!B11-L33,"0.##")&amp;"; ","")&amp;IF(M33&lt;Requirements!B12,Requirements!A12&amp;" "&amp;TEXT(Requirements!B12-M33,"0.##")&amp;"; ","")))</f>
        <v>Airway 3; Cardiovascular 4; Medical 5; Operations 1; PAHT 1; SVAT 1; CPR/AED 1; </v>
      </c>
    </row>
    <row r="34" customFormat="false" ht="15" hidden="false" customHeight="true" outlineLevel="0" collapsed="false">
      <c r="A34" s="11" t="s">
        <v>61</v>
      </c>
      <c r="B34" s="12"/>
      <c r="C34" s="13"/>
      <c r="D34" s="14" t="str">
        <f aca="false">IF(C34="","",DATE(YEAR(C34)-1,1,1))</f>
        <v/>
      </c>
      <c r="E34" s="14" t="str">
        <f aca="false">IF(C34="","",DATE(YEAR(C34),12,31))</f>
        <v/>
      </c>
      <c r="F34" s="15" t="str">
        <f aca="false">IF(OR(A34="",C34=""),"",SUMPRODUCT(('Training Detail'!$A$5:$A$5000=A34)*('Training Detail'!$M$5:$M$5000=Standards!A2)*('Training Detail'!$G$5:$G$5000&gt;=D34)*('Training Detail'!$G$5:$G$5000&lt;=E34)*('Training Detail'!$P$5:$P$5000)))</f>
        <v/>
      </c>
      <c r="G34" s="15" t="str">
        <f aca="false">IF(OR(A34="",C34=""),"",SUMPRODUCT(('Training Detail'!$A$5:$A$5000=A34)*('Training Detail'!$M$5:$M$5000=Standards!A3)*('Training Detail'!$G$5:$G$5000&gt;=D34)*('Training Detail'!$G$5:$G$5000&lt;=E34)*('Training Detail'!$P$5:$P$5000)))</f>
        <v/>
      </c>
      <c r="H34" s="15" t="str">
        <f aca="false">IF(OR(A34="",C34=""),"",SUMPRODUCT(('Training Detail'!$A$5:$A$5000=A34)*('Training Detail'!$M$5:$M$5000=Standards!A4)*('Training Detail'!$G$5:$G$5000&gt;=D34)*('Training Detail'!$G$5:$G$5000&lt;=E34)*('Training Detail'!$P$5:$P$5000)))</f>
        <v/>
      </c>
      <c r="I34" s="15" t="str">
        <f aca="false">IF(OR(A34="",C34=""),"",SUMPRODUCT(('Training Detail'!$A$5:$A$5000=A34)*('Training Detail'!$M$5:$M$5000=Standards!A5)*('Training Detail'!$G$5:$G$5000&gt;=D34)*('Training Detail'!$G$5:$G$5000&lt;=E34)*('Training Detail'!$P$5:$P$5000)))</f>
        <v/>
      </c>
      <c r="J34" s="15" t="str">
        <f aca="false">IF(OR(A34="",C34=""),"",SUMPRODUCT(('Training Detail'!$A$5:$A$5000=A34)*('Training Detail'!$M$5:$M$5000=Standards!A6)*('Training Detail'!$G$5:$G$5000&gt;=D34)*('Training Detail'!$G$5:$G$5000&lt;=E34)*('Training Detail'!$P$5:$P$5000)))</f>
        <v/>
      </c>
      <c r="K34" s="15" t="str">
        <f aca="false">IF(OR(A34="",C34=""),"",SUMPRODUCT(('Training Detail'!$A$5:$A$5000=A34)*('Training Detail'!$M$5:$M$5000=Standards!A7)*('Training Detail'!$G$5:$G$5000&gt;=D34)*('Training Detail'!$G$5:$G$5000&lt;=E34)*('Training Detail'!$P$5:$P$5000)))</f>
        <v/>
      </c>
      <c r="L34" s="15" t="str">
        <f aca="false">IF(OR(A34="",C34=""),"",SUMPRODUCT(('Training Detail'!$A$5:$A$5000=A34)*('Training Detail'!$M$5:$M$5000=Standards!A8)*('Training Detail'!$G$5:$G$5000&gt;=D34)*('Training Detail'!$G$5:$G$5000&lt;=E34)*('Training Detail'!$P$5:$P$5000)))</f>
        <v/>
      </c>
      <c r="M34" s="16" t="str">
        <f aca="false">IF(OR(A34="",C34=""),"",SUMPRODUCT(('Training Detail'!$A$5:$A$5000=A34)*('Training Detail'!$M$5:$M$5000=Standards!A9)*('Training Detail'!$G$5:$G$5000&gt;=D34)*('Training Detail'!$G$5:$G$5000&lt;=E34)*('Training Detail'!$P$5:$P$5000)))</f>
        <v/>
      </c>
      <c r="N34" s="17" t="str">
        <f aca="false">IF(A34="","",IF(C34="","Set exp date",IF(AND(F34&gt;=Requirements!B5,G34&gt;=Requirements!B6,H34&gt;=Requirements!B7,I34&gt;=Requirements!B8,J34&gt;=Requirements!B9,K34&gt;=Requirements!B10,L34&gt;=Requirements!B11,M34&gt;=Requirements!B12),"Met","Short")))</f>
        <v>Set exp date</v>
      </c>
      <c r="O34" s="18" t="str">
        <f aca="false">IF(OR(A34="",C34=""),"",IF(N34="Met","",IF(F34&lt;Requirements!B5,Requirements!A5&amp;" "&amp;TEXT(Requirements!B5-F34,"0.##")&amp;"; ","")&amp;IF(G34&lt;Requirements!B6,Requirements!A6&amp;" "&amp;TEXT(Requirements!B6-G34,"0.##")&amp;"; ","")&amp;IF(H34&lt;Requirements!B7,Requirements!A7&amp;" "&amp;TEXT(Requirements!B7-H34,"0.##")&amp;"; ","")&amp;IF(I34&lt;Requirements!B8,Requirements!A8&amp;" "&amp;TEXT(Requirements!B8-I34,"0.##")&amp;"; ","")&amp;IF(J34&lt;Requirements!B9,Requirements!A9&amp;" "&amp;TEXT(Requirements!B9-J34,"0.##")&amp;"; ","")&amp;IF(K34&lt;Requirements!B10,Requirements!A10&amp;" "&amp;TEXT(Requirements!B10-K34,"0.##")&amp;"; ","")&amp;IF(L34&lt;Requirements!B11,Requirements!A11&amp;" "&amp;TEXT(Requirements!B11-L34,"0.##")&amp;"; ","")&amp;IF(M34&lt;Requirements!B12,Requirements!A12&amp;" "&amp;TEXT(Requirements!B12-M34,"0.##")&amp;"; ","")))</f>
        <v/>
      </c>
    </row>
    <row r="35" customFormat="false" ht="15" hidden="false" customHeight="true" outlineLevel="0" collapsed="false">
      <c r="A35" s="19" t="s">
        <v>62</v>
      </c>
      <c r="B35" s="20" t="s">
        <v>63</v>
      </c>
      <c r="C35" s="13" t="n">
        <v>46387</v>
      </c>
      <c r="D35" s="21" t="n">
        <f aca="false">IF(C35="","",DATE(YEAR(C35)-1,1,1))</f>
        <v>45658</v>
      </c>
      <c r="E35" s="21" t="n">
        <f aca="false">IF(C35="","",DATE(YEAR(C35),12,31))</f>
        <v>46387</v>
      </c>
      <c r="F35" s="15" t="n">
        <f aca="false">IF(OR(A35="",C35=""),"",SUMPRODUCT(('Training Detail'!$A$5:$A$5000=A35)*('Training Detail'!$M$5:$M$5000=Standards!A2)*('Training Detail'!$G$5:$G$5000&gt;=D35)*('Training Detail'!$G$5:$G$5000&lt;=E35)*('Training Detail'!$P$5:$P$5000)))</f>
        <v>1.5</v>
      </c>
      <c r="G35" s="15" t="n">
        <f aca="false">IF(OR(A35="",C35=""),"",SUMPRODUCT(('Training Detail'!$A$5:$A$5000=A35)*('Training Detail'!$M$5:$M$5000=Standards!A3)*('Training Detail'!$G$5:$G$5000&gt;=D35)*('Training Detail'!$G$5:$G$5000&lt;=E35)*('Training Detail'!$P$5:$P$5000)))</f>
        <v>1.5</v>
      </c>
      <c r="H35" s="15" t="n">
        <f aca="false">IF(OR(A35="",C35=""),"",SUMPRODUCT(('Training Detail'!$A$5:$A$5000=A35)*('Training Detail'!$M$5:$M$5000=Standards!A4)*('Training Detail'!$G$5:$G$5000&gt;=D35)*('Training Detail'!$G$5:$G$5000&lt;=E35)*('Training Detail'!$P$5:$P$5000)))</f>
        <v>7.75</v>
      </c>
      <c r="I35" s="15" t="n">
        <f aca="false">IF(OR(A35="",C35=""),"",SUMPRODUCT(('Training Detail'!$A$5:$A$5000=A35)*('Training Detail'!$M$5:$M$5000=Standards!A5)*('Training Detail'!$G$5:$G$5000&gt;=D35)*('Training Detail'!$G$5:$G$5000&lt;=E35)*('Training Detail'!$P$5:$P$5000)))</f>
        <v>3</v>
      </c>
      <c r="J35" s="15" t="n">
        <f aca="false">IF(OR(A35="",C35=""),"",SUMPRODUCT(('Training Detail'!$A$5:$A$5000=A35)*('Training Detail'!$M$5:$M$5000=Standards!A6)*('Training Detail'!$G$5:$G$5000&gt;=D35)*('Training Detail'!$G$5:$G$5000&lt;=E35)*('Training Detail'!$P$5:$P$5000)))</f>
        <v>3</v>
      </c>
      <c r="K35" s="15" t="n">
        <f aca="false">IF(OR(A35="",C35=""),"",SUMPRODUCT(('Training Detail'!$A$5:$A$5000=A35)*('Training Detail'!$M$5:$M$5000=Standards!A7)*('Training Detail'!$G$5:$G$5000&gt;=D35)*('Training Detail'!$G$5:$G$5000&lt;=E35)*('Training Detail'!$P$5:$P$5000)))</f>
        <v>0</v>
      </c>
      <c r="L35" s="15" t="n">
        <f aca="false">IF(OR(A35="",C35=""),"",SUMPRODUCT(('Training Detail'!$A$5:$A$5000=A35)*('Training Detail'!$M$5:$M$5000=Standards!A8)*('Training Detail'!$G$5:$G$5000&gt;=D35)*('Training Detail'!$G$5:$G$5000&lt;=E35)*('Training Detail'!$P$5:$P$5000)))</f>
        <v>0</v>
      </c>
      <c r="M35" s="16" t="n">
        <f aca="false">IF(OR(A35="",C35=""),"",SUMPRODUCT(('Training Detail'!$A$5:$A$5000=A35)*('Training Detail'!$M$5:$M$5000=Standards!A9)*('Training Detail'!$G$5:$G$5000&gt;=D35)*('Training Detail'!$G$5:$G$5000&lt;=E35)*('Training Detail'!$P$5:$P$5000)))</f>
        <v>0</v>
      </c>
      <c r="N35" s="17" t="str">
        <f aca="false">IF(A35="","",IF(C35="","Set exp date",IF(AND(F35&gt;=Requirements!B5,G35&gt;=Requirements!B6,H35&gt;=Requirements!B7,I35&gt;=Requirements!B8,J35&gt;=Requirements!B9,K35&gt;=Requirements!B10,L35&gt;=Requirements!B11,M35&gt;=Requirements!B12),"Met","Short")))</f>
        <v>Short</v>
      </c>
      <c r="O35" s="18" t="str">
        <f aca="false">IF(OR(A35="",C35=""),"",IF(N35="Met","",IF(F35&lt;Requirements!B5,Requirements!A5&amp;" "&amp;TEXT(Requirements!B5-F35,"0.##")&amp;"; ","")&amp;IF(G35&lt;Requirements!B6,Requirements!A6&amp;" "&amp;TEXT(Requirements!B6-G35,"0.##")&amp;"; ","")&amp;IF(H35&lt;Requirements!B7,Requirements!A7&amp;" "&amp;TEXT(Requirements!B7-H35,"0.##")&amp;"; ","")&amp;IF(I35&lt;Requirements!B8,Requirements!A8&amp;" "&amp;TEXT(Requirements!B8-I35,"0.##")&amp;"; ","")&amp;IF(J35&lt;Requirements!B9,Requirements!A9&amp;" "&amp;TEXT(Requirements!B9-J35,"0.##")&amp;"; ","")&amp;IF(K35&lt;Requirements!B10,Requirements!A10&amp;" "&amp;TEXT(Requirements!B10-K35,"0.##")&amp;"; ","")&amp;IF(L35&lt;Requirements!B11,Requirements!A11&amp;" "&amp;TEXT(Requirements!B11-L35,"0.##")&amp;"; ","")&amp;IF(M35&lt;Requirements!B12,Requirements!A12&amp;" "&amp;TEXT(Requirements!B12-M35,"0.##")&amp;"; ","")))</f>
        <v>Airway 2.5; Cardiovascular 3.5; Medical 3; PAHT 1; SVAT 1; CPR/AED 1; </v>
      </c>
    </row>
    <row r="36" customFormat="false" ht="15" hidden="false" customHeight="true" outlineLevel="0" collapsed="false">
      <c r="A36" s="11" t="s">
        <v>64</v>
      </c>
      <c r="B36" s="12" t="s">
        <v>65</v>
      </c>
      <c r="C36" s="13" t="n">
        <v>46752</v>
      </c>
      <c r="D36" s="14" t="n">
        <f aca="false">IF(C36="","",DATE(YEAR(C36)-1,1,1))</f>
        <v>46023</v>
      </c>
      <c r="E36" s="14" t="n">
        <f aca="false">IF(C36="","",DATE(YEAR(C36),12,31))</f>
        <v>46752</v>
      </c>
      <c r="F36" s="15" t="n">
        <f aca="false">IF(OR(A36="",C36=""),"",SUMPRODUCT(('Training Detail'!$A$5:$A$5000=A36)*('Training Detail'!$M$5:$M$5000=Standards!A2)*('Training Detail'!$G$5:$G$5000&gt;=D36)*('Training Detail'!$G$5:$G$5000&lt;=E36)*('Training Detail'!$P$5:$P$5000)))</f>
        <v>0</v>
      </c>
      <c r="G36" s="15" t="n">
        <f aca="false">IF(OR(A36="",C36=""),"",SUMPRODUCT(('Training Detail'!$A$5:$A$5000=A36)*('Training Detail'!$M$5:$M$5000=Standards!A3)*('Training Detail'!$G$5:$G$5000&gt;=D36)*('Training Detail'!$G$5:$G$5000&lt;=E36)*('Training Detail'!$P$5:$P$5000)))</f>
        <v>0</v>
      </c>
      <c r="H36" s="15" t="n">
        <f aca="false">IF(OR(A36="",C36=""),"",SUMPRODUCT(('Training Detail'!$A$5:$A$5000=A36)*('Training Detail'!$M$5:$M$5000=Standards!A4)*('Training Detail'!$G$5:$G$5000&gt;=D36)*('Training Detail'!$G$5:$G$5000&lt;=E36)*('Training Detail'!$P$5:$P$5000)))</f>
        <v>5</v>
      </c>
      <c r="I36" s="15" t="n">
        <f aca="false">IF(OR(A36="",C36=""),"",SUMPRODUCT(('Training Detail'!$A$5:$A$5000=A36)*('Training Detail'!$M$5:$M$5000=Standards!A5)*('Training Detail'!$G$5:$G$5000&gt;=D36)*('Training Detail'!$G$5:$G$5000&lt;=E36)*('Training Detail'!$P$5:$P$5000)))</f>
        <v>0</v>
      </c>
      <c r="J36" s="15" t="n">
        <f aca="false">IF(OR(A36="",C36=""),"",SUMPRODUCT(('Training Detail'!$A$5:$A$5000=A36)*('Training Detail'!$M$5:$M$5000=Standards!A6)*('Training Detail'!$G$5:$G$5000&gt;=D36)*('Training Detail'!$G$5:$G$5000&lt;=E36)*('Training Detail'!$P$5:$P$5000)))</f>
        <v>1</v>
      </c>
      <c r="K36" s="15" t="n">
        <f aca="false">IF(OR(A36="",C36=""),"",SUMPRODUCT(('Training Detail'!$A$5:$A$5000=A36)*('Training Detail'!$M$5:$M$5000=Standards!A7)*('Training Detail'!$G$5:$G$5000&gt;=D36)*('Training Detail'!$G$5:$G$5000&lt;=E36)*('Training Detail'!$P$5:$P$5000)))</f>
        <v>0</v>
      </c>
      <c r="L36" s="15" t="n">
        <f aca="false">IF(OR(A36="",C36=""),"",SUMPRODUCT(('Training Detail'!$A$5:$A$5000=A36)*('Training Detail'!$M$5:$M$5000=Standards!A8)*('Training Detail'!$G$5:$G$5000&gt;=D36)*('Training Detail'!$G$5:$G$5000&lt;=E36)*('Training Detail'!$P$5:$P$5000)))</f>
        <v>0</v>
      </c>
      <c r="M36" s="16" t="n">
        <f aca="false">IF(OR(A36="",C36=""),"",SUMPRODUCT(('Training Detail'!$A$5:$A$5000=A36)*('Training Detail'!$M$5:$M$5000=Standards!A9)*('Training Detail'!$G$5:$G$5000&gt;=D36)*('Training Detail'!$G$5:$G$5000&lt;=E36)*('Training Detail'!$P$5:$P$5000)))</f>
        <v>0</v>
      </c>
      <c r="N36" s="17" t="str">
        <f aca="false">IF(A36="","",IF(C36="","Set exp date",IF(AND(F36&gt;=Requirements!B5,G36&gt;=Requirements!B6,H36&gt;=Requirements!B7,I36&gt;=Requirements!B8,J36&gt;=Requirements!B9,K36&gt;=Requirements!B10,L36&gt;=Requirements!B11,M36&gt;=Requirements!B12),"Met","Short")))</f>
        <v>Short</v>
      </c>
      <c r="O36" s="18" t="str">
        <f aca="false">IF(OR(A36="",C36=""),"",IF(N36="Met","",IF(F36&lt;Requirements!B5,Requirements!A5&amp;" "&amp;TEXT(Requirements!B5-F36,"0.##")&amp;"; ","")&amp;IF(G36&lt;Requirements!B6,Requirements!A6&amp;" "&amp;TEXT(Requirements!B6-G36,"0.##")&amp;"; ","")&amp;IF(H36&lt;Requirements!B7,Requirements!A7&amp;" "&amp;TEXT(Requirements!B7-H36,"0.##")&amp;"; ","")&amp;IF(I36&lt;Requirements!B8,Requirements!A8&amp;" "&amp;TEXT(Requirements!B8-I36,"0.##")&amp;"; ","")&amp;IF(J36&lt;Requirements!B9,Requirements!A9&amp;" "&amp;TEXT(Requirements!B9-J36,"0.##")&amp;"; ","")&amp;IF(K36&lt;Requirements!B10,Requirements!A10&amp;" "&amp;TEXT(Requirements!B10-K36,"0.##")&amp;"; ","")&amp;IF(L36&lt;Requirements!B11,Requirements!A11&amp;" "&amp;TEXT(Requirements!B11-L36,"0.##")&amp;"; ","")&amp;IF(M36&lt;Requirements!B12,Requirements!A12&amp;" "&amp;TEXT(Requirements!B12-M36,"0.##")&amp;"; ","")))</f>
        <v>Airway 4; Cardiovascular 5; Medical 6; Operations 1; PAHT 1; SVAT 1; CPR/AED 1; </v>
      </c>
    </row>
    <row r="37" customFormat="false" ht="15" hidden="false" customHeight="true" outlineLevel="0" collapsed="false">
      <c r="A37" s="19" t="s">
        <v>66</v>
      </c>
      <c r="B37" s="20" t="s">
        <v>67</v>
      </c>
      <c r="C37" s="13" t="n">
        <v>46752</v>
      </c>
      <c r="D37" s="21" t="n">
        <f aca="false">IF(C37="","",DATE(YEAR(C37)-1,1,1))</f>
        <v>46023</v>
      </c>
      <c r="E37" s="21" t="n">
        <f aca="false">IF(C37="","",DATE(YEAR(C37),12,31))</f>
        <v>46752</v>
      </c>
      <c r="F37" s="15" t="n">
        <f aca="false">IF(OR(A37="",C37=""),"",SUMPRODUCT(('Training Detail'!$A$5:$A$5000=A37)*('Training Detail'!$M$5:$M$5000=Standards!A2)*('Training Detail'!$G$5:$G$5000&gt;=D37)*('Training Detail'!$G$5:$G$5000&lt;=E37)*('Training Detail'!$P$5:$P$5000)))</f>
        <v>1.5</v>
      </c>
      <c r="G37" s="15" t="n">
        <f aca="false">IF(OR(A37="",C37=""),"",SUMPRODUCT(('Training Detail'!$A$5:$A$5000=A37)*('Training Detail'!$M$5:$M$5000=Standards!A3)*('Training Detail'!$G$5:$G$5000&gt;=D37)*('Training Detail'!$G$5:$G$5000&lt;=E37)*('Training Detail'!$P$5:$P$5000)))</f>
        <v>0</v>
      </c>
      <c r="H37" s="15" t="n">
        <f aca="false">IF(OR(A37="",C37=""),"",SUMPRODUCT(('Training Detail'!$A$5:$A$5000=A37)*('Training Detail'!$M$5:$M$5000=Standards!A4)*('Training Detail'!$G$5:$G$5000&gt;=D37)*('Training Detail'!$G$5:$G$5000&lt;=E37)*('Training Detail'!$P$5:$P$5000)))</f>
        <v>3</v>
      </c>
      <c r="I37" s="15" t="n">
        <f aca="false">IF(OR(A37="",C37=""),"",SUMPRODUCT(('Training Detail'!$A$5:$A$5000=A37)*('Training Detail'!$M$5:$M$5000=Standards!A5)*('Training Detail'!$G$5:$G$5000&gt;=D37)*('Training Detail'!$G$5:$G$5000&lt;=E37)*('Training Detail'!$P$5:$P$5000)))</f>
        <v>1</v>
      </c>
      <c r="J37" s="15" t="n">
        <f aca="false">IF(OR(A37="",C37=""),"",SUMPRODUCT(('Training Detail'!$A$5:$A$5000=A37)*('Training Detail'!$M$5:$M$5000=Standards!A6)*('Training Detail'!$G$5:$G$5000&gt;=D37)*('Training Detail'!$G$5:$G$5000&lt;=E37)*('Training Detail'!$P$5:$P$5000)))</f>
        <v>7.5</v>
      </c>
      <c r="K37" s="15" t="n">
        <f aca="false">IF(OR(A37="",C37=""),"",SUMPRODUCT(('Training Detail'!$A$5:$A$5000=A37)*('Training Detail'!$M$5:$M$5000=Standards!A7)*('Training Detail'!$G$5:$G$5000&gt;=D37)*('Training Detail'!$G$5:$G$5000&lt;=E37)*('Training Detail'!$P$5:$P$5000)))</f>
        <v>0</v>
      </c>
      <c r="L37" s="15" t="n">
        <f aca="false">IF(OR(A37="",C37=""),"",SUMPRODUCT(('Training Detail'!$A$5:$A$5000=A37)*('Training Detail'!$M$5:$M$5000=Standards!A8)*('Training Detail'!$G$5:$G$5000&gt;=D37)*('Training Detail'!$G$5:$G$5000&lt;=E37)*('Training Detail'!$P$5:$P$5000)))</f>
        <v>0</v>
      </c>
      <c r="M37" s="16" t="n">
        <f aca="false">IF(OR(A37="",C37=""),"",SUMPRODUCT(('Training Detail'!$A$5:$A$5000=A37)*('Training Detail'!$M$5:$M$5000=Standards!A9)*('Training Detail'!$G$5:$G$5000&gt;=D37)*('Training Detail'!$G$5:$G$5000&lt;=E37)*('Training Detail'!$P$5:$P$5000)))</f>
        <v>0</v>
      </c>
      <c r="N37" s="17" t="str">
        <f aca="false">IF(A37="","",IF(C37="","Set exp date",IF(AND(F37&gt;=Requirements!B5,G37&gt;=Requirements!B6,H37&gt;=Requirements!B7,I37&gt;=Requirements!B8,J37&gt;=Requirements!B9,K37&gt;=Requirements!B10,L37&gt;=Requirements!B11,M37&gt;=Requirements!B12),"Met","Short")))</f>
        <v>Short</v>
      </c>
      <c r="O37" s="18" t="str">
        <f aca="false">IF(OR(A37="",C37=""),"",IF(N37="Met","",IF(F37&lt;Requirements!B5,Requirements!A5&amp;" "&amp;TEXT(Requirements!B5-F37,"0.##")&amp;"; ","")&amp;IF(G37&lt;Requirements!B6,Requirements!A6&amp;" "&amp;TEXT(Requirements!B6-G37,"0.##")&amp;"; ","")&amp;IF(H37&lt;Requirements!B7,Requirements!A7&amp;" "&amp;TEXT(Requirements!B7-H37,"0.##")&amp;"; ","")&amp;IF(I37&lt;Requirements!B8,Requirements!A8&amp;" "&amp;TEXT(Requirements!B8-I37,"0.##")&amp;"; ","")&amp;IF(J37&lt;Requirements!B9,Requirements!A9&amp;" "&amp;TEXT(Requirements!B9-J37,"0.##")&amp;"; ","")&amp;IF(K37&lt;Requirements!B10,Requirements!A10&amp;" "&amp;TEXT(Requirements!B10-K37,"0.##")&amp;"; ","")&amp;IF(L37&lt;Requirements!B11,Requirements!A11&amp;" "&amp;TEXT(Requirements!B11-L37,"0.##")&amp;"; ","")&amp;IF(M37&lt;Requirements!B12,Requirements!A12&amp;" "&amp;TEXT(Requirements!B12-M37,"0.##")&amp;"; ","")))</f>
        <v>Airway 2.5; Cardiovascular 5; Medical 5; PAHT 1; SVAT 1; CPR/AED 1; </v>
      </c>
    </row>
    <row r="38" customFormat="false" ht="15" hidden="false" customHeight="true" outlineLevel="0" collapsed="false">
      <c r="A38" s="11" t="s">
        <v>68</v>
      </c>
      <c r="B38" s="12" t="s">
        <v>69</v>
      </c>
      <c r="C38" s="13" t="n">
        <v>46752</v>
      </c>
      <c r="D38" s="14" t="n">
        <f aca="false">IF(C38="","",DATE(YEAR(C38)-1,1,1))</f>
        <v>46023</v>
      </c>
      <c r="E38" s="14" t="n">
        <f aca="false">IF(C38="","",DATE(YEAR(C38),12,31))</f>
        <v>46752</v>
      </c>
      <c r="F38" s="15" t="n">
        <f aca="false">IF(OR(A38="",C38=""),"",SUMPRODUCT(('Training Detail'!$A$5:$A$5000=A38)*('Training Detail'!$M$5:$M$5000=Standards!A2)*('Training Detail'!$G$5:$G$5000&gt;=D38)*('Training Detail'!$G$5:$G$5000&lt;=E38)*('Training Detail'!$P$5:$P$5000)))</f>
        <v>0</v>
      </c>
      <c r="G38" s="15" t="n">
        <f aca="false">IF(OR(A38="",C38=""),"",SUMPRODUCT(('Training Detail'!$A$5:$A$5000=A38)*('Training Detail'!$M$5:$M$5000=Standards!A3)*('Training Detail'!$G$5:$G$5000&gt;=D38)*('Training Detail'!$G$5:$G$5000&lt;=E38)*('Training Detail'!$P$5:$P$5000)))</f>
        <v>0</v>
      </c>
      <c r="H38" s="15" t="n">
        <f aca="false">IF(OR(A38="",C38=""),"",SUMPRODUCT(('Training Detail'!$A$5:$A$5000=A38)*('Training Detail'!$M$5:$M$5000=Standards!A4)*('Training Detail'!$G$5:$G$5000&gt;=D38)*('Training Detail'!$G$5:$G$5000&lt;=E38)*('Training Detail'!$P$5:$P$5000)))</f>
        <v>3</v>
      </c>
      <c r="I38" s="15" t="n">
        <f aca="false">IF(OR(A38="",C38=""),"",SUMPRODUCT(('Training Detail'!$A$5:$A$5000=A38)*('Training Detail'!$M$5:$M$5000=Standards!A5)*('Training Detail'!$G$5:$G$5000&gt;=D38)*('Training Detail'!$G$5:$G$5000&lt;=E38)*('Training Detail'!$P$5:$P$5000)))</f>
        <v>0</v>
      </c>
      <c r="J38" s="15" t="n">
        <f aca="false">IF(OR(A38="",C38=""),"",SUMPRODUCT(('Training Detail'!$A$5:$A$5000=A38)*('Training Detail'!$M$5:$M$5000=Standards!A6)*('Training Detail'!$G$5:$G$5000&gt;=D38)*('Training Detail'!$G$5:$G$5000&lt;=E38)*('Training Detail'!$P$5:$P$5000)))</f>
        <v>0</v>
      </c>
      <c r="K38" s="15" t="n">
        <f aca="false">IF(OR(A38="",C38=""),"",SUMPRODUCT(('Training Detail'!$A$5:$A$5000=A38)*('Training Detail'!$M$5:$M$5000=Standards!A7)*('Training Detail'!$G$5:$G$5000&gt;=D38)*('Training Detail'!$G$5:$G$5000&lt;=E38)*('Training Detail'!$P$5:$P$5000)))</f>
        <v>1</v>
      </c>
      <c r="L38" s="15" t="n">
        <f aca="false">IF(OR(A38="",C38=""),"",SUMPRODUCT(('Training Detail'!$A$5:$A$5000=A38)*('Training Detail'!$M$5:$M$5000=Standards!A8)*('Training Detail'!$G$5:$G$5000&gt;=D38)*('Training Detail'!$G$5:$G$5000&lt;=E38)*('Training Detail'!$P$5:$P$5000)))</f>
        <v>0</v>
      </c>
      <c r="M38" s="16" t="n">
        <f aca="false">IF(OR(A38="",C38=""),"",SUMPRODUCT(('Training Detail'!$A$5:$A$5000=A38)*('Training Detail'!$M$5:$M$5000=Standards!A9)*('Training Detail'!$G$5:$G$5000&gt;=D38)*('Training Detail'!$G$5:$G$5000&lt;=E38)*('Training Detail'!$P$5:$P$5000)))</f>
        <v>0</v>
      </c>
      <c r="N38" s="17" t="str">
        <f aca="false">IF(A38="","",IF(C38="","Set exp date",IF(AND(F38&gt;=Requirements!B5,G38&gt;=Requirements!B6,H38&gt;=Requirements!B7,I38&gt;=Requirements!B8,J38&gt;=Requirements!B9,K38&gt;=Requirements!B10,L38&gt;=Requirements!B11,M38&gt;=Requirements!B12),"Met","Short")))</f>
        <v>Short</v>
      </c>
      <c r="O38" s="18" t="str">
        <f aca="false">IF(OR(A38="",C38=""),"",IF(N38="Met","",IF(F38&lt;Requirements!B5,Requirements!A5&amp;" "&amp;TEXT(Requirements!B5-F38,"0.##")&amp;"; ","")&amp;IF(G38&lt;Requirements!B6,Requirements!A6&amp;" "&amp;TEXT(Requirements!B6-G38,"0.##")&amp;"; ","")&amp;IF(H38&lt;Requirements!B7,Requirements!A7&amp;" "&amp;TEXT(Requirements!B7-H38,"0.##")&amp;"; ","")&amp;IF(I38&lt;Requirements!B8,Requirements!A8&amp;" "&amp;TEXT(Requirements!B8-I38,"0.##")&amp;"; ","")&amp;IF(J38&lt;Requirements!B9,Requirements!A9&amp;" "&amp;TEXT(Requirements!B9-J38,"0.##")&amp;"; ","")&amp;IF(K38&lt;Requirements!B10,Requirements!A10&amp;" "&amp;TEXT(Requirements!B10-K38,"0.##")&amp;"; ","")&amp;IF(L38&lt;Requirements!B11,Requirements!A11&amp;" "&amp;TEXT(Requirements!B11-L38,"0.##")&amp;"; ","")&amp;IF(M38&lt;Requirements!B12,Requirements!A12&amp;" "&amp;TEXT(Requirements!B12-M38,"0.##")&amp;"; ","")))</f>
        <v>Airway 4; Cardiovascular 5; Medical 6; Operations 2; SVAT 1; CPR/AED 1; </v>
      </c>
    </row>
    <row r="39" customFormat="false" ht="15" hidden="false" customHeight="true" outlineLevel="0" collapsed="false">
      <c r="A39" s="19" t="s">
        <v>70</v>
      </c>
      <c r="B39" s="20" t="s">
        <v>71</v>
      </c>
      <c r="C39" s="13" t="n">
        <v>46387</v>
      </c>
      <c r="D39" s="21" t="n">
        <f aca="false">IF(C39="","",DATE(YEAR(C39)-1,1,1))</f>
        <v>45658</v>
      </c>
      <c r="E39" s="21" t="n">
        <f aca="false">IF(C39="","",DATE(YEAR(C39),12,31))</f>
        <v>46387</v>
      </c>
      <c r="F39" s="15" t="n">
        <f aca="false">IF(OR(A39="",C39=""),"",SUMPRODUCT(('Training Detail'!$A$5:$A$5000=A39)*('Training Detail'!$M$5:$M$5000=Standards!A2)*('Training Detail'!$G$5:$G$5000&gt;=D39)*('Training Detail'!$G$5:$G$5000&lt;=E39)*('Training Detail'!$P$5:$P$5000)))</f>
        <v>0</v>
      </c>
      <c r="G39" s="15" t="n">
        <f aca="false">IF(OR(A39="",C39=""),"",SUMPRODUCT(('Training Detail'!$A$5:$A$5000=A39)*('Training Detail'!$M$5:$M$5000=Standards!A3)*('Training Detail'!$G$5:$G$5000&gt;=D39)*('Training Detail'!$G$5:$G$5000&lt;=E39)*('Training Detail'!$P$5:$P$5000)))</f>
        <v>0</v>
      </c>
      <c r="H39" s="15" t="n">
        <f aca="false">IF(OR(A39="",C39=""),"",SUMPRODUCT(('Training Detail'!$A$5:$A$5000=A39)*('Training Detail'!$M$5:$M$5000=Standards!A4)*('Training Detail'!$G$5:$G$5000&gt;=D39)*('Training Detail'!$G$5:$G$5000&lt;=E39)*('Training Detail'!$P$5:$P$5000)))</f>
        <v>7</v>
      </c>
      <c r="I39" s="15" t="n">
        <f aca="false">IF(OR(A39="",C39=""),"",SUMPRODUCT(('Training Detail'!$A$5:$A$5000=A39)*('Training Detail'!$M$5:$M$5000=Standards!A5)*('Training Detail'!$G$5:$G$5000&gt;=D39)*('Training Detail'!$G$5:$G$5000&lt;=E39)*('Training Detail'!$P$5:$P$5000)))</f>
        <v>5</v>
      </c>
      <c r="J39" s="15" t="n">
        <f aca="false">IF(OR(A39="",C39=""),"",SUMPRODUCT(('Training Detail'!$A$5:$A$5000=A39)*('Training Detail'!$M$5:$M$5000=Standards!A6)*('Training Detail'!$G$5:$G$5000&gt;=D39)*('Training Detail'!$G$5:$G$5000&lt;=E39)*('Training Detail'!$P$5:$P$5000)))</f>
        <v>1</v>
      </c>
      <c r="K39" s="15" t="n">
        <f aca="false">IF(OR(A39="",C39=""),"",SUMPRODUCT(('Training Detail'!$A$5:$A$5000=A39)*('Training Detail'!$M$5:$M$5000=Standards!A7)*('Training Detail'!$G$5:$G$5000&gt;=D39)*('Training Detail'!$G$5:$G$5000&lt;=E39)*('Training Detail'!$P$5:$P$5000)))</f>
        <v>0</v>
      </c>
      <c r="L39" s="15" t="n">
        <f aca="false">IF(OR(A39="",C39=""),"",SUMPRODUCT(('Training Detail'!$A$5:$A$5000=A39)*('Training Detail'!$M$5:$M$5000=Standards!A8)*('Training Detail'!$G$5:$G$5000&gt;=D39)*('Training Detail'!$G$5:$G$5000&lt;=E39)*('Training Detail'!$P$5:$P$5000)))</f>
        <v>0</v>
      </c>
      <c r="M39" s="16" t="n">
        <f aca="false">IF(OR(A39="",C39=""),"",SUMPRODUCT(('Training Detail'!$A$5:$A$5000=A39)*('Training Detail'!$M$5:$M$5000=Standards!A9)*('Training Detail'!$G$5:$G$5000&gt;=D39)*('Training Detail'!$G$5:$G$5000&lt;=E39)*('Training Detail'!$P$5:$P$5000)))</f>
        <v>0.5</v>
      </c>
      <c r="N39" s="17" t="str">
        <f aca="false">IF(A39="","",IF(C39="","Set exp date",IF(AND(F39&gt;=Requirements!B5,G39&gt;=Requirements!B6,H39&gt;=Requirements!B7,I39&gt;=Requirements!B8,J39&gt;=Requirements!B9,K39&gt;=Requirements!B10,L39&gt;=Requirements!B11,M39&gt;=Requirements!B12),"Met","Short")))</f>
        <v>Short</v>
      </c>
      <c r="O39" s="18" t="str">
        <f aca="false">IF(OR(A39="",C39=""),"",IF(N39="Met","",IF(F39&lt;Requirements!B5,Requirements!A5&amp;" "&amp;TEXT(Requirements!B5-F39,"0.##")&amp;"; ","")&amp;IF(G39&lt;Requirements!B6,Requirements!A6&amp;" "&amp;TEXT(Requirements!B6-G39,"0.##")&amp;"; ","")&amp;IF(H39&lt;Requirements!B7,Requirements!A7&amp;" "&amp;TEXT(Requirements!B7-H39,"0.##")&amp;"; ","")&amp;IF(I39&lt;Requirements!B8,Requirements!A8&amp;" "&amp;TEXT(Requirements!B8-I39,"0.##")&amp;"; ","")&amp;IF(J39&lt;Requirements!B9,Requirements!A9&amp;" "&amp;TEXT(Requirements!B9-J39,"0.##")&amp;"; ","")&amp;IF(K39&lt;Requirements!B10,Requirements!A10&amp;" "&amp;TEXT(Requirements!B10-K39,"0.##")&amp;"; ","")&amp;IF(L39&lt;Requirements!B11,Requirements!A11&amp;" "&amp;TEXT(Requirements!B11-L39,"0.##")&amp;"; ","")&amp;IF(M39&lt;Requirements!B12,Requirements!A12&amp;" "&amp;TEXT(Requirements!B12-M39,"0.##")&amp;"; ","")))</f>
        <v>Airway 4; Cardiovascular 5; Medical 1; Operations 1; PAHT 1; SVAT 1; CPR/AED 0.5; </v>
      </c>
    </row>
    <row r="40" customFormat="false" ht="15" hidden="false" customHeight="true" outlineLevel="0" collapsed="false">
      <c r="A40" s="11" t="s">
        <v>72</v>
      </c>
      <c r="B40" s="12" t="s">
        <v>73</v>
      </c>
      <c r="C40" s="13" t="n">
        <v>46752</v>
      </c>
      <c r="D40" s="14" t="n">
        <f aca="false">IF(C40="","",DATE(YEAR(C40)-1,1,1))</f>
        <v>46023</v>
      </c>
      <c r="E40" s="14" t="n">
        <f aca="false">IF(C40="","",DATE(YEAR(C40),12,31))</f>
        <v>46752</v>
      </c>
      <c r="F40" s="15" t="n">
        <f aca="false">IF(OR(A40="",C40=""),"",SUMPRODUCT(('Training Detail'!$A$5:$A$5000=A40)*('Training Detail'!$M$5:$M$5000=Standards!A2)*('Training Detail'!$G$5:$G$5000&gt;=D40)*('Training Detail'!$G$5:$G$5000&lt;=E40)*('Training Detail'!$P$5:$P$5000)))</f>
        <v>0</v>
      </c>
      <c r="G40" s="15" t="n">
        <f aca="false">IF(OR(A40="",C40=""),"",SUMPRODUCT(('Training Detail'!$A$5:$A$5000=A40)*('Training Detail'!$M$5:$M$5000=Standards!A3)*('Training Detail'!$G$5:$G$5000&gt;=D40)*('Training Detail'!$G$5:$G$5000&lt;=E40)*('Training Detail'!$P$5:$P$5000)))</f>
        <v>0</v>
      </c>
      <c r="H40" s="15" t="n">
        <f aca="false">IF(OR(A40="",C40=""),"",SUMPRODUCT(('Training Detail'!$A$5:$A$5000=A40)*('Training Detail'!$M$5:$M$5000=Standards!A4)*('Training Detail'!$G$5:$G$5000&gt;=D40)*('Training Detail'!$G$5:$G$5000&lt;=E40)*('Training Detail'!$P$5:$P$5000)))</f>
        <v>5.5</v>
      </c>
      <c r="I40" s="15" t="n">
        <f aca="false">IF(OR(A40="",C40=""),"",SUMPRODUCT(('Training Detail'!$A$5:$A$5000=A40)*('Training Detail'!$M$5:$M$5000=Standards!A5)*('Training Detail'!$G$5:$G$5000&gt;=D40)*('Training Detail'!$G$5:$G$5000&lt;=E40)*('Training Detail'!$P$5:$P$5000)))</f>
        <v>3</v>
      </c>
      <c r="J40" s="15" t="n">
        <f aca="false">IF(OR(A40="",C40=""),"",SUMPRODUCT(('Training Detail'!$A$5:$A$5000=A40)*('Training Detail'!$M$5:$M$5000=Standards!A6)*('Training Detail'!$G$5:$G$5000&gt;=D40)*('Training Detail'!$G$5:$G$5000&lt;=E40)*('Training Detail'!$P$5:$P$5000)))</f>
        <v>2</v>
      </c>
      <c r="K40" s="15" t="n">
        <f aca="false">IF(OR(A40="",C40=""),"",SUMPRODUCT(('Training Detail'!$A$5:$A$5000=A40)*('Training Detail'!$M$5:$M$5000=Standards!A7)*('Training Detail'!$G$5:$G$5000&gt;=D40)*('Training Detail'!$G$5:$G$5000&lt;=E40)*('Training Detail'!$P$5:$P$5000)))</f>
        <v>0</v>
      </c>
      <c r="L40" s="15" t="n">
        <f aca="false">IF(OR(A40="",C40=""),"",SUMPRODUCT(('Training Detail'!$A$5:$A$5000=A40)*('Training Detail'!$M$5:$M$5000=Standards!A8)*('Training Detail'!$G$5:$G$5000&gt;=D40)*('Training Detail'!$G$5:$G$5000&lt;=E40)*('Training Detail'!$P$5:$P$5000)))</f>
        <v>0</v>
      </c>
      <c r="M40" s="16" t="n">
        <f aca="false">IF(OR(A40="",C40=""),"",SUMPRODUCT(('Training Detail'!$A$5:$A$5000=A40)*('Training Detail'!$M$5:$M$5000=Standards!A9)*('Training Detail'!$G$5:$G$5000&gt;=D40)*('Training Detail'!$G$5:$G$5000&lt;=E40)*('Training Detail'!$P$5:$P$5000)))</f>
        <v>0</v>
      </c>
      <c r="N40" s="17" t="str">
        <f aca="false">IF(A40="","",IF(C40="","Set exp date",IF(AND(F40&gt;=Requirements!B5,G40&gt;=Requirements!B6,H40&gt;=Requirements!B7,I40&gt;=Requirements!B8,J40&gt;=Requirements!B9,K40&gt;=Requirements!B10,L40&gt;=Requirements!B11,M40&gt;=Requirements!B12),"Met","Short")))</f>
        <v>Short</v>
      </c>
      <c r="O40" s="18" t="str">
        <f aca="false">IF(OR(A40="",C40=""),"",IF(N40="Met","",IF(F40&lt;Requirements!B5,Requirements!A5&amp;" "&amp;TEXT(Requirements!B5-F40,"0.##")&amp;"; ","")&amp;IF(G40&lt;Requirements!B6,Requirements!A6&amp;" "&amp;TEXT(Requirements!B6-G40,"0.##")&amp;"; ","")&amp;IF(H40&lt;Requirements!B7,Requirements!A7&amp;" "&amp;TEXT(Requirements!B7-H40,"0.##")&amp;"; ","")&amp;IF(I40&lt;Requirements!B8,Requirements!A8&amp;" "&amp;TEXT(Requirements!B8-I40,"0.##")&amp;"; ","")&amp;IF(J40&lt;Requirements!B9,Requirements!A9&amp;" "&amp;TEXT(Requirements!B9-J40,"0.##")&amp;"; ","")&amp;IF(K40&lt;Requirements!B10,Requirements!A10&amp;" "&amp;TEXT(Requirements!B10-K40,"0.##")&amp;"; ","")&amp;IF(L40&lt;Requirements!B11,Requirements!A11&amp;" "&amp;TEXT(Requirements!B11-L40,"0.##")&amp;"; ","")&amp;IF(M40&lt;Requirements!B12,Requirements!A12&amp;" "&amp;TEXT(Requirements!B12-M40,"0.##")&amp;"; ","")))</f>
        <v>Airway 4; Cardiovascular 5; Medical 3; PAHT 1; SVAT 1; CPR/AED 1; </v>
      </c>
    </row>
    <row r="41" customFormat="false" ht="15" hidden="false" customHeight="true" outlineLevel="0" collapsed="false">
      <c r="A41" s="19" t="s">
        <v>74</v>
      </c>
      <c r="B41" s="20" t="s">
        <v>75</v>
      </c>
      <c r="C41" s="13" t="n">
        <v>46387</v>
      </c>
      <c r="D41" s="21" t="n">
        <f aca="false">IF(C41="","",DATE(YEAR(C41)-1,1,1))</f>
        <v>45658</v>
      </c>
      <c r="E41" s="21" t="n">
        <f aca="false">IF(C41="","",DATE(YEAR(C41),12,31))</f>
        <v>46387</v>
      </c>
      <c r="F41" s="15" t="n">
        <f aca="false">IF(OR(A41="",C41=""),"",SUMPRODUCT(('Training Detail'!$A$5:$A$5000=A41)*('Training Detail'!$M$5:$M$5000=Standards!A2)*('Training Detail'!$G$5:$G$5000&gt;=D41)*('Training Detail'!$G$5:$G$5000&lt;=E41)*('Training Detail'!$P$5:$P$5000)))</f>
        <v>0.5</v>
      </c>
      <c r="G41" s="15" t="n">
        <f aca="false">IF(OR(A41="",C41=""),"",SUMPRODUCT(('Training Detail'!$A$5:$A$5000=A41)*('Training Detail'!$M$5:$M$5000=Standards!A3)*('Training Detail'!$G$5:$G$5000&gt;=D41)*('Training Detail'!$G$5:$G$5000&lt;=E41)*('Training Detail'!$P$5:$P$5000)))</f>
        <v>5</v>
      </c>
      <c r="H41" s="15" t="n">
        <f aca="false">IF(OR(A41="",C41=""),"",SUMPRODUCT(('Training Detail'!$A$5:$A$5000=A41)*('Training Detail'!$M$5:$M$5000=Standards!A4)*('Training Detail'!$G$5:$G$5000&gt;=D41)*('Training Detail'!$G$5:$G$5000&lt;=E41)*('Training Detail'!$P$5:$P$5000)))</f>
        <v>7</v>
      </c>
      <c r="I41" s="15" t="n">
        <f aca="false">IF(OR(A41="",C41=""),"",SUMPRODUCT(('Training Detail'!$A$5:$A$5000=A41)*('Training Detail'!$M$5:$M$5000=Standards!A5)*('Training Detail'!$G$5:$G$5000&gt;=D41)*('Training Detail'!$G$5:$G$5000&lt;=E41)*('Training Detail'!$P$5:$P$5000)))</f>
        <v>7.5</v>
      </c>
      <c r="J41" s="15" t="n">
        <f aca="false">IF(OR(A41="",C41=""),"",SUMPRODUCT(('Training Detail'!$A$5:$A$5000=A41)*('Training Detail'!$M$5:$M$5000=Standards!A6)*('Training Detail'!$G$5:$G$5000&gt;=D41)*('Training Detail'!$G$5:$G$5000&lt;=E41)*('Training Detail'!$P$5:$P$5000)))</f>
        <v>3</v>
      </c>
      <c r="K41" s="15" t="n">
        <f aca="false">IF(OR(A41="",C41=""),"",SUMPRODUCT(('Training Detail'!$A$5:$A$5000=A41)*('Training Detail'!$M$5:$M$5000=Standards!A7)*('Training Detail'!$G$5:$G$5000&gt;=D41)*('Training Detail'!$G$5:$G$5000&lt;=E41)*('Training Detail'!$P$5:$P$5000)))</f>
        <v>1</v>
      </c>
      <c r="L41" s="15" t="n">
        <f aca="false">IF(OR(A41="",C41=""),"",SUMPRODUCT(('Training Detail'!$A$5:$A$5000=A41)*('Training Detail'!$M$5:$M$5000=Standards!A8)*('Training Detail'!$G$5:$G$5000&gt;=D41)*('Training Detail'!$G$5:$G$5000&lt;=E41)*('Training Detail'!$P$5:$P$5000)))</f>
        <v>1</v>
      </c>
      <c r="M41" s="16" t="n">
        <f aca="false">IF(OR(A41="",C41=""),"",SUMPRODUCT(('Training Detail'!$A$5:$A$5000=A41)*('Training Detail'!$M$5:$M$5000=Standards!A9)*('Training Detail'!$G$5:$G$5000&gt;=D41)*('Training Detail'!$G$5:$G$5000&lt;=E41)*('Training Detail'!$P$5:$P$5000)))</f>
        <v>1</v>
      </c>
      <c r="N41" s="17" t="str">
        <f aca="false">IF(A41="","",IF(C41="","Set exp date",IF(AND(F41&gt;=Requirements!B5,G41&gt;=Requirements!B6,H41&gt;=Requirements!B7,I41&gt;=Requirements!B8,J41&gt;=Requirements!B9,K41&gt;=Requirements!B10,L41&gt;=Requirements!B11,M41&gt;=Requirements!B12),"Met","Short")))</f>
        <v>Short</v>
      </c>
      <c r="O41" s="18" t="str">
        <f aca="false">IF(OR(A41="",C41=""),"",IF(N41="Met","",IF(F41&lt;Requirements!B5,Requirements!A5&amp;" "&amp;TEXT(Requirements!B5-F41,"0.##")&amp;"; ","")&amp;IF(G41&lt;Requirements!B6,Requirements!A6&amp;" "&amp;TEXT(Requirements!B6-G41,"0.##")&amp;"; ","")&amp;IF(H41&lt;Requirements!B7,Requirements!A7&amp;" "&amp;TEXT(Requirements!B7-H41,"0.##")&amp;"; ","")&amp;IF(I41&lt;Requirements!B8,Requirements!A8&amp;" "&amp;TEXT(Requirements!B8-I41,"0.##")&amp;"; ","")&amp;IF(J41&lt;Requirements!B9,Requirements!A9&amp;" "&amp;TEXT(Requirements!B9-J41,"0.##")&amp;"; ","")&amp;IF(K41&lt;Requirements!B10,Requirements!A10&amp;" "&amp;TEXT(Requirements!B10-K41,"0.##")&amp;"; ","")&amp;IF(L41&lt;Requirements!B11,Requirements!A11&amp;" "&amp;TEXT(Requirements!B11-L41,"0.##")&amp;"; ","")&amp;IF(M41&lt;Requirements!B12,Requirements!A12&amp;" "&amp;TEXT(Requirements!B12-M41,"0.##")&amp;"; ","")))</f>
        <v>Airway 3.5; </v>
      </c>
    </row>
    <row r="42" customFormat="false" ht="15" hidden="false" customHeight="true" outlineLevel="0" collapsed="false">
      <c r="A42" s="11" t="s">
        <v>76</v>
      </c>
      <c r="B42" s="12" t="s">
        <v>77</v>
      </c>
      <c r="C42" s="13" t="n">
        <v>46752</v>
      </c>
      <c r="D42" s="14" t="n">
        <f aca="false">IF(C42="","",DATE(YEAR(C42)-1,1,1))</f>
        <v>46023</v>
      </c>
      <c r="E42" s="14" t="n">
        <f aca="false">IF(C42="","",DATE(YEAR(C42),12,31))</f>
        <v>46752</v>
      </c>
      <c r="F42" s="15" t="n">
        <f aca="false">IF(OR(A42="",C42=""),"",SUMPRODUCT(('Training Detail'!$A$5:$A$5000=A42)*('Training Detail'!$M$5:$M$5000=Standards!A2)*('Training Detail'!$G$5:$G$5000&gt;=D42)*('Training Detail'!$G$5:$G$5000&lt;=E42)*('Training Detail'!$P$5:$P$5000)))</f>
        <v>0</v>
      </c>
      <c r="G42" s="15" t="n">
        <f aca="false">IF(OR(A42="",C42=""),"",SUMPRODUCT(('Training Detail'!$A$5:$A$5000=A42)*('Training Detail'!$M$5:$M$5000=Standards!A3)*('Training Detail'!$G$5:$G$5000&gt;=D42)*('Training Detail'!$G$5:$G$5000&lt;=E42)*('Training Detail'!$P$5:$P$5000)))</f>
        <v>0</v>
      </c>
      <c r="H42" s="15" t="n">
        <f aca="false">IF(OR(A42="",C42=""),"",SUMPRODUCT(('Training Detail'!$A$5:$A$5000=A42)*('Training Detail'!$M$5:$M$5000=Standards!A4)*('Training Detail'!$G$5:$G$5000&gt;=D42)*('Training Detail'!$G$5:$G$5000&lt;=E42)*('Training Detail'!$P$5:$P$5000)))</f>
        <v>3</v>
      </c>
      <c r="I42" s="15" t="n">
        <f aca="false">IF(OR(A42="",C42=""),"",SUMPRODUCT(('Training Detail'!$A$5:$A$5000=A42)*('Training Detail'!$M$5:$M$5000=Standards!A5)*('Training Detail'!$G$5:$G$5000&gt;=D42)*('Training Detail'!$G$5:$G$5000&lt;=E42)*('Training Detail'!$P$5:$P$5000)))</f>
        <v>1</v>
      </c>
      <c r="J42" s="15" t="n">
        <f aca="false">IF(OR(A42="",C42=""),"",SUMPRODUCT(('Training Detail'!$A$5:$A$5000=A42)*('Training Detail'!$M$5:$M$5000=Standards!A6)*('Training Detail'!$G$5:$G$5000&gt;=D42)*('Training Detail'!$G$5:$G$5000&lt;=E42)*('Training Detail'!$P$5:$P$5000)))</f>
        <v>1</v>
      </c>
      <c r="K42" s="15" t="n">
        <f aca="false">IF(OR(A42="",C42=""),"",SUMPRODUCT(('Training Detail'!$A$5:$A$5000=A42)*('Training Detail'!$M$5:$M$5000=Standards!A7)*('Training Detail'!$G$5:$G$5000&gt;=D42)*('Training Detail'!$G$5:$G$5000&lt;=E42)*('Training Detail'!$P$5:$P$5000)))</f>
        <v>0</v>
      </c>
      <c r="L42" s="15" t="n">
        <f aca="false">IF(OR(A42="",C42=""),"",SUMPRODUCT(('Training Detail'!$A$5:$A$5000=A42)*('Training Detail'!$M$5:$M$5000=Standards!A8)*('Training Detail'!$G$5:$G$5000&gt;=D42)*('Training Detail'!$G$5:$G$5000&lt;=E42)*('Training Detail'!$P$5:$P$5000)))</f>
        <v>0</v>
      </c>
      <c r="M42" s="16" t="n">
        <f aca="false">IF(OR(A42="",C42=""),"",SUMPRODUCT(('Training Detail'!$A$5:$A$5000=A42)*('Training Detail'!$M$5:$M$5000=Standards!A9)*('Training Detail'!$G$5:$G$5000&gt;=D42)*('Training Detail'!$G$5:$G$5000&lt;=E42)*('Training Detail'!$P$5:$P$5000)))</f>
        <v>0</v>
      </c>
      <c r="N42" s="17" t="str">
        <f aca="false">IF(A42="","",IF(C42="","Set exp date",IF(AND(F42&gt;=Requirements!B5,G42&gt;=Requirements!B6,H42&gt;=Requirements!B7,I42&gt;=Requirements!B8,J42&gt;=Requirements!B9,K42&gt;=Requirements!B10,L42&gt;=Requirements!B11,M42&gt;=Requirements!B12),"Met","Short")))</f>
        <v>Short</v>
      </c>
      <c r="O42" s="18" t="str">
        <f aca="false">IF(OR(A42="",C42=""),"",IF(N42="Met","",IF(F42&lt;Requirements!B5,Requirements!A5&amp;" "&amp;TEXT(Requirements!B5-F42,"0.##")&amp;"; ","")&amp;IF(G42&lt;Requirements!B6,Requirements!A6&amp;" "&amp;TEXT(Requirements!B6-G42,"0.##")&amp;"; ","")&amp;IF(H42&lt;Requirements!B7,Requirements!A7&amp;" "&amp;TEXT(Requirements!B7-H42,"0.##")&amp;"; ","")&amp;IF(I42&lt;Requirements!B8,Requirements!A8&amp;" "&amp;TEXT(Requirements!B8-I42,"0.##")&amp;"; ","")&amp;IF(J42&lt;Requirements!B9,Requirements!A9&amp;" "&amp;TEXT(Requirements!B9-J42,"0.##")&amp;"; ","")&amp;IF(K42&lt;Requirements!B10,Requirements!A10&amp;" "&amp;TEXT(Requirements!B10-K42,"0.##")&amp;"; ","")&amp;IF(L42&lt;Requirements!B11,Requirements!A11&amp;" "&amp;TEXT(Requirements!B11-L42,"0.##")&amp;"; ","")&amp;IF(M42&lt;Requirements!B12,Requirements!A12&amp;" "&amp;TEXT(Requirements!B12-M42,"0.##")&amp;"; ","")))</f>
        <v>Airway 4; Cardiovascular 5; Medical 5; Operations 1; PAHT 1; SVAT 1; CPR/AED 1; </v>
      </c>
    </row>
    <row r="43" customFormat="false" ht="15" hidden="false" customHeight="true" outlineLevel="0" collapsed="false">
      <c r="A43" s="19" t="s">
        <v>78</v>
      </c>
      <c r="B43" s="20" t="s">
        <v>79</v>
      </c>
      <c r="C43" s="13" t="n">
        <v>46752</v>
      </c>
      <c r="D43" s="21" t="n">
        <f aca="false">IF(C43="","",DATE(YEAR(C43)-1,1,1))</f>
        <v>46023</v>
      </c>
      <c r="E43" s="21" t="n">
        <f aca="false">IF(C43="","",DATE(YEAR(C43),12,31))</f>
        <v>46752</v>
      </c>
      <c r="F43" s="15" t="n">
        <f aca="false">IF(OR(A43="",C43=""),"",SUMPRODUCT(('Training Detail'!$A$5:$A$5000=A43)*('Training Detail'!$M$5:$M$5000=Standards!A2)*('Training Detail'!$G$5:$G$5000&gt;=D43)*('Training Detail'!$G$5:$G$5000&lt;=E43)*('Training Detail'!$P$5:$P$5000)))</f>
        <v>0</v>
      </c>
      <c r="G43" s="15" t="n">
        <f aca="false">IF(OR(A43="",C43=""),"",SUMPRODUCT(('Training Detail'!$A$5:$A$5000=A43)*('Training Detail'!$M$5:$M$5000=Standards!A3)*('Training Detail'!$G$5:$G$5000&gt;=D43)*('Training Detail'!$G$5:$G$5000&lt;=E43)*('Training Detail'!$P$5:$P$5000)))</f>
        <v>0</v>
      </c>
      <c r="H43" s="15" t="n">
        <f aca="false">IF(OR(A43="",C43=""),"",SUMPRODUCT(('Training Detail'!$A$5:$A$5000=A43)*('Training Detail'!$M$5:$M$5000=Standards!A4)*('Training Detail'!$G$5:$G$5000&gt;=D43)*('Training Detail'!$G$5:$G$5000&lt;=E43)*('Training Detail'!$P$5:$P$5000)))</f>
        <v>2</v>
      </c>
      <c r="I43" s="15" t="n">
        <f aca="false">IF(OR(A43="",C43=""),"",SUMPRODUCT(('Training Detail'!$A$5:$A$5000=A43)*('Training Detail'!$M$5:$M$5000=Standards!A5)*('Training Detail'!$G$5:$G$5000&gt;=D43)*('Training Detail'!$G$5:$G$5000&lt;=E43)*('Training Detail'!$P$5:$P$5000)))</f>
        <v>1</v>
      </c>
      <c r="J43" s="15" t="n">
        <f aca="false">IF(OR(A43="",C43=""),"",SUMPRODUCT(('Training Detail'!$A$5:$A$5000=A43)*('Training Detail'!$M$5:$M$5000=Standards!A6)*('Training Detail'!$G$5:$G$5000&gt;=D43)*('Training Detail'!$G$5:$G$5000&lt;=E43)*('Training Detail'!$P$5:$P$5000)))</f>
        <v>0</v>
      </c>
      <c r="K43" s="15" t="n">
        <f aca="false">IF(OR(A43="",C43=""),"",SUMPRODUCT(('Training Detail'!$A$5:$A$5000=A43)*('Training Detail'!$M$5:$M$5000=Standards!A7)*('Training Detail'!$G$5:$G$5000&gt;=D43)*('Training Detail'!$G$5:$G$5000&lt;=E43)*('Training Detail'!$P$5:$P$5000)))</f>
        <v>0</v>
      </c>
      <c r="L43" s="15" t="n">
        <f aca="false">IF(OR(A43="",C43=""),"",SUMPRODUCT(('Training Detail'!$A$5:$A$5000=A43)*('Training Detail'!$M$5:$M$5000=Standards!A8)*('Training Detail'!$G$5:$G$5000&gt;=D43)*('Training Detail'!$G$5:$G$5000&lt;=E43)*('Training Detail'!$P$5:$P$5000)))</f>
        <v>0</v>
      </c>
      <c r="M43" s="16" t="n">
        <f aca="false">IF(OR(A43="",C43=""),"",SUMPRODUCT(('Training Detail'!$A$5:$A$5000=A43)*('Training Detail'!$M$5:$M$5000=Standards!A9)*('Training Detail'!$G$5:$G$5000&gt;=D43)*('Training Detail'!$G$5:$G$5000&lt;=E43)*('Training Detail'!$P$5:$P$5000)))</f>
        <v>0</v>
      </c>
      <c r="N43" s="17" t="str">
        <f aca="false">IF(A43="","",IF(C43="","Set exp date",IF(AND(F43&gt;=Requirements!B5,G43&gt;=Requirements!B6,H43&gt;=Requirements!B7,I43&gt;=Requirements!B8,J43&gt;=Requirements!B9,K43&gt;=Requirements!B10,L43&gt;=Requirements!B11,M43&gt;=Requirements!B12),"Met","Short")))</f>
        <v>Short</v>
      </c>
      <c r="O43" s="18" t="str">
        <f aca="false">IF(OR(A43="",C43=""),"",IF(N43="Met","",IF(F43&lt;Requirements!B5,Requirements!A5&amp;" "&amp;TEXT(Requirements!B5-F43,"0.##")&amp;"; ","")&amp;IF(G43&lt;Requirements!B6,Requirements!A6&amp;" "&amp;TEXT(Requirements!B6-G43,"0.##")&amp;"; ","")&amp;IF(H43&lt;Requirements!B7,Requirements!A7&amp;" "&amp;TEXT(Requirements!B7-H43,"0.##")&amp;"; ","")&amp;IF(I43&lt;Requirements!B8,Requirements!A8&amp;" "&amp;TEXT(Requirements!B8-I43,"0.##")&amp;"; ","")&amp;IF(J43&lt;Requirements!B9,Requirements!A9&amp;" "&amp;TEXT(Requirements!B9-J43,"0.##")&amp;"; ","")&amp;IF(K43&lt;Requirements!B10,Requirements!A10&amp;" "&amp;TEXT(Requirements!B10-K43,"0.##")&amp;"; ","")&amp;IF(L43&lt;Requirements!B11,Requirements!A11&amp;" "&amp;TEXT(Requirements!B11-L43,"0.##")&amp;"; ","")&amp;IF(M43&lt;Requirements!B12,Requirements!A12&amp;" "&amp;TEXT(Requirements!B12-M43,"0.##")&amp;"; ","")))</f>
        <v>Airway 4; Cardiovascular 5; Trauma 1; Medical 5; Operations 2; PAHT 1; SVAT 1; CPR/AED 1; </v>
      </c>
    </row>
    <row r="44" customFormat="false" ht="15" hidden="false" customHeight="true" outlineLevel="0" collapsed="false">
      <c r="A44" s="11" t="s">
        <v>80</v>
      </c>
      <c r="B44" s="12" t="s">
        <v>81</v>
      </c>
      <c r="C44" s="13" t="n">
        <v>46752</v>
      </c>
      <c r="D44" s="14" t="n">
        <f aca="false">IF(C44="","",DATE(YEAR(C44)-1,1,1))</f>
        <v>46023</v>
      </c>
      <c r="E44" s="14" t="n">
        <f aca="false">IF(C44="","",DATE(YEAR(C44),12,31))</f>
        <v>46752</v>
      </c>
      <c r="F44" s="15" t="n">
        <f aca="false">IF(OR(A44="",C44=""),"",SUMPRODUCT(('Training Detail'!$A$5:$A$5000=A44)*('Training Detail'!$M$5:$M$5000=Standards!A2)*('Training Detail'!$G$5:$G$5000&gt;=D44)*('Training Detail'!$G$5:$G$5000&lt;=E44)*('Training Detail'!$P$5:$P$5000)))</f>
        <v>0</v>
      </c>
      <c r="G44" s="15" t="n">
        <f aca="false">IF(OR(A44="",C44=""),"",SUMPRODUCT(('Training Detail'!$A$5:$A$5000=A44)*('Training Detail'!$M$5:$M$5000=Standards!A3)*('Training Detail'!$G$5:$G$5000&gt;=D44)*('Training Detail'!$G$5:$G$5000&lt;=E44)*('Training Detail'!$P$5:$P$5000)))</f>
        <v>0</v>
      </c>
      <c r="H44" s="15" t="n">
        <f aca="false">IF(OR(A44="",C44=""),"",SUMPRODUCT(('Training Detail'!$A$5:$A$5000=A44)*('Training Detail'!$M$5:$M$5000=Standards!A4)*('Training Detail'!$G$5:$G$5000&gt;=D44)*('Training Detail'!$G$5:$G$5000&lt;=E44)*('Training Detail'!$P$5:$P$5000)))</f>
        <v>2</v>
      </c>
      <c r="I44" s="15" t="n">
        <f aca="false">IF(OR(A44="",C44=""),"",SUMPRODUCT(('Training Detail'!$A$5:$A$5000=A44)*('Training Detail'!$M$5:$M$5000=Standards!A5)*('Training Detail'!$G$5:$G$5000&gt;=D44)*('Training Detail'!$G$5:$G$5000&lt;=E44)*('Training Detail'!$P$5:$P$5000)))</f>
        <v>3</v>
      </c>
      <c r="J44" s="15" t="n">
        <f aca="false">IF(OR(A44="",C44=""),"",SUMPRODUCT(('Training Detail'!$A$5:$A$5000=A44)*('Training Detail'!$M$5:$M$5000=Standards!A6)*('Training Detail'!$G$5:$G$5000&gt;=D44)*('Training Detail'!$G$5:$G$5000&lt;=E44)*('Training Detail'!$P$5:$P$5000)))</f>
        <v>1</v>
      </c>
      <c r="K44" s="15" t="n">
        <f aca="false">IF(OR(A44="",C44=""),"",SUMPRODUCT(('Training Detail'!$A$5:$A$5000=A44)*('Training Detail'!$M$5:$M$5000=Standards!A7)*('Training Detail'!$G$5:$G$5000&gt;=D44)*('Training Detail'!$G$5:$G$5000&lt;=E44)*('Training Detail'!$P$5:$P$5000)))</f>
        <v>0</v>
      </c>
      <c r="L44" s="15" t="n">
        <f aca="false">IF(OR(A44="",C44=""),"",SUMPRODUCT(('Training Detail'!$A$5:$A$5000=A44)*('Training Detail'!$M$5:$M$5000=Standards!A8)*('Training Detail'!$G$5:$G$5000&gt;=D44)*('Training Detail'!$G$5:$G$5000&lt;=E44)*('Training Detail'!$P$5:$P$5000)))</f>
        <v>0</v>
      </c>
      <c r="M44" s="16" t="n">
        <f aca="false">IF(OR(A44="",C44=""),"",SUMPRODUCT(('Training Detail'!$A$5:$A$5000=A44)*('Training Detail'!$M$5:$M$5000=Standards!A9)*('Training Detail'!$G$5:$G$5000&gt;=D44)*('Training Detail'!$G$5:$G$5000&lt;=E44)*('Training Detail'!$P$5:$P$5000)))</f>
        <v>0</v>
      </c>
      <c r="N44" s="17" t="str">
        <f aca="false">IF(A44="","",IF(C44="","Set exp date",IF(AND(F44&gt;=Requirements!B5,G44&gt;=Requirements!B6,H44&gt;=Requirements!B7,I44&gt;=Requirements!B8,J44&gt;=Requirements!B9,K44&gt;=Requirements!B10,L44&gt;=Requirements!B11,M44&gt;=Requirements!B12),"Met","Short")))</f>
        <v>Short</v>
      </c>
      <c r="O44" s="18" t="str">
        <f aca="false">IF(OR(A44="",C44=""),"",IF(N44="Met","",IF(F44&lt;Requirements!B5,Requirements!A5&amp;" "&amp;TEXT(Requirements!B5-F44,"0.##")&amp;"; ","")&amp;IF(G44&lt;Requirements!B6,Requirements!A6&amp;" "&amp;TEXT(Requirements!B6-G44,"0.##")&amp;"; ","")&amp;IF(H44&lt;Requirements!B7,Requirements!A7&amp;" "&amp;TEXT(Requirements!B7-H44,"0.##")&amp;"; ","")&amp;IF(I44&lt;Requirements!B8,Requirements!A8&amp;" "&amp;TEXT(Requirements!B8-I44,"0.##")&amp;"; ","")&amp;IF(J44&lt;Requirements!B9,Requirements!A9&amp;" "&amp;TEXT(Requirements!B9-J44,"0.##")&amp;"; ","")&amp;IF(K44&lt;Requirements!B10,Requirements!A10&amp;" "&amp;TEXT(Requirements!B10-K44,"0.##")&amp;"; ","")&amp;IF(L44&lt;Requirements!B11,Requirements!A11&amp;" "&amp;TEXT(Requirements!B11-L44,"0.##")&amp;"; ","")&amp;IF(M44&lt;Requirements!B12,Requirements!A12&amp;" "&amp;TEXT(Requirements!B12-M44,"0.##")&amp;"; ","")))</f>
        <v>Airway 4; Cardiovascular 5; Trauma 1; Medical 3; Operations 1; PAHT 1; SVAT 1; CPR/AED 1; </v>
      </c>
    </row>
    <row r="45" customFormat="false" ht="15" hidden="false" customHeight="true" outlineLevel="0" collapsed="false">
      <c r="A45" s="19" t="s">
        <v>82</v>
      </c>
      <c r="B45" s="20" t="s">
        <v>83</v>
      </c>
      <c r="C45" s="13" t="n">
        <v>46752</v>
      </c>
      <c r="D45" s="21" t="n">
        <f aca="false">IF(C45="","",DATE(YEAR(C45)-1,1,1))</f>
        <v>46023</v>
      </c>
      <c r="E45" s="21" t="n">
        <f aca="false">IF(C45="","",DATE(YEAR(C45),12,31))</f>
        <v>46752</v>
      </c>
      <c r="F45" s="15" t="n">
        <f aca="false">IF(OR(A45="",C45=""),"",SUMPRODUCT(('Training Detail'!$A$5:$A$5000=A45)*('Training Detail'!$M$5:$M$5000=Standards!A2)*('Training Detail'!$G$5:$G$5000&gt;=D45)*('Training Detail'!$G$5:$G$5000&lt;=E45)*('Training Detail'!$P$5:$P$5000)))</f>
        <v>1</v>
      </c>
      <c r="G45" s="15" t="n">
        <f aca="false">IF(OR(A45="",C45=""),"",SUMPRODUCT(('Training Detail'!$A$5:$A$5000=A45)*('Training Detail'!$M$5:$M$5000=Standards!A3)*('Training Detail'!$G$5:$G$5000&gt;=D45)*('Training Detail'!$G$5:$G$5000&lt;=E45)*('Training Detail'!$P$5:$P$5000)))</f>
        <v>1</v>
      </c>
      <c r="H45" s="15" t="n">
        <f aca="false">IF(OR(A45="",C45=""),"",SUMPRODUCT(('Training Detail'!$A$5:$A$5000=A45)*('Training Detail'!$M$5:$M$5000=Standards!A4)*('Training Detail'!$G$5:$G$5000&gt;=D45)*('Training Detail'!$G$5:$G$5000&lt;=E45)*('Training Detail'!$P$5:$P$5000)))</f>
        <v>3</v>
      </c>
      <c r="I45" s="15" t="n">
        <f aca="false">IF(OR(A45="",C45=""),"",SUMPRODUCT(('Training Detail'!$A$5:$A$5000=A45)*('Training Detail'!$M$5:$M$5000=Standards!A5)*('Training Detail'!$G$5:$G$5000&gt;=D45)*('Training Detail'!$G$5:$G$5000&lt;=E45)*('Training Detail'!$P$5:$P$5000)))</f>
        <v>3</v>
      </c>
      <c r="J45" s="15" t="n">
        <f aca="false">IF(OR(A45="",C45=""),"",SUMPRODUCT(('Training Detail'!$A$5:$A$5000=A45)*('Training Detail'!$M$5:$M$5000=Standards!A6)*('Training Detail'!$G$5:$G$5000&gt;=D45)*('Training Detail'!$G$5:$G$5000&lt;=E45)*('Training Detail'!$P$5:$P$5000)))</f>
        <v>1</v>
      </c>
      <c r="K45" s="15" t="n">
        <f aca="false">IF(OR(A45="",C45=""),"",SUMPRODUCT(('Training Detail'!$A$5:$A$5000=A45)*('Training Detail'!$M$5:$M$5000=Standards!A7)*('Training Detail'!$G$5:$G$5000&gt;=D45)*('Training Detail'!$G$5:$G$5000&lt;=E45)*('Training Detail'!$P$5:$P$5000)))</f>
        <v>0</v>
      </c>
      <c r="L45" s="15" t="n">
        <f aca="false">IF(OR(A45="",C45=""),"",SUMPRODUCT(('Training Detail'!$A$5:$A$5000=A45)*('Training Detail'!$M$5:$M$5000=Standards!A8)*('Training Detail'!$G$5:$G$5000&gt;=D45)*('Training Detail'!$G$5:$G$5000&lt;=E45)*('Training Detail'!$P$5:$P$5000)))</f>
        <v>0</v>
      </c>
      <c r="M45" s="16" t="n">
        <f aca="false">IF(OR(A45="",C45=""),"",SUMPRODUCT(('Training Detail'!$A$5:$A$5000=A45)*('Training Detail'!$M$5:$M$5000=Standards!A9)*('Training Detail'!$G$5:$G$5000&gt;=D45)*('Training Detail'!$G$5:$G$5000&lt;=E45)*('Training Detail'!$P$5:$P$5000)))</f>
        <v>0</v>
      </c>
      <c r="N45" s="17" t="str">
        <f aca="false">IF(A45="","",IF(C45="","Set exp date",IF(AND(F45&gt;=Requirements!B5,G45&gt;=Requirements!B6,H45&gt;=Requirements!B7,I45&gt;=Requirements!B8,J45&gt;=Requirements!B9,K45&gt;=Requirements!B10,L45&gt;=Requirements!B11,M45&gt;=Requirements!B12),"Met","Short")))</f>
        <v>Short</v>
      </c>
      <c r="O45" s="18" t="str">
        <f aca="false">IF(OR(A45="",C45=""),"",IF(N45="Met","",IF(F45&lt;Requirements!B5,Requirements!A5&amp;" "&amp;TEXT(Requirements!B5-F45,"0.##")&amp;"; ","")&amp;IF(G45&lt;Requirements!B6,Requirements!A6&amp;" "&amp;TEXT(Requirements!B6-G45,"0.##")&amp;"; ","")&amp;IF(H45&lt;Requirements!B7,Requirements!A7&amp;" "&amp;TEXT(Requirements!B7-H45,"0.##")&amp;"; ","")&amp;IF(I45&lt;Requirements!B8,Requirements!A8&amp;" "&amp;TEXT(Requirements!B8-I45,"0.##")&amp;"; ","")&amp;IF(J45&lt;Requirements!B9,Requirements!A9&amp;" "&amp;TEXT(Requirements!B9-J45,"0.##")&amp;"; ","")&amp;IF(K45&lt;Requirements!B10,Requirements!A10&amp;" "&amp;TEXT(Requirements!B10-K45,"0.##")&amp;"; ","")&amp;IF(L45&lt;Requirements!B11,Requirements!A11&amp;" "&amp;TEXT(Requirements!B11-L45,"0.##")&amp;"; ","")&amp;IF(M45&lt;Requirements!B12,Requirements!A12&amp;" "&amp;TEXT(Requirements!B12-M45,"0.##")&amp;"; ","")))</f>
        <v>Airway 3; Cardiovascular 4; Medical 3; Operations 1; PAHT 1; SVAT 1; CPR/AED 1; </v>
      </c>
    </row>
    <row r="46" customFormat="false" ht="15" hidden="false" customHeight="true" outlineLevel="0" collapsed="false">
      <c r="A46" s="11" t="s">
        <v>84</v>
      </c>
      <c r="B46" s="12"/>
      <c r="C46" s="13"/>
      <c r="D46" s="14" t="str">
        <f aca="false">IF(C46="","",DATE(YEAR(C46)-1,1,1))</f>
        <v/>
      </c>
      <c r="E46" s="14" t="str">
        <f aca="false">IF(C46="","",DATE(YEAR(C46),12,31))</f>
        <v/>
      </c>
      <c r="F46" s="15" t="str">
        <f aca="false">IF(OR(A46="",C46=""),"",SUMPRODUCT(('Training Detail'!$A$5:$A$5000=A46)*('Training Detail'!$M$5:$M$5000=Standards!A2)*('Training Detail'!$G$5:$G$5000&gt;=D46)*('Training Detail'!$G$5:$G$5000&lt;=E46)*('Training Detail'!$P$5:$P$5000)))</f>
        <v/>
      </c>
      <c r="G46" s="15" t="str">
        <f aca="false">IF(OR(A46="",C46=""),"",SUMPRODUCT(('Training Detail'!$A$5:$A$5000=A46)*('Training Detail'!$M$5:$M$5000=Standards!A3)*('Training Detail'!$G$5:$G$5000&gt;=D46)*('Training Detail'!$G$5:$G$5000&lt;=E46)*('Training Detail'!$P$5:$P$5000)))</f>
        <v/>
      </c>
      <c r="H46" s="15" t="str">
        <f aca="false">IF(OR(A46="",C46=""),"",SUMPRODUCT(('Training Detail'!$A$5:$A$5000=A46)*('Training Detail'!$M$5:$M$5000=Standards!A4)*('Training Detail'!$G$5:$G$5000&gt;=D46)*('Training Detail'!$G$5:$G$5000&lt;=E46)*('Training Detail'!$P$5:$P$5000)))</f>
        <v/>
      </c>
      <c r="I46" s="15" t="str">
        <f aca="false">IF(OR(A46="",C46=""),"",SUMPRODUCT(('Training Detail'!$A$5:$A$5000=A46)*('Training Detail'!$M$5:$M$5000=Standards!A5)*('Training Detail'!$G$5:$G$5000&gt;=D46)*('Training Detail'!$G$5:$G$5000&lt;=E46)*('Training Detail'!$P$5:$P$5000)))</f>
        <v/>
      </c>
      <c r="J46" s="15" t="str">
        <f aca="false">IF(OR(A46="",C46=""),"",SUMPRODUCT(('Training Detail'!$A$5:$A$5000=A46)*('Training Detail'!$M$5:$M$5000=Standards!A6)*('Training Detail'!$G$5:$G$5000&gt;=D46)*('Training Detail'!$G$5:$G$5000&lt;=E46)*('Training Detail'!$P$5:$P$5000)))</f>
        <v/>
      </c>
      <c r="K46" s="15" t="str">
        <f aca="false">IF(OR(A46="",C46=""),"",SUMPRODUCT(('Training Detail'!$A$5:$A$5000=A46)*('Training Detail'!$M$5:$M$5000=Standards!A7)*('Training Detail'!$G$5:$G$5000&gt;=D46)*('Training Detail'!$G$5:$G$5000&lt;=E46)*('Training Detail'!$P$5:$P$5000)))</f>
        <v/>
      </c>
      <c r="L46" s="15" t="str">
        <f aca="false">IF(OR(A46="",C46=""),"",SUMPRODUCT(('Training Detail'!$A$5:$A$5000=A46)*('Training Detail'!$M$5:$M$5000=Standards!A8)*('Training Detail'!$G$5:$G$5000&gt;=D46)*('Training Detail'!$G$5:$G$5000&lt;=E46)*('Training Detail'!$P$5:$P$5000)))</f>
        <v/>
      </c>
      <c r="M46" s="16" t="str">
        <f aca="false">IF(OR(A46="",C46=""),"",SUMPRODUCT(('Training Detail'!$A$5:$A$5000=A46)*('Training Detail'!$M$5:$M$5000=Standards!A9)*('Training Detail'!$G$5:$G$5000&gt;=D46)*('Training Detail'!$G$5:$G$5000&lt;=E46)*('Training Detail'!$P$5:$P$5000)))</f>
        <v/>
      </c>
      <c r="N46" s="17" t="str">
        <f aca="false">IF(A46="","",IF(C46="","Set exp date",IF(AND(F46&gt;=Requirements!B5,G46&gt;=Requirements!B6,H46&gt;=Requirements!B7,I46&gt;=Requirements!B8,J46&gt;=Requirements!B9,K46&gt;=Requirements!B10,L46&gt;=Requirements!B11,M46&gt;=Requirements!B12),"Met","Short")))</f>
        <v>Set exp date</v>
      </c>
      <c r="O46" s="18" t="str">
        <f aca="false">IF(OR(A46="",C46=""),"",IF(N46="Met","",IF(F46&lt;Requirements!B5,Requirements!A5&amp;" "&amp;TEXT(Requirements!B5-F46,"0.##")&amp;"; ","")&amp;IF(G46&lt;Requirements!B6,Requirements!A6&amp;" "&amp;TEXT(Requirements!B6-G46,"0.##")&amp;"; ","")&amp;IF(H46&lt;Requirements!B7,Requirements!A7&amp;" "&amp;TEXT(Requirements!B7-H46,"0.##")&amp;"; ","")&amp;IF(I46&lt;Requirements!B8,Requirements!A8&amp;" "&amp;TEXT(Requirements!B8-I46,"0.##")&amp;"; ","")&amp;IF(J46&lt;Requirements!B9,Requirements!A9&amp;" "&amp;TEXT(Requirements!B9-J46,"0.##")&amp;"; ","")&amp;IF(K46&lt;Requirements!B10,Requirements!A10&amp;" "&amp;TEXT(Requirements!B10-K46,"0.##")&amp;"; ","")&amp;IF(L46&lt;Requirements!B11,Requirements!A11&amp;" "&amp;TEXT(Requirements!B11-L46,"0.##")&amp;"; ","")&amp;IF(M46&lt;Requirements!B12,Requirements!A12&amp;" "&amp;TEXT(Requirements!B12-M46,"0.##")&amp;"; ","")))</f>
        <v/>
      </c>
    </row>
    <row r="47" customFormat="false" ht="15" hidden="false" customHeight="true" outlineLevel="0" collapsed="false">
      <c r="A47" s="19" t="s">
        <v>85</v>
      </c>
      <c r="B47" s="20"/>
      <c r="C47" s="13"/>
      <c r="D47" s="21" t="str">
        <f aca="false">IF(C47="","",DATE(YEAR(C47)-1,1,1))</f>
        <v/>
      </c>
      <c r="E47" s="21" t="str">
        <f aca="false">IF(C47="","",DATE(YEAR(C47),12,31))</f>
        <v/>
      </c>
      <c r="F47" s="15" t="str">
        <f aca="false">IF(OR(A47="",C47=""),"",SUMPRODUCT(('Training Detail'!$A$5:$A$5000=A47)*('Training Detail'!$M$5:$M$5000=Standards!A2)*('Training Detail'!$G$5:$G$5000&gt;=D47)*('Training Detail'!$G$5:$G$5000&lt;=E47)*('Training Detail'!$P$5:$P$5000)))</f>
        <v/>
      </c>
      <c r="G47" s="15" t="str">
        <f aca="false">IF(OR(A47="",C47=""),"",SUMPRODUCT(('Training Detail'!$A$5:$A$5000=A47)*('Training Detail'!$M$5:$M$5000=Standards!A3)*('Training Detail'!$G$5:$G$5000&gt;=D47)*('Training Detail'!$G$5:$G$5000&lt;=E47)*('Training Detail'!$P$5:$P$5000)))</f>
        <v/>
      </c>
      <c r="H47" s="15" t="str">
        <f aca="false">IF(OR(A47="",C47=""),"",SUMPRODUCT(('Training Detail'!$A$5:$A$5000=A47)*('Training Detail'!$M$5:$M$5000=Standards!A4)*('Training Detail'!$G$5:$G$5000&gt;=D47)*('Training Detail'!$G$5:$G$5000&lt;=E47)*('Training Detail'!$P$5:$P$5000)))</f>
        <v/>
      </c>
      <c r="I47" s="15" t="str">
        <f aca="false">IF(OR(A47="",C47=""),"",SUMPRODUCT(('Training Detail'!$A$5:$A$5000=A47)*('Training Detail'!$M$5:$M$5000=Standards!A5)*('Training Detail'!$G$5:$G$5000&gt;=D47)*('Training Detail'!$G$5:$G$5000&lt;=E47)*('Training Detail'!$P$5:$P$5000)))</f>
        <v/>
      </c>
      <c r="J47" s="15" t="str">
        <f aca="false">IF(OR(A47="",C47=""),"",SUMPRODUCT(('Training Detail'!$A$5:$A$5000=A47)*('Training Detail'!$M$5:$M$5000=Standards!A6)*('Training Detail'!$G$5:$G$5000&gt;=D47)*('Training Detail'!$G$5:$G$5000&lt;=E47)*('Training Detail'!$P$5:$P$5000)))</f>
        <v/>
      </c>
      <c r="K47" s="15" t="str">
        <f aca="false">IF(OR(A47="",C47=""),"",SUMPRODUCT(('Training Detail'!$A$5:$A$5000=A47)*('Training Detail'!$M$5:$M$5000=Standards!A7)*('Training Detail'!$G$5:$G$5000&gt;=D47)*('Training Detail'!$G$5:$G$5000&lt;=E47)*('Training Detail'!$P$5:$P$5000)))</f>
        <v/>
      </c>
      <c r="L47" s="15" t="str">
        <f aca="false">IF(OR(A47="",C47=""),"",SUMPRODUCT(('Training Detail'!$A$5:$A$5000=A47)*('Training Detail'!$M$5:$M$5000=Standards!A8)*('Training Detail'!$G$5:$G$5000&gt;=D47)*('Training Detail'!$G$5:$G$5000&lt;=E47)*('Training Detail'!$P$5:$P$5000)))</f>
        <v/>
      </c>
      <c r="M47" s="16" t="str">
        <f aca="false">IF(OR(A47="",C47=""),"",SUMPRODUCT(('Training Detail'!$A$5:$A$5000=A47)*('Training Detail'!$M$5:$M$5000=Standards!A9)*('Training Detail'!$G$5:$G$5000&gt;=D47)*('Training Detail'!$G$5:$G$5000&lt;=E47)*('Training Detail'!$P$5:$P$5000)))</f>
        <v/>
      </c>
      <c r="N47" s="17" t="str">
        <f aca="false">IF(A47="","",IF(C47="","Set exp date",IF(AND(F47&gt;=Requirements!B5,G47&gt;=Requirements!B6,H47&gt;=Requirements!B7,I47&gt;=Requirements!B8,J47&gt;=Requirements!B9,K47&gt;=Requirements!B10,L47&gt;=Requirements!B11,M47&gt;=Requirements!B12),"Met","Short")))</f>
        <v>Set exp date</v>
      </c>
      <c r="O47" s="18" t="str">
        <f aca="false">IF(OR(A47="",C47=""),"",IF(N47="Met","",IF(F47&lt;Requirements!B5,Requirements!A5&amp;" "&amp;TEXT(Requirements!B5-F47,"0.##")&amp;"; ","")&amp;IF(G47&lt;Requirements!B6,Requirements!A6&amp;" "&amp;TEXT(Requirements!B6-G47,"0.##")&amp;"; ","")&amp;IF(H47&lt;Requirements!B7,Requirements!A7&amp;" "&amp;TEXT(Requirements!B7-H47,"0.##")&amp;"; ","")&amp;IF(I47&lt;Requirements!B8,Requirements!A8&amp;" "&amp;TEXT(Requirements!B8-I47,"0.##")&amp;"; ","")&amp;IF(J47&lt;Requirements!B9,Requirements!A9&amp;" "&amp;TEXT(Requirements!B9-J47,"0.##")&amp;"; ","")&amp;IF(K47&lt;Requirements!B10,Requirements!A10&amp;" "&amp;TEXT(Requirements!B10-K47,"0.##")&amp;"; ","")&amp;IF(L47&lt;Requirements!B11,Requirements!A11&amp;" "&amp;TEXT(Requirements!B11-L47,"0.##")&amp;"; ","")&amp;IF(M47&lt;Requirements!B12,Requirements!A12&amp;" "&amp;TEXT(Requirements!B12-M47,"0.##")&amp;"; ","")))</f>
        <v/>
      </c>
    </row>
    <row r="48" customFormat="false" ht="15" hidden="false" customHeight="true" outlineLevel="0" collapsed="false">
      <c r="A48" s="11" t="s">
        <v>86</v>
      </c>
      <c r="B48" s="12" t="s">
        <v>87</v>
      </c>
      <c r="C48" s="13" t="n">
        <v>46387</v>
      </c>
      <c r="D48" s="14" t="n">
        <f aca="false">IF(C48="","",DATE(YEAR(C48)-1,1,1))</f>
        <v>45658</v>
      </c>
      <c r="E48" s="14" t="n">
        <f aca="false">IF(C48="","",DATE(YEAR(C48),12,31))</f>
        <v>46387</v>
      </c>
      <c r="F48" s="15" t="n">
        <f aca="false">IF(OR(A48="",C48=""),"",SUMPRODUCT(('Training Detail'!$A$5:$A$5000=A48)*('Training Detail'!$M$5:$M$5000=Standards!A2)*('Training Detail'!$G$5:$G$5000&gt;=D48)*('Training Detail'!$G$5:$G$5000&lt;=E48)*('Training Detail'!$P$5:$P$5000)))</f>
        <v>5.5</v>
      </c>
      <c r="G48" s="15" t="n">
        <f aca="false">IF(OR(A48="",C48=""),"",SUMPRODUCT(('Training Detail'!$A$5:$A$5000=A48)*('Training Detail'!$M$5:$M$5000=Standards!A3)*('Training Detail'!$G$5:$G$5000&gt;=D48)*('Training Detail'!$G$5:$G$5000&lt;=E48)*('Training Detail'!$P$5:$P$5000)))</f>
        <v>6</v>
      </c>
      <c r="H48" s="15" t="n">
        <f aca="false">IF(OR(A48="",C48=""),"",SUMPRODUCT(('Training Detail'!$A$5:$A$5000=A48)*('Training Detail'!$M$5:$M$5000=Standards!A4)*('Training Detail'!$G$5:$G$5000&gt;=D48)*('Training Detail'!$G$5:$G$5000&lt;=E48)*('Training Detail'!$P$5:$P$5000)))</f>
        <v>1</v>
      </c>
      <c r="I48" s="15" t="n">
        <f aca="false">IF(OR(A48="",C48=""),"",SUMPRODUCT(('Training Detail'!$A$5:$A$5000=A48)*('Training Detail'!$M$5:$M$5000=Standards!A5)*('Training Detail'!$G$5:$G$5000&gt;=D48)*('Training Detail'!$G$5:$G$5000&lt;=E48)*('Training Detail'!$P$5:$P$5000)))</f>
        <v>7</v>
      </c>
      <c r="J48" s="15" t="n">
        <f aca="false">IF(OR(A48="",C48=""),"",SUMPRODUCT(('Training Detail'!$A$5:$A$5000=A48)*('Training Detail'!$M$5:$M$5000=Standards!A6)*('Training Detail'!$G$5:$G$5000&gt;=D48)*('Training Detail'!$G$5:$G$5000&lt;=E48)*('Training Detail'!$P$5:$P$5000)))</f>
        <v>5</v>
      </c>
      <c r="K48" s="15" t="n">
        <f aca="false">IF(OR(A48="",C48=""),"",SUMPRODUCT(('Training Detail'!$A$5:$A$5000=A48)*('Training Detail'!$M$5:$M$5000=Standards!A7)*('Training Detail'!$G$5:$G$5000&gt;=D48)*('Training Detail'!$G$5:$G$5000&lt;=E48)*('Training Detail'!$P$5:$P$5000)))</f>
        <v>1</v>
      </c>
      <c r="L48" s="15" t="n">
        <f aca="false">IF(OR(A48="",C48=""),"",SUMPRODUCT(('Training Detail'!$A$5:$A$5000=A48)*('Training Detail'!$M$5:$M$5000=Standards!A8)*('Training Detail'!$G$5:$G$5000&gt;=D48)*('Training Detail'!$G$5:$G$5000&lt;=E48)*('Training Detail'!$P$5:$P$5000)))</f>
        <v>0</v>
      </c>
      <c r="M48" s="16" t="n">
        <f aca="false">IF(OR(A48="",C48=""),"",SUMPRODUCT(('Training Detail'!$A$5:$A$5000=A48)*('Training Detail'!$M$5:$M$5000=Standards!A9)*('Training Detail'!$G$5:$G$5000&gt;=D48)*('Training Detail'!$G$5:$G$5000&lt;=E48)*('Training Detail'!$P$5:$P$5000)))</f>
        <v>0</v>
      </c>
      <c r="N48" s="17" t="str">
        <f aca="false">IF(A48="","",IF(C48="","Set exp date",IF(AND(F48&gt;=Requirements!B5,G48&gt;=Requirements!B6,H48&gt;=Requirements!B7,I48&gt;=Requirements!B8,J48&gt;=Requirements!B9,K48&gt;=Requirements!B10,L48&gt;=Requirements!B11,M48&gt;=Requirements!B12),"Met","Short")))</f>
        <v>Short</v>
      </c>
      <c r="O48" s="18" t="str">
        <f aca="false">IF(OR(A48="",C48=""),"",IF(N48="Met","",IF(F48&lt;Requirements!B5,Requirements!A5&amp;" "&amp;TEXT(Requirements!B5-F48,"0.##")&amp;"; ","")&amp;IF(G48&lt;Requirements!B6,Requirements!A6&amp;" "&amp;TEXT(Requirements!B6-G48,"0.##")&amp;"; ","")&amp;IF(H48&lt;Requirements!B7,Requirements!A7&amp;" "&amp;TEXT(Requirements!B7-H48,"0.##")&amp;"; ","")&amp;IF(I48&lt;Requirements!B8,Requirements!A8&amp;" "&amp;TEXT(Requirements!B8-I48,"0.##")&amp;"; ","")&amp;IF(J48&lt;Requirements!B9,Requirements!A9&amp;" "&amp;TEXT(Requirements!B9-J48,"0.##")&amp;"; ","")&amp;IF(K48&lt;Requirements!B10,Requirements!A10&amp;" "&amp;TEXT(Requirements!B10-K48,"0.##")&amp;"; ","")&amp;IF(L48&lt;Requirements!B11,Requirements!A11&amp;" "&amp;TEXT(Requirements!B11-L48,"0.##")&amp;"; ","")&amp;IF(M48&lt;Requirements!B12,Requirements!A12&amp;" "&amp;TEXT(Requirements!B12-M48,"0.##")&amp;"; ","")))</f>
        <v>Trauma 2; SVAT 1; CPR/AED 1; </v>
      </c>
    </row>
    <row r="49" customFormat="false" ht="15" hidden="false" customHeight="true" outlineLevel="0" collapsed="false">
      <c r="A49" s="19" t="s">
        <v>88</v>
      </c>
      <c r="B49" s="20" t="s">
        <v>89</v>
      </c>
      <c r="C49" s="13" t="n">
        <v>46752</v>
      </c>
      <c r="D49" s="21" t="n">
        <f aca="false">IF(C49="","",DATE(YEAR(C49)-1,1,1))</f>
        <v>46023</v>
      </c>
      <c r="E49" s="21" t="n">
        <f aca="false">IF(C49="","",DATE(YEAR(C49),12,31))</f>
        <v>46752</v>
      </c>
      <c r="F49" s="15" t="n">
        <f aca="false">IF(OR(A49="",C49=""),"",SUMPRODUCT(('Training Detail'!$A$5:$A$5000=A49)*('Training Detail'!$M$5:$M$5000=Standards!A2)*('Training Detail'!$G$5:$G$5000&gt;=D49)*('Training Detail'!$G$5:$G$5000&lt;=E49)*('Training Detail'!$P$5:$P$5000)))</f>
        <v>1</v>
      </c>
      <c r="G49" s="15" t="n">
        <f aca="false">IF(OR(A49="",C49=""),"",SUMPRODUCT(('Training Detail'!$A$5:$A$5000=A49)*('Training Detail'!$M$5:$M$5000=Standards!A3)*('Training Detail'!$G$5:$G$5000&gt;=D49)*('Training Detail'!$G$5:$G$5000&lt;=E49)*('Training Detail'!$P$5:$P$5000)))</f>
        <v>1</v>
      </c>
      <c r="H49" s="15" t="n">
        <f aca="false">IF(OR(A49="",C49=""),"",SUMPRODUCT(('Training Detail'!$A$5:$A$5000=A49)*('Training Detail'!$M$5:$M$5000=Standards!A4)*('Training Detail'!$G$5:$G$5000&gt;=D49)*('Training Detail'!$G$5:$G$5000&lt;=E49)*('Training Detail'!$P$5:$P$5000)))</f>
        <v>3</v>
      </c>
      <c r="I49" s="15" t="n">
        <f aca="false">IF(OR(A49="",C49=""),"",SUMPRODUCT(('Training Detail'!$A$5:$A$5000=A49)*('Training Detail'!$M$5:$M$5000=Standards!A5)*('Training Detail'!$G$5:$G$5000&gt;=D49)*('Training Detail'!$G$5:$G$5000&lt;=E49)*('Training Detail'!$P$5:$P$5000)))</f>
        <v>3</v>
      </c>
      <c r="J49" s="15" t="n">
        <f aca="false">IF(OR(A49="",C49=""),"",SUMPRODUCT(('Training Detail'!$A$5:$A$5000=A49)*('Training Detail'!$M$5:$M$5000=Standards!A6)*('Training Detail'!$G$5:$G$5000&gt;=D49)*('Training Detail'!$G$5:$G$5000&lt;=E49)*('Training Detail'!$P$5:$P$5000)))</f>
        <v>1</v>
      </c>
      <c r="K49" s="15" t="n">
        <f aca="false">IF(OR(A49="",C49=""),"",SUMPRODUCT(('Training Detail'!$A$5:$A$5000=A49)*('Training Detail'!$M$5:$M$5000=Standards!A7)*('Training Detail'!$G$5:$G$5000&gt;=D49)*('Training Detail'!$G$5:$G$5000&lt;=E49)*('Training Detail'!$P$5:$P$5000)))</f>
        <v>0</v>
      </c>
      <c r="L49" s="15" t="n">
        <f aca="false">IF(OR(A49="",C49=""),"",SUMPRODUCT(('Training Detail'!$A$5:$A$5000=A49)*('Training Detail'!$M$5:$M$5000=Standards!A8)*('Training Detail'!$G$5:$G$5000&gt;=D49)*('Training Detail'!$G$5:$G$5000&lt;=E49)*('Training Detail'!$P$5:$P$5000)))</f>
        <v>0</v>
      </c>
      <c r="M49" s="16" t="n">
        <f aca="false">IF(OR(A49="",C49=""),"",SUMPRODUCT(('Training Detail'!$A$5:$A$5000=A49)*('Training Detail'!$M$5:$M$5000=Standards!A9)*('Training Detail'!$G$5:$G$5000&gt;=D49)*('Training Detail'!$G$5:$G$5000&lt;=E49)*('Training Detail'!$P$5:$P$5000)))</f>
        <v>0</v>
      </c>
      <c r="N49" s="17" t="str">
        <f aca="false">IF(A49="","",IF(C49="","Set exp date",IF(AND(F49&gt;=Requirements!B5,G49&gt;=Requirements!B6,H49&gt;=Requirements!B7,I49&gt;=Requirements!B8,J49&gt;=Requirements!B9,K49&gt;=Requirements!B10,L49&gt;=Requirements!B11,M49&gt;=Requirements!B12),"Met","Short")))</f>
        <v>Short</v>
      </c>
      <c r="O49" s="18" t="str">
        <f aca="false">IF(OR(A49="",C49=""),"",IF(N49="Met","",IF(F49&lt;Requirements!B5,Requirements!A5&amp;" "&amp;TEXT(Requirements!B5-F49,"0.##")&amp;"; ","")&amp;IF(G49&lt;Requirements!B6,Requirements!A6&amp;" "&amp;TEXT(Requirements!B6-G49,"0.##")&amp;"; ","")&amp;IF(H49&lt;Requirements!B7,Requirements!A7&amp;" "&amp;TEXT(Requirements!B7-H49,"0.##")&amp;"; ","")&amp;IF(I49&lt;Requirements!B8,Requirements!A8&amp;" "&amp;TEXT(Requirements!B8-I49,"0.##")&amp;"; ","")&amp;IF(J49&lt;Requirements!B9,Requirements!A9&amp;" "&amp;TEXT(Requirements!B9-J49,"0.##")&amp;"; ","")&amp;IF(K49&lt;Requirements!B10,Requirements!A10&amp;" "&amp;TEXT(Requirements!B10-K49,"0.##")&amp;"; ","")&amp;IF(L49&lt;Requirements!B11,Requirements!A11&amp;" "&amp;TEXT(Requirements!B11-L49,"0.##")&amp;"; ","")&amp;IF(M49&lt;Requirements!B12,Requirements!A12&amp;" "&amp;TEXT(Requirements!B12-M49,"0.##")&amp;"; ","")))</f>
        <v>Airway 3; Cardiovascular 4; Medical 3; Operations 1; PAHT 1; SVAT 1; CPR/AED 1; </v>
      </c>
    </row>
    <row r="50" customFormat="false" ht="15" hidden="false" customHeight="true" outlineLevel="0" collapsed="false">
      <c r="A50" s="11" t="s">
        <v>90</v>
      </c>
      <c r="B50" s="12" t="s">
        <v>91</v>
      </c>
      <c r="C50" s="13" t="n">
        <v>46387</v>
      </c>
      <c r="D50" s="14" t="n">
        <f aca="false">IF(C50="","",DATE(YEAR(C50)-1,1,1))</f>
        <v>45658</v>
      </c>
      <c r="E50" s="14" t="n">
        <f aca="false">IF(C50="","",DATE(YEAR(C50),12,31))</f>
        <v>46387</v>
      </c>
      <c r="F50" s="15" t="n">
        <f aca="false">IF(OR(A50="",C50=""),"",SUMPRODUCT(('Training Detail'!$A$5:$A$5000=A50)*('Training Detail'!$M$5:$M$5000=Standards!A2)*('Training Detail'!$G$5:$G$5000&gt;=D50)*('Training Detail'!$G$5:$G$5000&lt;=E50)*('Training Detail'!$P$5:$P$5000)))</f>
        <v>0</v>
      </c>
      <c r="G50" s="15" t="n">
        <f aca="false">IF(OR(A50="",C50=""),"",SUMPRODUCT(('Training Detail'!$A$5:$A$5000=A50)*('Training Detail'!$M$5:$M$5000=Standards!A3)*('Training Detail'!$G$5:$G$5000&gt;=D50)*('Training Detail'!$G$5:$G$5000&lt;=E50)*('Training Detail'!$P$5:$P$5000)))</f>
        <v>0</v>
      </c>
      <c r="H50" s="15" t="n">
        <f aca="false">IF(OR(A50="",C50=""),"",SUMPRODUCT(('Training Detail'!$A$5:$A$5000=A50)*('Training Detail'!$M$5:$M$5000=Standards!A4)*('Training Detail'!$G$5:$G$5000&gt;=D50)*('Training Detail'!$G$5:$G$5000&lt;=E50)*('Training Detail'!$P$5:$P$5000)))</f>
        <v>6</v>
      </c>
      <c r="I50" s="15" t="n">
        <f aca="false">IF(OR(A50="",C50=""),"",SUMPRODUCT(('Training Detail'!$A$5:$A$5000=A50)*('Training Detail'!$M$5:$M$5000=Standards!A5)*('Training Detail'!$G$5:$G$5000&gt;=D50)*('Training Detail'!$G$5:$G$5000&lt;=E50)*('Training Detail'!$P$5:$P$5000)))</f>
        <v>1</v>
      </c>
      <c r="J50" s="15" t="n">
        <f aca="false">IF(OR(A50="",C50=""),"",SUMPRODUCT(('Training Detail'!$A$5:$A$5000=A50)*('Training Detail'!$M$5:$M$5000=Standards!A6)*('Training Detail'!$G$5:$G$5000&gt;=D50)*('Training Detail'!$G$5:$G$5000&lt;=E50)*('Training Detail'!$P$5:$P$5000)))</f>
        <v>5</v>
      </c>
      <c r="K50" s="15" t="n">
        <f aca="false">IF(OR(A50="",C50=""),"",SUMPRODUCT(('Training Detail'!$A$5:$A$5000=A50)*('Training Detail'!$M$5:$M$5000=Standards!A7)*('Training Detail'!$G$5:$G$5000&gt;=D50)*('Training Detail'!$G$5:$G$5000&lt;=E50)*('Training Detail'!$P$5:$P$5000)))</f>
        <v>0</v>
      </c>
      <c r="L50" s="15" t="n">
        <f aca="false">IF(OR(A50="",C50=""),"",SUMPRODUCT(('Training Detail'!$A$5:$A$5000=A50)*('Training Detail'!$M$5:$M$5000=Standards!A8)*('Training Detail'!$G$5:$G$5000&gt;=D50)*('Training Detail'!$G$5:$G$5000&lt;=E50)*('Training Detail'!$P$5:$P$5000)))</f>
        <v>0</v>
      </c>
      <c r="M50" s="16" t="n">
        <f aca="false">IF(OR(A50="",C50=""),"",SUMPRODUCT(('Training Detail'!$A$5:$A$5000=A50)*('Training Detail'!$M$5:$M$5000=Standards!A9)*('Training Detail'!$G$5:$G$5000&gt;=D50)*('Training Detail'!$G$5:$G$5000&lt;=E50)*('Training Detail'!$P$5:$P$5000)))</f>
        <v>4</v>
      </c>
      <c r="N50" s="17" t="str">
        <f aca="false">IF(A50="","",IF(C50="","Set exp date",IF(AND(F50&gt;=Requirements!B5,G50&gt;=Requirements!B6,H50&gt;=Requirements!B7,I50&gt;=Requirements!B8,J50&gt;=Requirements!B9,K50&gt;=Requirements!B10,L50&gt;=Requirements!B11,M50&gt;=Requirements!B12),"Met","Short")))</f>
        <v>Short</v>
      </c>
      <c r="O50" s="18" t="str">
        <f aca="false">IF(OR(A50="",C50=""),"",IF(N50="Met","",IF(F50&lt;Requirements!B5,Requirements!A5&amp;" "&amp;TEXT(Requirements!B5-F50,"0.##")&amp;"; ","")&amp;IF(G50&lt;Requirements!B6,Requirements!A6&amp;" "&amp;TEXT(Requirements!B6-G50,"0.##")&amp;"; ","")&amp;IF(H50&lt;Requirements!B7,Requirements!A7&amp;" "&amp;TEXT(Requirements!B7-H50,"0.##")&amp;"; ","")&amp;IF(I50&lt;Requirements!B8,Requirements!A8&amp;" "&amp;TEXT(Requirements!B8-I50,"0.##")&amp;"; ","")&amp;IF(J50&lt;Requirements!B9,Requirements!A9&amp;" "&amp;TEXT(Requirements!B9-J50,"0.##")&amp;"; ","")&amp;IF(K50&lt;Requirements!B10,Requirements!A10&amp;" "&amp;TEXT(Requirements!B10-K50,"0.##")&amp;"; ","")&amp;IF(L50&lt;Requirements!B11,Requirements!A11&amp;" "&amp;TEXT(Requirements!B11-L50,"0.##")&amp;"; ","")&amp;IF(M50&lt;Requirements!B12,Requirements!A12&amp;" "&amp;TEXT(Requirements!B12-M50,"0.##")&amp;"; ","")))</f>
        <v>Airway 4; Cardiovascular 5; Medical 5; PAHT 1; SVAT 1; </v>
      </c>
    </row>
    <row r="51" customFormat="false" ht="15" hidden="false" customHeight="true" outlineLevel="0" collapsed="false">
      <c r="A51" s="19" t="s">
        <v>92</v>
      </c>
      <c r="B51" s="20" t="s">
        <v>93</v>
      </c>
      <c r="C51" s="13" t="n">
        <v>46752</v>
      </c>
      <c r="D51" s="21" t="n">
        <f aca="false">IF(C51="","",DATE(YEAR(C51)-1,1,1))</f>
        <v>46023</v>
      </c>
      <c r="E51" s="21" t="n">
        <f aca="false">IF(C51="","",DATE(YEAR(C51),12,31))</f>
        <v>46752</v>
      </c>
      <c r="F51" s="15" t="n">
        <f aca="false">IF(OR(A51="",C51=""),"",SUMPRODUCT(('Training Detail'!$A$5:$A$5000=A51)*('Training Detail'!$M$5:$M$5000=Standards!A2)*('Training Detail'!$G$5:$G$5000&gt;=D51)*('Training Detail'!$G$5:$G$5000&lt;=E51)*('Training Detail'!$P$5:$P$5000)))</f>
        <v>0</v>
      </c>
      <c r="G51" s="15" t="n">
        <f aca="false">IF(OR(A51="",C51=""),"",SUMPRODUCT(('Training Detail'!$A$5:$A$5000=A51)*('Training Detail'!$M$5:$M$5000=Standards!A3)*('Training Detail'!$G$5:$G$5000&gt;=D51)*('Training Detail'!$G$5:$G$5000&lt;=E51)*('Training Detail'!$P$5:$P$5000)))</f>
        <v>1</v>
      </c>
      <c r="H51" s="15" t="n">
        <f aca="false">IF(OR(A51="",C51=""),"",SUMPRODUCT(('Training Detail'!$A$5:$A$5000=A51)*('Training Detail'!$M$5:$M$5000=Standards!A4)*('Training Detail'!$G$5:$G$5000&gt;=D51)*('Training Detail'!$G$5:$G$5000&lt;=E51)*('Training Detail'!$P$5:$P$5000)))</f>
        <v>0</v>
      </c>
      <c r="I51" s="15" t="n">
        <f aca="false">IF(OR(A51="",C51=""),"",SUMPRODUCT(('Training Detail'!$A$5:$A$5000=A51)*('Training Detail'!$M$5:$M$5000=Standards!A5)*('Training Detail'!$G$5:$G$5000&gt;=D51)*('Training Detail'!$G$5:$G$5000&lt;=E51)*('Training Detail'!$P$5:$P$5000)))</f>
        <v>2</v>
      </c>
      <c r="J51" s="15" t="n">
        <f aca="false">IF(OR(A51="",C51=""),"",SUMPRODUCT(('Training Detail'!$A$5:$A$5000=A51)*('Training Detail'!$M$5:$M$5000=Standards!A6)*('Training Detail'!$G$5:$G$5000&gt;=D51)*('Training Detail'!$G$5:$G$5000&lt;=E51)*('Training Detail'!$P$5:$P$5000)))</f>
        <v>3</v>
      </c>
      <c r="K51" s="15" t="n">
        <f aca="false">IF(OR(A51="",C51=""),"",SUMPRODUCT(('Training Detail'!$A$5:$A$5000=A51)*('Training Detail'!$M$5:$M$5000=Standards!A7)*('Training Detail'!$G$5:$G$5000&gt;=D51)*('Training Detail'!$G$5:$G$5000&lt;=E51)*('Training Detail'!$P$5:$P$5000)))</f>
        <v>0</v>
      </c>
      <c r="L51" s="15" t="n">
        <f aca="false">IF(OR(A51="",C51=""),"",SUMPRODUCT(('Training Detail'!$A$5:$A$5000=A51)*('Training Detail'!$M$5:$M$5000=Standards!A8)*('Training Detail'!$G$5:$G$5000&gt;=D51)*('Training Detail'!$G$5:$G$5000&lt;=E51)*('Training Detail'!$P$5:$P$5000)))</f>
        <v>0</v>
      </c>
      <c r="M51" s="16" t="n">
        <f aca="false">IF(OR(A51="",C51=""),"",SUMPRODUCT(('Training Detail'!$A$5:$A$5000=A51)*('Training Detail'!$M$5:$M$5000=Standards!A9)*('Training Detail'!$G$5:$G$5000&gt;=D51)*('Training Detail'!$G$5:$G$5000&lt;=E51)*('Training Detail'!$P$5:$P$5000)))</f>
        <v>0</v>
      </c>
      <c r="N51" s="17" t="str">
        <f aca="false">IF(A51="","",IF(C51="","Set exp date",IF(AND(F51&gt;=Requirements!B5,G51&gt;=Requirements!B6,H51&gt;=Requirements!B7,I51&gt;=Requirements!B8,J51&gt;=Requirements!B9,K51&gt;=Requirements!B10,L51&gt;=Requirements!B11,M51&gt;=Requirements!B12),"Met","Short")))</f>
        <v>Short</v>
      </c>
      <c r="O51" s="18" t="str">
        <f aca="false">IF(OR(A51="",C51=""),"",IF(N51="Met","",IF(F51&lt;Requirements!B5,Requirements!A5&amp;" "&amp;TEXT(Requirements!B5-F51,"0.##")&amp;"; ","")&amp;IF(G51&lt;Requirements!B6,Requirements!A6&amp;" "&amp;TEXT(Requirements!B6-G51,"0.##")&amp;"; ","")&amp;IF(H51&lt;Requirements!B7,Requirements!A7&amp;" "&amp;TEXT(Requirements!B7-H51,"0.##")&amp;"; ","")&amp;IF(I51&lt;Requirements!B8,Requirements!A8&amp;" "&amp;TEXT(Requirements!B8-I51,"0.##")&amp;"; ","")&amp;IF(J51&lt;Requirements!B9,Requirements!A9&amp;" "&amp;TEXT(Requirements!B9-J51,"0.##")&amp;"; ","")&amp;IF(K51&lt;Requirements!B10,Requirements!A10&amp;" "&amp;TEXT(Requirements!B10-K51,"0.##")&amp;"; ","")&amp;IF(L51&lt;Requirements!B11,Requirements!A11&amp;" "&amp;TEXT(Requirements!B11-L51,"0.##")&amp;"; ","")&amp;IF(M51&lt;Requirements!B12,Requirements!A12&amp;" "&amp;TEXT(Requirements!B12-M51,"0.##")&amp;"; ","")))</f>
        <v>Airway 4; Cardiovascular 4; Trauma 3; Medical 4; PAHT 1; SVAT 1; CPR/AED 1; </v>
      </c>
    </row>
    <row r="52" customFormat="false" ht="15" hidden="false" customHeight="true" outlineLevel="0" collapsed="false">
      <c r="A52" s="11" t="s">
        <v>94</v>
      </c>
      <c r="B52" s="12" t="s">
        <v>95</v>
      </c>
      <c r="C52" s="13" t="n">
        <v>46387</v>
      </c>
      <c r="D52" s="14" t="n">
        <f aca="false">IF(C52="","",DATE(YEAR(C52)-1,1,1))</f>
        <v>45658</v>
      </c>
      <c r="E52" s="14" t="n">
        <f aca="false">IF(C52="","",DATE(YEAR(C52),12,31))</f>
        <v>46387</v>
      </c>
      <c r="F52" s="15" t="n">
        <f aca="false">IF(OR(A52="",C52=""),"",SUMPRODUCT(('Training Detail'!$A$5:$A$5000=A52)*('Training Detail'!$M$5:$M$5000=Standards!A2)*('Training Detail'!$G$5:$G$5000&gt;=D52)*('Training Detail'!$G$5:$G$5000&lt;=E52)*('Training Detail'!$P$5:$P$5000)))</f>
        <v>1.5</v>
      </c>
      <c r="G52" s="15" t="n">
        <f aca="false">IF(OR(A52="",C52=""),"",SUMPRODUCT(('Training Detail'!$A$5:$A$5000=A52)*('Training Detail'!$M$5:$M$5000=Standards!A3)*('Training Detail'!$G$5:$G$5000&gt;=D52)*('Training Detail'!$G$5:$G$5000&lt;=E52)*('Training Detail'!$P$5:$P$5000)))</f>
        <v>0</v>
      </c>
      <c r="H52" s="15" t="n">
        <f aca="false">IF(OR(A52="",C52=""),"",SUMPRODUCT(('Training Detail'!$A$5:$A$5000=A52)*('Training Detail'!$M$5:$M$5000=Standards!A4)*('Training Detail'!$G$5:$G$5000&gt;=D52)*('Training Detail'!$G$5:$G$5000&lt;=E52)*('Training Detail'!$P$5:$P$5000)))</f>
        <v>6</v>
      </c>
      <c r="I52" s="15" t="n">
        <f aca="false">IF(OR(A52="",C52=""),"",SUMPRODUCT(('Training Detail'!$A$5:$A$5000=A52)*('Training Detail'!$M$5:$M$5000=Standards!A5)*('Training Detail'!$G$5:$G$5000&gt;=D52)*('Training Detail'!$G$5:$G$5000&lt;=E52)*('Training Detail'!$P$5:$P$5000)))</f>
        <v>2</v>
      </c>
      <c r="J52" s="15" t="n">
        <f aca="false">IF(OR(A52="",C52=""),"",SUMPRODUCT(('Training Detail'!$A$5:$A$5000=A52)*('Training Detail'!$M$5:$M$5000=Standards!A6)*('Training Detail'!$G$5:$G$5000&gt;=D52)*('Training Detail'!$G$5:$G$5000&lt;=E52)*('Training Detail'!$P$5:$P$5000)))</f>
        <v>1.5</v>
      </c>
      <c r="K52" s="15" t="n">
        <f aca="false">IF(OR(A52="",C52=""),"",SUMPRODUCT(('Training Detail'!$A$5:$A$5000=A52)*('Training Detail'!$M$5:$M$5000=Standards!A7)*('Training Detail'!$G$5:$G$5000&gt;=D52)*('Training Detail'!$G$5:$G$5000&lt;=E52)*('Training Detail'!$P$5:$P$5000)))</f>
        <v>0</v>
      </c>
      <c r="L52" s="15" t="n">
        <f aca="false">IF(OR(A52="",C52=""),"",SUMPRODUCT(('Training Detail'!$A$5:$A$5000=A52)*('Training Detail'!$M$5:$M$5000=Standards!A8)*('Training Detail'!$G$5:$G$5000&gt;=D52)*('Training Detail'!$G$5:$G$5000&lt;=E52)*('Training Detail'!$P$5:$P$5000)))</f>
        <v>0</v>
      </c>
      <c r="M52" s="16" t="n">
        <f aca="false">IF(OR(A52="",C52=""),"",SUMPRODUCT(('Training Detail'!$A$5:$A$5000=A52)*('Training Detail'!$M$5:$M$5000=Standards!A9)*('Training Detail'!$G$5:$G$5000&gt;=D52)*('Training Detail'!$G$5:$G$5000&lt;=E52)*('Training Detail'!$P$5:$P$5000)))</f>
        <v>0</v>
      </c>
      <c r="N52" s="17" t="str">
        <f aca="false">IF(A52="","",IF(C52="","Set exp date",IF(AND(F52&gt;=Requirements!B5,G52&gt;=Requirements!B6,H52&gt;=Requirements!B7,I52&gt;=Requirements!B8,J52&gt;=Requirements!B9,K52&gt;=Requirements!B10,L52&gt;=Requirements!B11,M52&gt;=Requirements!B12),"Met","Short")))</f>
        <v>Short</v>
      </c>
      <c r="O52" s="18" t="str">
        <f aca="false">IF(OR(A52="",C52=""),"",IF(N52="Met","",IF(F52&lt;Requirements!B5,Requirements!A5&amp;" "&amp;TEXT(Requirements!B5-F52,"0.##")&amp;"; ","")&amp;IF(G52&lt;Requirements!B6,Requirements!A6&amp;" "&amp;TEXT(Requirements!B6-G52,"0.##")&amp;"; ","")&amp;IF(H52&lt;Requirements!B7,Requirements!A7&amp;" "&amp;TEXT(Requirements!B7-H52,"0.##")&amp;"; ","")&amp;IF(I52&lt;Requirements!B8,Requirements!A8&amp;" "&amp;TEXT(Requirements!B8-I52,"0.##")&amp;"; ","")&amp;IF(J52&lt;Requirements!B9,Requirements!A9&amp;" "&amp;TEXT(Requirements!B9-J52,"0.##")&amp;"; ","")&amp;IF(K52&lt;Requirements!B10,Requirements!A10&amp;" "&amp;TEXT(Requirements!B10-K52,"0.##")&amp;"; ","")&amp;IF(L52&lt;Requirements!B11,Requirements!A11&amp;" "&amp;TEXT(Requirements!B11-L52,"0.##")&amp;"; ","")&amp;IF(M52&lt;Requirements!B12,Requirements!A12&amp;" "&amp;TEXT(Requirements!B12-M52,"0.##")&amp;"; ","")))</f>
        <v>Airway 2.5; Cardiovascular 5; Medical 4; Operations 0.5; PAHT 1; SVAT 1; CPR/AED 1; </v>
      </c>
    </row>
    <row r="53" customFormat="false" ht="15" hidden="false" customHeight="true" outlineLevel="0" collapsed="false">
      <c r="A53" s="19" t="s">
        <v>96</v>
      </c>
      <c r="B53" s="20" t="s">
        <v>97</v>
      </c>
      <c r="C53" s="13" t="n">
        <v>46752</v>
      </c>
      <c r="D53" s="21" t="n">
        <f aca="false">IF(C53="","",DATE(YEAR(C53)-1,1,1))</f>
        <v>46023</v>
      </c>
      <c r="E53" s="21" t="n">
        <f aca="false">IF(C53="","",DATE(YEAR(C53),12,31))</f>
        <v>46752</v>
      </c>
      <c r="F53" s="15" t="n">
        <f aca="false">IF(OR(A53="",C53=""),"",SUMPRODUCT(('Training Detail'!$A$5:$A$5000=A53)*('Training Detail'!$M$5:$M$5000=Standards!A2)*('Training Detail'!$G$5:$G$5000&gt;=D53)*('Training Detail'!$G$5:$G$5000&lt;=E53)*('Training Detail'!$P$5:$P$5000)))</f>
        <v>0</v>
      </c>
      <c r="G53" s="15" t="n">
        <f aca="false">IF(OR(A53="",C53=""),"",SUMPRODUCT(('Training Detail'!$A$5:$A$5000=A53)*('Training Detail'!$M$5:$M$5000=Standards!A3)*('Training Detail'!$G$5:$G$5000&gt;=D53)*('Training Detail'!$G$5:$G$5000&lt;=E53)*('Training Detail'!$P$5:$P$5000)))</f>
        <v>0</v>
      </c>
      <c r="H53" s="15" t="n">
        <f aca="false">IF(OR(A53="",C53=""),"",SUMPRODUCT(('Training Detail'!$A$5:$A$5000=A53)*('Training Detail'!$M$5:$M$5000=Standards!A4)*('Training Detail'!$G$5:$G$5000&gt;=D53)*('Training Detail'!$G$5:$G$5000&lt;=E53)*('Training Detail'!$P$5:$P$5000)))</f>
        <v>4.5</v>
      </c>
      <c r="I53" s="15" t="n">
        <f aca="false">IF(OR(A53="",C53=""),"",SUMPRODUCT(('Training Detail'!$A$5:$A$5000=A53)*('Training Detail'!$M$5:$M$5000=Standards!A5)*('Training Detail'!$G$5:$G$5000&gt;=D53)*('Training Detail'!$G$5:$G$5000&lt;=E53)*('Training Detail'!$P$5:$P$5000)))</f>
        <v>2</v>
      </c>
      <c r="J53" s="15" t="n">
        <f aca="false">IF(OR(A53="",C53=""),"",SUMPRODUCT(('Training Detail'!$A$5:$A$5000=A53)*('Training Detail'!$M$5:$M$5000=Standards!A6)*('Training Detail'!$G$5:$G$5000&gt;=D53)*('Training Detail'!$G$5:$G$5000&lt;=E53)*('Training Detail'!$P$5:$P$5000)))</f>
        <v>1</v>
      </c>
      <c r="K53" s="15" t="n">
        <f aca="false">IF(OR(A53="",C53=""),"",SUMPRODUCT(('Training Detail'!$A$5:$A$5000=A53)*('Training Detail'!$M$5:$M$5000=Standards!A7)*('Training Detail'!$G$5:$G$5000&gt;=D53)*('Training Detail'!$G$5:$G$5000&lt;=E53)*('Training Detail'!$P$5:$P$5000)))</f>
        <v>0</v>
      </c>
      <c r="L53" s="15" t="n">
        <f aca="false">IF(OR(A53="",C53=""),"",SUMPRODUCT(('Training Detail'!$A$5:$A$5000=A53)*('Training Detail'!$M$5:$M$5000=Standards!A8)*('Training Detail'!$G$5:$G$5000&gt;=D53)*('Training Detail'!$G$5:$G$5000&lt;=E53)*('Training Detail'!$P$5:$P$5000)))</f>
        <v>0</v>
      </c>
      <c r="M53" s="16" t="n">
        <f aca="false">IF(OR(A53="",C53=""),"",SUMPRODUCT(('Training Detail'!$A$5:$A$5000=A53)*('Training Detail'!$M$5:$M$5000=Standards!A9)*('Training Detail'!$G$5:$G$5000&gt;=D53)*('Training Detail'!$G$5:$G$5000&lt;=E53)*('Training Detail'!$P$5:$P$5000)))</f>
        <v>0</v>
      </c>
      <c r="N53" s="17" t="str">
        <f aca="false">IF(A53="","",IF(C53="","Set exp date",IF(AND(F53&gt;=Requirements!B5,G53&gt;=Requirements!B6,H53&gt;=Requirements!B7,I53&gt;=Requirements!B8,J53&gt;=Requirements!B9,K53&gt;=Requirements!B10,L53&gt;=Requirements!B11,M53&gt;=Requirements!B12),"Met","Short")))</f>
        <v>Short</v>
      </c>
      <c r="O53" s="18" t="str">
        <f aca="false">IF(OR(A53="",C53=""),"",IF(N53="Met","",IF(F53&lt;Requirements!B5,Requirements!A5&amp;" "&amp;TEXT(Requirements!B5-F53,"0.##")&amp;"; ","")&amp;IF(G53&lt;Requirements!B6,Requirements!A6&amp;" "&amp;TEXT(Requirements!B6-G53,"0.##")&amp;"; ","")&amp;IF(H53&lt;Requirements!B7,Requirements!A7&amp;" "&amp;TEXT(Requirements!B7-H53,"0.##")&amp;"; ","")&amp;IF(I53&lt;Requirements!B8,Requirements!A8&amp;" "&amp;TEXT(Requirements!B8-I53,"0.##")&amp;"; ","")&amp;IF(J53&lt;Requirements!B9,Requirements!A9&amp;" "&amp;TEXT(Requirements!B9-J53,"0.##")&amp;"; ","")&amp;IF(K53&lt;Requirements!B10,Requirements!A10&amp;" "&amp;TEXT(Requirements!B10-K53,"0.##")&amp;"; ","")&amp;IF(L53&lt;Requirements!B11,Requirements!A11&amp;" "&amp;TEXT(Requirements!B11-L53,"0.##")&amp;"; ","")&amp;IF(M53&lt;Requirements!B12,Requirements!A12&amp;" "&amp;TEXT(Requirements!B12-M53,"0.##")&amp;"; ","")))</f>
        <v>Airway 4; Cardiovascular 5; Medical 4; Operations 1; PAHT 1; SVAT 1; CPR/AED 1; </v>
      </c>
    </row>
    <row r="54" customFormat="false" ht="15" hidden="false" customHeight="true" outlineLevel="0" collapsed="false">
      <c r="A54" s="11" t="s">
        <v>98</v>
      </c>
      <c r="B54" s="12" t="s">
        <v>99</v>
      </c>
      <c r="C54" s="13" t="n">
        <v>46387</v>
      </c>
      <c r="D54" s="14" t="n">
        <f aca="false">IF(C54="","",DATE(YEAR(C54)-1,1,1))</f>
        <v>45658</v>
      </c>
      <c r="E54" s="14" t="n">
        <f aca="false">IF(C54="","",DATE(YEAR(C54),12,31))</f>
        <v>46387</v>
      </c>
      <c r="F54" s="15" t="n">
        <f aca="false">IF(OR(A54="",C54=""),"",SUMPRODUCT(('Training Detail'!$A$5:$A$5000=A54)*('Training Detail'!$M$5:$M$5000=Standards!A2)*('Training Detail'!$G$5:$G$5000&gt;=D54)*('Training Detail'!$G$5:$G$5000&lt;=E54)*('Training Detail'!$P$5:$P$5000)))</f>
        <v>1</v>
      </c>
      <c r="G54" s="15" t="n">
        <f aca="false">IF(OR(A54="",C54=""),"",SUMPRODUCT(('Training Detail'!$A$5:$A$5000=A54)*('Training Detail'!$M$5:$M$5000=Standards!A3)*('Training Detail'!$G$5:$G$5000&gt;=D54)*('Training Detail'!$G$5:$G$5000&lt;=E54)*('Training Detail'!$P$5:$P$5000)))</f>
        <v>1.5</v>
      </c>
      <c r="H54" s="15" t="n">
        <f aca="false">IF(OR(A54="",C54=""),"",SUMPRODUCT(('Training Detail'!$A$5:$A$5000=A54)*('Training Detail'!$M$5:$M$5000=Standards!A4)*('Training Detail'!$G$5:$G$5000&gt;=D54)*('Training Detail'!$G$5:$G$5000&lt;=E54)*('Training Detail'!$P$5:$P$5000)))</f>
        <v>5</v>
      </c>
      <c r="I54" s="15" t="n">
        <f aca="false">IF(OR(A54="",C54=""),"",SUMPRODUCT(('Training Detail'!$A$5:$A$5000=A54)*('Training Detail'!$M$5:$M$5000=Standards!A5)*('Training Detail'!$G$5:$G$5000&gt;=D54)*('Training Detail'!$G$5:$G$5000&lt;=E54)*('Training Detail'!$P$5:$P$5000)))</f>
        <v>4.5</v>
      </c>
      <c r="J54" s="15" t="n">
        <f aca="false">IF(OR(A54="",C54=""),"",SUMPRODUCT(('Training Detail'!$A$5:$A$5000=A54)*('Training Detail'!$M$5:$M$5000=Standards!A6)*('Training Detail'!$G$5:$G$5000&gt;=D54)*('Training Detail'!$G$5:$G$5000&lt;=E54)*('Training Detail'!$P$5:$P$5000)))</f>
        <v>2</v>
      </c>
      <c r="K54" s="15" t="n">
        <f aca="false">IF(OR(A54="",C54=""),"",SUMPRODUCT(('Training Detail'!$A$5:$A$5000=A54)*('Training Detail'!$M$5:$M$5000=Standards!A7)*('Training Detail'!$G$5:$G$5000&gt;=D54)*('Training Detail'!$G$5:$G$5000&lt;=E54)*('Training Detail'!$P$5:$P$5000)))</f>
        <v>0</v>
      </c>
      <c r="L54" s="15" t="n">
        <f aca="false">IF(OR(A54="",C54=""),"",SUMPRODUCT(('Training Detail'!$A$5:$A$5000=A54)*('Training Detail'!$M$5:$M$5000=Standards!A8)*('Training Detail'!$G$5:$G$5000&gt;=D54)*('Training Detail'!$G$5:$G$5000&lt;=E54)*('Training Detail'!$P$5:$P$5000)))</f>
        <v>0</v>
      </c>
      <c r="M54" s="16" t="n">
        <f aca="false">IF(OR(A54="",C54=""),"",SUMPRODUCT(('Training Detail'!$A$5:$A$5000=A54)*('Training Detail'!$M$5:$M$5000=Standards!A9)*('Training Detail'!$G$5:$G$5000&gt;=D54)*('Training Detail'!$G$5:$G$5000&lt;=E54)*('Training Detail'!$P$5:$P$5000)))</f>
        <v>1.5</v>
      </c>
      <c r="N54" s="17" t="str">
        <f aca="false">IF(A54="","",IF(C54="","Set exp date",IF(AND(F54&gt;=Requirements!B5,G54&gt;=Requirements!B6,H54&gt;=Requirements!B7,I54&gt;=Requirements!B8,J54&gt;=Requirements!B9,K54&gt;=Requirements!B10,L54&gt;=Requirements!B11,M54&gt;=Requirements!B12),"Met","Short")))</f>
        <v>Short</v>
      </c>
      <c r="O54" s="18" t="str">
        <f aca="false">IF(OR(A54="",C54=""),"",IF(N54="Met","",IF(F54&lt;Requirements!B5,Requirements!A5&amp;" "&amp;TEXT(Requirements!B5-F54,"0.##")&amp;"; ","")&amp;IF(G54&lt;Requirements!B6,Requirements!A6&amp;" "&amp;TEXT(Requirements!B6-G54,"0.##")&amp;"; ","")&amp;IF(H54&lt;Requirements!B7,Requirements!A7&amp;" "&amp;TEXT(Requirements!B7-H54,"0.##")&amp;"; ","")&amp;IF(I54&lt;Requirements!B8,Requirements!A8&amp;" "&amp;TEXT(Requirements!B8-I54,"0.##")&amp;"; ","")&amp;IF(J54&lt;Requirements!B9,Requirements!A9&amp;" "&amp;TEXT(Requirements!B9-J54,"0.##")&amp;"; ","")&amp;IF(K54&lt;Requirements!B10,Requirements!A10&amp;" "&amp;TEXT(Requirements!B10-K54,"0.##")&amp;"; ","")&amp;IF(L54&lt;Requirements!B11,Requirements!A11&amp;" "&amp;TEXT(Requirements!B11-L54,"0.##")&amp;"; ","")&amp;IF(M54&lt;Requirements!B12,Requirements!A12&amp;" "&amp;TEXT(Requirements!B12-M54,"0.##")&amp;"; ","")))</f>
        <v>Airway 3; Cardiovascular 3.5; Medical 1.5; PAHT 1; SVAT 1; </v>
      </c>
    </row>
    <row r="55" customFormat="false" ht="15" hidden="false" customHeight="true" outlineLevel="0" collapsed="false">
      <c r="A55" s="19" t="s">
        <v>100</v>
      </c>
      <c r="B55" s="20" t="s">
        <v>101</v>
      </c>
      <c r="C55" s="13" t="n">
        <v>46752</v>
      </c>
      <c r="D55" s="21" t="n">
        <f aca="false">IF(C55="","",DATE(YEAR(C55)-1,1,1))</f>
        <v>46023</v>
      </c>
      <c r="E55" s="21" t="n">
        <f aca="false">IF(C55="","",DATE(YEAR(C55),12,31))</f>
        <v>46752</v>
      </c>
      <c r="F55" s="15" t="n">
        <f aca="false">IF(OR(A55="",C55=""),"",SUMPRODUCT(('Training Detail'!$A$5:$A$5000=A55)*('Training Detail'!$M$5:$M$5000=Standards!A2)*('Training Detail'!$G$5:$G$5000&gt;=D55)*('Training Detail'!$G$5:$G$5000&lt;=E55)*('Training Detail'!$P$5:$P$5000)))</f>
        <v>3</v>
      </c>
      <c r="G55" s="15" t="n">
        <f aca="false">IF(OR(A55="",C55=""),"",SUMPRODUCT(('Training Detail'!$A$5:$A$5000=A55)*('Training Detail'!$M$5:$M$5000=Standards!A3)*('Training Detail'!$G$5:$G$5000&gt;=D55)*('Training Detail'!$G$5:$G$5000&lt;=E55)*('Training Detail'!$P$5:$P$5000)))</f>
        <v>3</v>
      </c>
      <c r="H55" s="15" t="n">
        <f aca="false">IF(OR(A55="",C55=""),"",SUMPRODUCT(('Training Detail'!$A$5:$A$5000=A55)*('Training Detail'!$M$5:$M$5000=Standards!A4)*('Training Detail'!$G$5:$G$5000&gt;=D55)*('Training Detail'!$G$5:$G$5000&lt;=E55)*('Training Detail'!$P$5:$P$5000)))</f>
        <v>5</v>
      </c>
      <c r="I55" s="15" t="n">
        <f aca="false">IF(OR(A55="",C55=""),"",SUMPRODUCT(('Training Detail'!$A$5:$A$5000=A55)*('Training Detail'!$M$5:$M$5000=Standards!A5)*('Training Detail'!$G$5:$G$5000&gt;=D55)*('Training Detail'!$G$5:$G$5000&lt;=E55)*('Training Detail'!$P$5:$P$5000)))</f>
        <v>6</v>
      </c>
      <c r="J55" s="15" t="n">
        <f aca="false">IF(OR(A55="",C55=""),"",SUMPRODUCT(('Training Detail'!$A$5:$A$5000=A55)*('Training Detail'!$M$5:$M$5000=Standards!A6)*('Training Detail'!$G$5:$G$5000&gt;=D55)*('Training Detail'!$G$5:$G$5000&lt;=E55)*('Training Detail'!$P$5:$P$5000)))</f>
        <v>1</v>
      </c>
      <c r="K55" s="15" t="n">
        <f aca="false">IF(OR(A55="",C55=""),"",SUMPRODUCT(('Training Detail'!$A$5:$A$5000=A55)*('Training Detail'!$M$5:$M$5000=Standards!A7)*('Training Detail'!$G$5:$G$5000&gt;=D55)*('Training Detail'!$G$5:$G$5000&lt;=E55)*('Training Detail'!$P$5:$P$5000)))</f>
        <v>0</v>
      </c>
      <c r="L55" s="15" t="n">
        <f aca="false">IF(OR(A55="",C55=""),"",SUMPRODUCT(('Training Detail'!$A$5:$A$5000=A55)*('Training Detail'!$M$5:$M$5000=Standards!A8)*('Training Detail'!$G$5:$G$5000&gt;=D55)*('Training Detail'!$G$5:$G$5000&lt;=E55)*('Training Detail'!$P$5:$P$5000)))</f>
        <v>0</v>
      </c>
      <c r="M55" s="16" t="n">
        <f aca="false">IF(OR(A55="",C55=""),"",SUMPRODUCT(('Training Detail'!$A$5:$A$5000=A55)*('Training Detail'!$M$5:$M$5000=Standards!A9)*('Training Detail'!$G$5:$G$5000&gt;=D55)*('Training Detail'!$G$5:$G$5000&lt;=E55)*('Training Detail'!$P$5:$P$5000)))</f>
        <v>0</v>
      </c>
      <c r="N55" s="17" t="str">
        <f aca="false">IF(A55="","",IF(C55="","Set exp date",IF(AND(F55&gt;=Requirements!B5,G55&gt;=Requirements!B6,H55&gt;=Requirements!B7,I55&gt;=Requirements!B8,J55&gt;=Requirements!B9,K55&gt;=Requirements!B10,L55&gt;=Requirements!B11,M55&gt;=Requirements!B12),"Met","Short")))</f>
        <v>Short</v>
      </c>
      <c r="O55" s="18" t="str">
        <f aca="false">IF(OR(A55="",C55=""),"",IF(N55="Met","",IF(F55&lt;Requirements!B5,Requirements!A5&amp;" "&amp;TEXT(Requirements!B5-F55,"0.##")&amp;"; ","")&amp;IF(G55&lt;Requirements!B6,Requirements!A6&amp;" "&amp;TEXT(Requirements!B6-G55,"0.##")&amp;"; ","")&amp;IF(H55&lt;Requirements!B7,Requirements!A7&amp;" "&amp;TEXT(Requirements!B7-H55,"0.##")&amp;"; ","")&amp;IF(I55&lt;Requirements!B8,Requirements!A8&amp;" "&amp;TEXT(Requirements!B8-I55,"0.##")&amp;"; ","")&amp;IF(J55&lt;Requirements!B9,Requirements!A9&amp;" "&amp;TEXT(Requirements!B9-J55,"0.##")&amp;"; ","")&amp;IF(K55&lt;Requirements!B10,Requirements!A10&amp;" "&amp;TEXT(Requirements!B10-K55,"0.##")&amp;"; ","")&amp;IF(L55&lt;Requirements!B11,Requirements!A11&amp;" "&amp;TEXT(Requirements!B11-L55,"0.##")&amp;"; ","")&amp;IF(M55&lt;Requirements!B12,Requirements!A12&amp;" "&amp;TEXT(Requirements!B12-M55,"0.##")&amp;"; ","")))</f>
        <v>Airway 1; Cardiovascular 2; Operations 1; PAHT 1; SVAT 1; CPR/AED 1; </v>
      </c>
    </row>
    <row r="56" customFormat="false" ht="15" hidden="false" customHeight="true" outlineLevel="0" collapsed="false">
      <c r="A56" s="11" t="s">
        <v>102</v>
      </c>
      <c r="B56" s="12" t="s">
        <v>103</v>
      </c>
      <c r="C56" s="13" t="n">
        <v>46752</v>
      </c>
      <c r="D56" s="14" t="n">
        <f aca="false">IF(C56="","",DATE(YEAR(C56)-1,1,1))</f>
        <v>46023</v>
      </c>
      <c r="E56" s="14" t="n">
        <f aca="false">IF(C56="","",DATE(YEAR(C56),12,31))</f>
        <v>46752</v>
      </c>
      <c r="F56" s="15" t="n">
        <f aca="false">IF(OR(A56="",C56=""),"",SUMPRODUCT(('Training Detail'!$A$5:$A$5000=A56)*('Training Detail'!$M$5:$M$5000=Standards!A2)*('Training Detail'!$G$5:$G$5000&gt;=D56)*('Training Detail'!$G$5:$G$5000&lt;=E56)*('Training Detail'!$P$5:$P$5000)))</f>
        <v>0</v>
      </c>
      <c r="G56" s="15" t="n">
        <f aca="false">IF(OR(A56="",C56=""),"",SUMPRODUCT(('Training Detail'!$A$5:$A$5000=A56)*('Training Detail'!$M$5:$M$5000=Standards!A3)*('Training Detail'!$G$5:$G$5000&gt;=D56)*('Training Detail'!$G$5:$G$5000&lt;=E56)*('Training Detail'!$P$5:$P$5000)))</f>
        <v>0</v>
      </c>
      <c r="H56" s="15" t="n">
        <f aca="false">IF(OR(A56="",C56=""),"",SUMPRODUCT(('Training Detail'!$A$5:$A$5000=A56)*('Training Detail'!$M$5:$M$5000=Standards!A4)*('Training Detail'!$G$5:$G$5000&gt;=D56)*('Training Detail'!$G$5:$G$5000&lt;=E56)*('Training Detail'!$P$5:$P$5000)))</f>
        <v>5</v>
      </c>
      <c r="I56" s="15" t="n">
        <f aca="false">IF(OR(A56="",C56=""),"",SUMPRODUCT(('Training Detail'!$A$5:$A$5000=A56)*('Training Detail'!$M$5:$M$5000=Standards!A5)*('Training Detail'!$G$5:$G$5000&gt;=D56)*('Training Detail'!$G$5:$G$5000&lt;=E56)*('Training Detail'!$P$5:$P$5000)))</f>
        <v>1</v>
      </c>
      <c r="J56" s="15" t="n">
        <f aca="false">IF(OR(A56="",C56=""),"",SUMPRODUCT(('Training Detail'!$A$5:$A$5000=A56)*('Training Detail'!$M$5:$M$5000=Standards!A6)*('Training Detail'!$G$5:$G$5000&gt;=D56)*('Training Detail'!$G$5:$G$5000&lt;=E56)*('Training Detail'!$P$5:$P$5000)))</f>
        <v>2</v>
      </c>
      <c r="K56" s="15" t="n">
        <f aca="false">IF(OR(A56="",C56=""),"",SUMPRODUCT(('Training Detail'!$A$5:$A$5000=A56)*('Training Detail'!$M$5:$M$5000=Standards!A7)*('Training Detail'!$G$5:$G$5000&gt;=D56)*('Training Detail'!$G$5:$G$5000&lt;=E56)*('Training Detail'!$P$5:$P$5000)))</f>
        <v>1.25</v>
      </c>
      <c r="L56" s="15" t="n">
        <f aca="false">IF(OR(A56="",C56=""),"",SUMPRODUCT(('Training Detail'!$A$5:$A$5000=A56)*('Training Detail'!$M$5:$M$5000=Standards!A8)*('Training Detail'!$G$5:$G$5000&gt;=D56)*('Training Detail'!$G$5:$G$5000&lt;=E56)*('Training Detail'!$P$5:$P$5000)))</f>
        <v>1</v>
      </c>
      <c r="M56" s="16" t="n">
        <f aca="false">IF(OR(A56="",C56=""),"",SUMPRODUCT(('Training Detail'!$A$5:$A$5000=A56)*('Training Detail'!$M$5:$M$5000=Standards!A9)*('Training Detail'!$G$5:$G$5000&gt;=D56)*('Training Detail'!$G$5:$G$5000&lt;=E56)*('Training Detail'!$P$5:$P$5000)))</f>
        <v>0</v>
      </c>
      <c r="N56" s="17" t="str">
        <f aca="false">IF(A56="","",IF(C56="","Set exp date",IF(AND(F56&gt;=Requirements!B5,G56&gt;=Requirements!B6,H56&gt;=Requirements!B7,I56&gt;=Requirements!B8,J56&gt;=Requirements!B9,K56&gt;=Requirements!B10,L56&gt;=Requirements!B11,M56&gt;=Requirements!B12),"Met","Short")))</f>
        <v>Short</v>
      </c>
      <c r="O56" s="18" t="str">
        <f aca="false">IF(OR(A56="",C56=""),"",IF(N56="Met","",IF(F56&lt;Requirements!B5,Requirements!A5&amp;" "&amp;TEXT(Requirements!B5-F56,"0.##")&amp;"; ","")&amp;IF(G56&lt;Requirements!B6,Requirements!A6&amp;" "&amp;TEXT(Requirements!B6-G56,"0.##")&amp;"; ","")&amp;IF(H56&lt;Requirements!B7,Requirements!A7&amp;" "&amp;TEXT(Requirements!B7-H56,"0.##")&amp;"; ","")&amp;IF(I56&lt;Requirements!B8,Requirements!A8&amp;" "&amp;TEXT(Requirements!B8-I56,"0.##")&amp;"; ","")&amp;IF(J56&lt;Requirements!B9,Requirements!A9&amp;" "&amp;TEXT(Requirements!B9-J56,"0.##")&amp;"; ","")&amp;IF(K56&lt;Requirements!B10,Requirements!A10&amp;" "&amp;TEXT(Requirements!B10-K56,"0.##")&amp;"; ","")&amp;IF(L56&lt;Requirements!B11,Requirements!A11&amp;" "&amp;TEXT(Requirements!B11-L56,"0.##")&amp;"; ","")&amp;IF(M56&lt;Requirements!B12,Requirements!A12&amp;" "&amp;TEXT(Requirements!B12-M56,"0.##")&amp;"; ","")))</f>
        <v>Airway 4; Cardiovascular 5; Medical 5; CPR/AED 1; </v>
      </c>
    </row>
    <row r="57" customFormat="false" ht="15" hidden="false" customHeight="true" outlineLevel="0" collapsed="false">
      <c r="A57" s="19" t="s">
        <v>104</v>
      </c>
      <c r="B57" s="20" t="s">
        <v>105</v>
      </c>
      <c r="C57" s="13" t="n">
        <v>46387</v>
      </c>
      <c r="D57" s="21" t="n">
        <f aca="false">IF(C57="","",DATE(YEAR(C57)-1,1,1))</f>
        <v>45658</v>
      </c>
      <c r="E57" s="21" t="n">
        <f aca="false">IF(C57="","",DATE(YEAR(C57),12,31))</f>
        <v>46387</v>
      </c>
      <c r="F57" s="15" t="n">
        <f aca="false">IF(OR(A57="",C57=""),"",SUMPRODUCT(('Training Detail'!$A$5:$A$5000=A57)*('Training Detail'!$M$5:$M$5000=Standards!A2)*('Training Detail'!$G$5:$G$5000&gt;=D57)*('Training Detail'!$G$5:$G$5000&lt;=E57)*('Training Detail'!$P$5:$P$5000)))</f>
        <v>1</v>
      </c>
      <c r="G57" s="15" t="n">
        <f aca="false">IF(OR(A57="",C57=""),"",SUMPRODUCT(('Training Detail'!$A$5:$A$5000=A57)*('Training Detail'!$M$5:$M$5000=Standards!A3)*('Training Detail'!$G$5:$G$5000&gt;=D57)*('Training Detail'!$G$5:$G$5000&lt;=E57)*('Training Detail'!$P$5:$P$5000)))</f>
        <v>1</v>
      </c>
      <c r="H57" s="15" t="n">
        <f aca="false">IF(OR(A57="",C57=""),"",SUMPRODUCT(('Training Detail'!$A$5:$A$5000=A57)*('Training Detail'!$M$5:$M$5000=Standards!A4)*('Training Detail'!$G$5:$G$5000&gt;=D57)*('Training Detail'!$G$5:$G$5000&lt;=E57)*('Training Detail'!$P$5:$P$5000)))</f>
        <v>5</v>
      </c>
      <c r="I57" s="15" t="n">
        <f aca="false">IF(OR(A57="",C57=""),"",SUMPRODUCT(('Training Detail'!$A$5:$A$5000=A57)*('Training Detail'!$M$5:$M$5000=Standards!A5)*('Training Detail'!$G$5:$G$5000&gt;=D57)*('Training Detail'!$G$5:$G$5000&lt;=E57)*('Training Detail'!$P$5:$P$5000)))</f>
        <v>9.5</v>
      </c>
      <c r="J57" s="15" t="n">
        <f aca="false">IF(OR(A57="",C57=""),"",SUMPRODUCT(('Training Detail'!$A$5:$A$5000=A57)*('Training Detail'!$M$5:$M$5000=Standards!A6)*('Training Detail'!$G$5:$G$5000&gt;=D57)*('Training Detail'!$G$5:$G$5000&lt;=E57)*('Training Detail'!$P$5:$P$5000)))</f>
        <v>3</v>
      </c>
      <c r="K57" s="15" t="n">
        <f aca="false">IF(OR(A57="",C57=""),"",SUMPRODUCT(('Training Detail'!$A$5:$A$5000=A57)*('Training Detail'!$M$5:$M$5000=Standards!A7)*('Training Detail'!$G$5:$G$5000&gt;=D57)*('Training Detail'!$G$5:$G$5000&lt;=E57)*('Training Detail'!$P$5:$P$5000)))</f>
        <v>1</v>
      </c>
      <c r="L57" s="15" t="n">
        <f aca="false">IF(OR(A57="",C57=""),"",SUMPRODUCT(('Training Detail'!$A$5:$A$5000=A57)*('Training Detail'!$M$5:$M$5000=Standards!A8)*('Training Detail'!$G$5:$G$5000&gt;=D57)*('Training Detail'!$G$5:$G$5000&lt;=E57)*('Training Detail'!$P$5:$P$5000)))</f>
        <v>0</v>
      </c>
      <c r="M57" s="16" t="n">
        <f aca="false">IF(OR(A57="",C57=""),"",SUMPRODUCT(('Training Detail'!$A$5:$A$5000=A57)*('Training Detail'!$M$5:$M$5000=Standards!A9)*('Training Detail'!$G$5:$G$5000&gt;=D57)*('Training Detail'!$G$5:$G$5000&lt;=E57)*('Training Detail'!$P$5:$P$5000)))</f>
        <v>0.5</v>
      </c>
      <c r="N57" s="17" t="str">
        <f aca="false">IF(A57="","",IF(C57="","Set exp date",IF(AND(F57&gt;=Requirements!B5,G57&gt;=Requirements!B6,H57&gt;=Requirements!B7,I57&gt;=Requirements!B8,J57&gt;=Requirements!B9,K57&gt;=Requirements!B10,L57&gt;=Requirements!B11,M57&gt;=Requirements!B12),"Met","Short")))</f>
        <v>Short</v>
      </c>
      <c r="O57" s="18" t="str">
        <f aca="false">IF(OR(A57="",C57=""),"",IF(N57="Met","",IF(F57&lt;Requirements!B5,Requirements!A5&amp;" "&amp;TEXT(Requirements!B5-F57,"0.##")&amp;"; ","")&amp;IF(G57&lt;Requirements!B6,Requirements!A6&amp;" "&amp;TEXT(Requirements!B6-G57,"0.##")&amp;"; ","")&amp;IF(H57&lt;Requirements!B7,Requirements!A7&amp;" "&amp;TEXT(Requirements!B7-H57,"0.##")&amp;"; ","")&amp;IF(I57&lt;Requirements!B8,Requirements!A8&amp;" "&amp;TEXT(Requirements!B8-I57,"0.##")&amp;"; ","")&amp;IF(J57&lt;Requirements!B9,Requirements!A9&amp;" "&amp;TEXT(Requirements!B9-J57,"0.##")&amp;"; ","")&amp;IF(K57&lt;Requirements!B10,Requirements!A10&amp;" "&amp;TEXT(Requirements!B10-K57,"0.##")&amp;"; ","")&amp;IF(L57&lt;Requirements!B11,Requirements!A11&amp;" "&amp;TEXT(Requirements!B11-L57,"0.##")&amp;"; ","")&amp;IF(M57&lt;Requirements!B12,Requirements!A12&amp;" "&amp;TEXT(Requirements!B12-M57,"0.##")&amp;"; ","")))</f>
        <v>Airway 3; Cardiovascular 4; SVAT 1; CPR/AED 0.5; </v>
      </c>
    </row>
    <row r="58" customFormat="false" ht="15" hidden="false" customHeight="true" outlineLevel="0" collapsed="false">
      <c r="A58" s="11" t="s">
        <v>106</v>
      </c>
      <c r="B58" s="12" t="s">
        <v>107</v>
      </c>
      <c r="C58" s="13" t="n">
        <v>46752</v>
      </c>
      <c r="D58" s="14" t="n">
        <f aca="false">IF(C58="","",DATE(YEAR(C58)-1,1,1))</f>
        <v>46023</v>
      </c>
      <c r="E58" s="14" t="n">
        <f aca="false">IF(C58="","",DATE(YEAR(C58),12,31))</f>
        <v>46752</v>
      </c>
      <c r="F58" s="15" t="n">
        <f aca="false">IF(OR(A58="",C58=""),"",SUMPRODUCT(('Training Detail'!$A$5:$A$5000=A58)*('Training Detail'!$M$5:$M$5000=Standards!A2)*('Training Detail'!$G$5:$G$5000&gt;=D58)*('Training Detail'!$G$5:$G$5000&lt;=E58)*('Training Detail'!$P$5:$P$5000)))</f>
        <v>1</v>
      </c>
      <c r="G58" s="15" t="n">
        <f aca="false">IF(OR(A58="",C58=""),"",SUMPRODUCT(('Training Detail'!$A$5:$A$5000=A58)*('Training Detail'!$M$5:$M$5000=Standards!A3)*('Training Detail'!$G$5:$G$5000&gt;=D58)*('Training Detail'!$G$5:$G$5000&lt;=E58)*('Training Detail'!$P$5:$P$5000)))</f>
        <v>1</v>
      </c>
      <c r="H58" s="15" t="n">
        <f aca="false">IF(OR(A58="",C58=""),"",SUMPRODUCT(('Training Detail'!$A$5:$A$5000=A58)*('Training Detail'!$M$5:$M$5000=Standards!A4)*('Training Detail'!$G$5:$G$5000&gt;=D58)*('Training Detail'!$G$5:$G$5000&lt;=E58)*('Training Detail'!$P$5:$P$5000)))</f>
        <v>5</v>
      </c>
      <c r="I58" s="15" t="n">
        <f aca="false">IF(OR(A58="",C58=""),"",SUMPRODUCT(('Training Detail'!$A$5:$A$5000=A58)*('Training Detail'!$M$5:$M$5000=Standards!A5)*('Training Detail'!$G$5:$G$5000&gt;=D58)*('Training Detail'!$G$5:$G$5000&lt;=E58)*('Training Detail'!$P$5:$P$5000)))</f>
        <v>4</v>
      </c>
      <c r="J58" s="15" t="n">
        <f aca="false">IF(OR(A58="",C58=""),"",SUMPRODUCT(('Training Detail'!$A$5:$A$5000=A58)*('Training Detail'!$M$5:$M$5000=Standards!A6)*('Training Detail'!$G$5:$G$5000&gt;=D58)*('Training Detail'!$G$5:$G$5000&lt;=E58)*('Training Detail'!$P$5:$P$5000)))</f>
        <v>2</v>
      </c>
      <c r="K58" s="15" t="n">
        <f aca="false">IF(OR(A58="",C58=""),"",SUMPRODUCT(('Training Detail'!$A$5:$A$5000=A58)*('Training Detail'!$M$5:$M$5000=Standards!A7)*('Training Detail'!$G$5:$G$5000&gt;=D58)*('Training Detail'!$G$5:$G$5000&lt;=E58)*('Training Detail'!$P$5:$P$5000)))</f>
        <v>0</v>
      </c>
      <c r="L58" s="15" t="n">
        <f aca="false">IF(OR(A58="",C58=""),"",SUMPRODUCT(('Training Detail'!$A$5:$A$5000=A58)*('Training Detail'!$M$5:$M$5000=Standards!A8)*('Training Detail'!$G$5:$G$5000&gt;=D58)*('Training Detail'!$G$5:$G$5000&lt;=E58)*('Training Detail'!$P$5:$P$5000)))</f>
        <v>0</v>
      </c>
      <c r="M58" s="16" t="n">
        <f aca="false">IF(OR(A58="",C58=""),"",SUMPRODUCT(('Training Detail'!$A$5:$A$5000=A58)*('Training Detail'!$M$5:$M$5000=Standards!A9)*('Training Detail'!$G$5:$G$5000&gt;=D58)*('Training Detail'!$G$5:$G$5000&lt;=E58)*('Training Detail'!$P$5:$P$5000)))</f>
        <v>0</v>
      </c>
      <c r="N58" s="17" t="str">
        <f aca="false">IF(A58="","",IF(C58="","Set exp date",IF(AND(F58&gt;=Requirements!B5,G58&gt;=Requirements!B6,H58&gt;=Requirements!B7,I58&gt;=Requirements!B8,J58&gt;=Requirements!B9,K58&gt;=Requirements!B10,L58&gt;=Requirements!B11,M58&gt;=Requirements!B12),"Met","Short")))</f>
        <v>Short</v>
      </c>
      <c r="O58" s="18" t="str">
        <f aca="false">IF(OR(A58="",C58=""),"",IF(N58="Met","",IF(F58&lt;Requirements!B5,Requirements!A5&amp;" "&amp;TEXT(Requirements!B5-F58,"0.##")&amp;"; ","")&amp;IF(G58&lt;Requirements!B6,Requirements!A6&amp;" "&amp;TEXT(Requirements!B6-G58,"0.##")&amp;"; ","")&amp;IF(H58&lt;Requirements!B7,Requirements!A7&amp;" "&amp;TEXT(Requirements!B7-H58,"0.##")&amp;"; ","")&amp;IF(I58&lt;Requirements!B8,Requirements!A8&amp;" "&amp;TEXT(Requirements!B8-I58,"0.##")&amp;"; ","")&amp;IF(J58&lt;Requirements!B9,Requirements!A9&amp;" "&amp;TEXT(Requirements!B9-J58,"0.##")&amp;"; ","")&amp;IF(K58&lt;Requirements!B10,Requirements!A10&amp;" "&amp;TEXT(Requirements!B10-K58,"0.##")&amp;"; ","")&amp;IF(L58&lt;Requirements!B11,Requirements!A11&amp;" "&amp;TEXT(Requirements!B11-L58,"0.##")&amp;"; ","")&amp;IF(M58&lt;Requirements!B12,Requirements!A12&amp;" "&amp;TEXT(Requirements!B12-M58,"0.##")&amp;"; ","")))</f>
        <v>Airway 3; Cardiovascular 4; Medical 2; PAHT 1; SVAT 1; CPR/AED 1; </v>
      </c>
    </row>
    <row r="59" customFormat="false" ht="15" hidden="false" customHeight="true" outlineLevel="0" collapsed="false">
      <c r="A59" s="19" t="s">
        <v>108</v>
      </c>
      <c r="B59" s="20" t="s">
        <v>109</v>
      </c>
      <c r="C59" s="13" t="n">
        <v>46387</v>
      </c>
      <c r="D59" s="21" t="n">
        <f aca="false">IF(C59="","",DATE(YEAR(C59)-1,1,1))</f>
        <v>45658</v>
      </c>
      <c r="E59" s="21" t="n">
        <f aca="false">IF(C59="","",DATE(YEAR(C59),12,31))</f>
        <v>46387</v>
      </c>
      <c r="F59" s="15" t="n">
        <f aca="false">IF(OR(A59="",C59=""),"",SUMPRODUCT(('Training Detail'!$A$5:$A$5000=A59)*('Training Detail'!$M$5:$M$5000=Standards!A2)*('Training Detail'!$G$5:$G$5000&gt;=D59)*('Training Detail'!$G$5:$G$5000&lt;=E59)*('Training Detail'!$P$5:$P$5000)))</f>
        <v>4</v>
      </c>
      <c r="G59" s="15" t="n">
        <f aca="false">IF(OR(A59="",C59=""),"",SUMPRODUCT(('Training Detail'!$A$5:$A$5000=A59)*('Training Detail'!$M$5:$M$5000=Standards!A3)*('Training Detail'!$G$5:$G$5000&gt;=D59)*('Training Detail'!$G$5:$G$5000&lt;=E59)*('Training Detail'!$P$5:$P$5000)))</f>
        <v>5</v>
      </c>
      <c r="H59" s="15" t="n">
        <f aca="false">IF(OR(A59="",C59=""),"",SUMPRODUCT(('Training Detail'!$A$5:$A$5000=A59)*('Training Detail'!$M$5:$M$5000=Standards!A4)*('Training Detail'!$G$5:$G$5000&gt;=D59)*('Training Detail'!$G$5:$G$5000&lt;=E59)*('Training Detail'!$P$5:$P$5000)))</f>
        <v>9.5</v>
      </c>
      <c r="I59" s="15" t="n">
        <f aca="false">IF(OR(A59="",C59=""),"",SUMPRODUCT(('Training Detail'!$A$5:$A$5000=A59)*('Training Detail'!$M$5:$M$5000=Standards!A5)*('Training Detail'!$G$5:$G$5000&gt;=D59)*('Training Detail'!$G$5:$G$5000&lt;=E59)*('Training Detail'!$P$5:$P$5000)))</f>
        <v>8.5</v>
      </c>
      <c r="J59" s="15" t="n">
        <f aca="false">IF(OR(A59="",C59=""),"",SUMPRODUCT(('Training Detail'!$A$5:$A$5000=A59)*('Training Detail'!$M$5:$M$5000=Standards!A6)*('Training Detail'!$G$5:$G$5000&gt;=D59)*('Training Detail'!$G$5:$G$5000&lt;=E59)*('Training Detail'!$P$5:$P$5000)))</f>
        <v>0</v>
      </c>
      <c r="K59" s="15" t="n">
        <f aca="false">IF(OR(A59="",C59=""),"",SUMPRODUCT(('Training Detail'!$A$5:$A$5000=A59)*('Training Detail'!$M$5:$M$5000=Standards!A7)*('Training Detail'!$G$5:$G$5000&gt;=D59)*('Training Detail'!$G$5:$G$5000&lt;=E59)*('Training Detail'!$P$5:$P$5000)))</f>
        <v>1</v>
      </c>
      <c r="L59" s="15" t="n">
        <f aca="false">IF(OR(A59="",C59=""),"",SUMPRODUCT(('Training Detail'!$A$5:$A$5000=A59)*('Training Detail'!$M$5:$M$5000=Standards!A8)*('Training Detail'!$G$5:$G$5000&gt;=D59)*('Training Detail'!$G$5:$G$5000&lt;=E59)*('Training Detail'!$P$5:$P$5000)))</f>
        <v>1</v>
      </c>
      <c r="M59" s="16" t="n">
        <f aca="false">IF(OR(A59="",C59=""),"",SUMPRODUCT(('Training Detail'!$A$5:$A$5000=A59)*('Training Detail'!$M$5:$M$5000=Standards!A9)*('Training Detail'!$G$5:$G$5000&gt;=D59)*('Training Detail'!$G$5:$G$5000&lt;=E59)*('Training Detail'!$P$5:$P$5000)))</f>
        <v>0</v>
      </c>
      <c r="N59" s="17" t="str">
        <f aca="false">IF(A59="","",IF(C59="","Set exp date",IF(AND(F59&gt;=Requirements!B5,G59&gt;=Requirements!B6,H59&gt;=Requirements!B7,I59&gt;=Requirements!B8,J59&gt;=Requirements!B9,K59&gt;=Requirements!B10,L59&gt;=Requirements!B11,M59&gt;=Requirements!B12),"Met","Short")))</f>
        <v>Short</v>
      </c>
      <c r="O59" s="18" t="str">
        <f aca="false">IF(OR(A59="",C59=""),"",IF(N59="Met","",IF(F59&lt;Requirements!B5,Requirements!A5&amp;" "&amp;TEXT(Requirements!B5-F59,"0.##")&amp;"; ","")&amp;IF(G59&lt;Requirements!B6,Requirements!A6&amp;" "&amp;TEXT(Requirements!B6-G59,"0.##")&amp;"; ","")&amp;IF(H59&lt;Requirements!B7,Requirements!A7&amp;" "&amp;TEXT(Requirements!B7-H59,"0.##")&amp;"; ","")&amp;IF(I59&lt;Requirements!B8,Requirements!A8&amp;" "&amp;TEXT(Requirements!B8-I59,"0.##")&amp;"; ","")&amp;IF(J59&lt;Requirements!B9,Requirements!A9&amp;" "&amp;TEXT(Requirements!B9-J59,"0.##")&amp;"; ","")&amp;IF(K59&lt;Requirements!B10,Requirements!A10&amp;" "&amp;TEXT(Requirements!B10-K59,"0.##")&amp;"; ","")&amp;IF(L59&lt;Requirements!B11,Requirements!A11&amp;" "&amp;TEXT(Requirements!B11-L59,"0.##")&amp;"; ","")&amp;IF(M59&lt;Requirements!B12,Requirements!A12&amp;" "&amp;TEXT(Requirements!B12-M59,"0.##")&amp;"; ","")))</f>
        <v>Operations 2; CPR/AED 1; </v>
      </c>
    </row>
    <row r="60" customFormat="false" ht="15" hidden="false" customHeight="true" outlineLevel="0" collapsed="false">
      <c r="A60" s="11" t="s">
        <v>110</v>
      </c>
      <c r="B60" s="12" t="s">
        <v>111</v>
      </c>
      <c r="C60" s="13" t="n">
        <v>46387</v>
      </c>
      <c r="D60" s="14" t="n">
        <f aca="false">IF(C60="","",DATE(YEAR(C60)-1,1,1))</f>
        <v>45658</v>
      </c>
      <c r="E60" s="14" t="n">
        <f aca="false">IF(C60="","",DATE(YEAR(C60),12,31))</f>
        <v>46387</v>
      </c>
      <c r="F60" s="15" t="n">
        <f aca="false">IF(OR(A60="",C60=""),"",SUMPRODUCT(('Training Detail'!$A$5:$A$5000=A60)*('Training Detail'!$M$5:$M$5000=Standards!A2)*('Training Detail'!$G$5:$G$5000&gt;=D60)*('Training Detail'!$G$5:$G$5000&lt;=E60)*('Training Detail'!$P$5:$P$5000)))</f>
        <v>1</v>
      </c>
      <c r="G60" s="15" t="n">
        <f aca="false">IF(OR(A60="",C60=""),"",SUMPRODUCT(('Training Detail'!$A$5:$A$5000=A60)*('Training Detail'!$M$5:$M$5000=Standards!A3)*('Training Detail'!$G$5:$G$5000&gt;=D60)*('Training Detail'!$G$5:$G$5000&lt;=E60)*('Training Detail'!$P$5:$P$5000)))</f>
        <v>2</v>
      </c>
      <c r="H60" s="15" t="n">
        <f aca="false">IF(OR(A60="",C60=""),"",SUMPRODUCT(('Training Detail'!$A$5:$A$5000=A60)*('Training Detail'!$M$5:$M$5000=Standards!A4)*('Training Detail'!$G$5:$G$5000&gt;=D60)*('Training Detail'!$G$5:$G$5000&lt;=E60)*('Training Detail'!$P$5:$P$5000)))</f>
        <v>6</v>
      </c>
      <c r="I60" s="15" t="n">
        <f aca="false">IF(OR(A60="",C60=""),"",SUMPRODUCT(('Training Detail'!$A$5:$A$5000=A60)*('Training Detail'!$M$5:$M$5000=Standards!A5)*('Training Detail'!$G$5:$G$5000&gt;=D60)*('Training Detail'!$G$5:$G$5000&lt;=E60)*('Training Detail'!$P$5:$P$5000)))</f>
        <v>3</v>
      </c>
      <c r="J60" s="15" t="n">
        <f aca="false">IF(OR(A60="",C60=""),"",SUMPRODUCT(('Training Detail'!$A$5:$A$5000=A60)*('Training Detail'!$M$5:$M$5000=Standards!A6)*('Training Detail'!$G$5:$G$5000&gt;=D60)*('Training Detail'!$G$5:$G$5000&lt;=E60)*('Training Detail'!$P$5:$P$5000)))</f>
        <v>6</v>
      </c>
      <c r="K60" s="15" t="n">
        <f aca="false">IF(OR(A60="",C60=""),"",SUMPRODUCT(('Training Detail'!$A$5:$A$5000=A60)*('Training Detail'!$M$5:$M$5000=Standards!A7)*('Training Detail'!$G$5:$G$5000&gt;=D60)*('Training Detail'!$G$5:$G$5000&lt;=E60)*('Training Detail'!$P$5:$P$5000)))</f>
        <v>1</v>
      </c>
      <c r="L60" s="15" t="n">
        <f aca="false">IF(OR(A60="",C60=""),"",SUMPRODUCT(('Training Detail'!$A$5:$A$5000=A60)*('Training Detail'!$M$5:$M$5000=Standards!A8)*('Training Detail'!$G$5:$G$5000&gt;=D60)*('Training Detail'!$G$5:$G$5000&lt;=E60)*('Training Detail'!$P$5:$P$5000)))</f>
        <v>1</v>
      </c>
      <c r="M60" s="16" t="n">
        <f aca="false">IF(OR(A60="",C60=""),"",SUMPRODUCT(('Training Detail'!$A$5:$A$5000=A60)*('Training Detail'!$M$5:$M$5000=Standards!A9)*('Training Detail'!$G$5:$G$5000&gt;=D60)*('Training Detail'!$G$5:$G$5000&lt;=E60)*('Training Detail'!$P$5:$P$5000)))</f>
        <v>10</v>
      </c>
      <c r="N60" s="17" t="str">
        <f aca="false">IF(A60="","",IF(C60="","Set exp date",IF(AND(F60&gt;=Requirements!B5,G60&gt;=Requirements!B6,H60&gt;=Requirements!B7,I60&gt;=Requirements!B8,J60&gt;=Requirements!B9,K60&gt;=Requirements!B10,L60&gt;=Requirements!B11,M60&gt;=Requirements!B12),"Met","Short")))</f>
        <v>Short</v>
      </c>
      <c r="O60" s="18" t="str">
        <f aca="false">IF(OR(A60="",C60=""),"",IF(N60="Met","",IF(F60&lt;Requirements!B5,Requirements!A5&amp;" "&amp;TEXT(Requirements!B5-F60,"0.##")&amp;"; ","")&amp;IF(G60&lt;Requirements!B6,Requirements!A6&amp;" "&amp;TEXT(Requirements!B6-G60,"0.##")&amp;"; ","")&amp;IF(H60&lt;Requirements!B7,Requirements!A7&amp;" "&amp;TEXT(Requirements!B7-H60,"0.##")&amp;"; ","")&amp;IF(I60&lt;Requirements!B8,Requirements!A8&amp;" "&amp;TEXT(Requirements!B8-I60,"0.##")&amp;"; ","")&amp;IF(J60&lt;Requirements!B9,Requirements!A9&amp;" "&amp;TEXT(Requirements!B9-J60,"0.##")&amp;"; ","")&amp;IF(K60&lt;Requirements!B10,Requirements!A10&amp;" "&amp;TEXT(Requirements!B10-K60,"0.##")&amp;"; ","")&amp;IF(L60&lt;Requirements!B11,Requirements!A11&amp;" "&amp;TEXT(Requirements!B11-L60,"0.##")&amp;"; ","")&amp;IF(M60&lt;Requirements!B12,Requirements!A12&amp;" "&amp;TEXT(Requirements!B12-M60,"0.##")&amp;"; ","")))</f>
        <v>Airway 3; Cardiovascular 3; Medical 3; </v>
      </c>
    </row>
    <row r="61" customFormat="false" ht="15" hidden="false" customHeight="true" outlineLevel="0" collapsed="false">
      <c r="A61" s="19" t="s">
        <v>112</v>
      </c>
      <c r="B61" s="20" t="s">
        <v>113</v>
      </c>
      <c r="C61" s="13" t="n">
        <v>46752</v>
      </c>
      <c r="D61" s="21" t="n">
        <f aca="false">IF(C61="","",DATE(YEAR(C61)-1,1,1))</f>
        <v>46023</v>
      </c>
      <c r="E61" s="21" t="n">
        <f aca="false">IF(C61="","",DATE(YEAR(C61),12,31))</f>
        <v>46752</v>
      </c>
      <c r="F61" s="15" t="n">
        <f aca="false">IF(OR(A61="",C61=""),"",SUMPRODUCT(('Training Detail'!$A$5:$A$5000=A61)*('Training Detail'!$M$5:$M$5000=Standards!A2)*('Training Detail'!$G$5:$G$5000&gt;=D61)*('Training Detail'!$G$5:$G$5000&lt;=E61)*('Training Detail'!$P$5:$P$5000)))</f>
        <v>1</v>
      </c>
      <c r="G61" s="15" t="n">
        <f aca="false">IF(OR(A61="",C61=""),"",SUMPRODUCT(('Training Detail'!$A$5:$A$5000=A61)*('Training Detail'!$M$5:$M$5000=Standards!A3)*('Training Detail'!$G$5:$G$5000&gt;=D61)*('Training Detail'!$G$5:$G$5000&lt;=E61)*('Training Detail'!$P$5:$P$5000)))</f>
        <v>0</v>
      </c>
      <c r="H61" s="15" t="n">
        <f aca="false">IF(OR(A61="",C61=""),"",SUMPRODUCT(('Training Detail'!$A$5:$A$5000=A61)*('Training Detail'!$M$5:$M$5000=Standards!A4)*('Training Detail'!$G$5:$G$5000&gt;=D61)*('Training Detail'!$G$5:$G$5000&lt;=E61)*('Training Detail'!$P$5:$P$5000)))</f>
        <v>5</v>
      </c>
      <c r="I61" s="15" t="n">
        <f aca="false">IF(OR(A61="",C61=""),"",SUMPRODUCT(('Training Detail'!$A$5:$A$5000=A61)*('Training Detail'!$M$5:$M$5000=Standards!A5)*('Training Detail'!$G$5:$G$5000&gt;=D61)*('Training Detail'!$G$5:$G$5000&lt;=E61)*('Training Detail'!$P$5:$P$5000)))</f>
        <v>7</v>
      </c>
      <c r="J61" s="15" t="n">
        <f aca="false">IF(OR(A61="",C61=""),"",SUMPRODUCT(('Training Detail'!$A$5:$A$5000=A61)*('Training Detail'!$M$5:$M$5000=Standards!A6)*('Training Detail'!$G$5:$G$5000&gt;=D61)*('Training Detail'!$G$5:$G$5000&lt;=E61)*('Training Detail'!$P$5:$P$5000)))</f>
        <v>1</v>
      </c>
      <c r="K61" s="15" t="n">
        <f aca="false">IF(OR(A61="",C61=""),"",SUMPRODUCT(('Training Detail'!$A$5:$A$5000=A61)*('Training Detail'!$M$5:$M$5000=Standards!A7)*('Training Detail'!$G$5:$G$5000&gt;=D61)*('Training Detail'!$G$5:$G$5000&lt;=E61)*('Training Detail'!$P$5:$P$5000)))</f>
        <v>0</v>
      </c>
      <c r="L61" s="15" t="n">
        <f aca="false">IF(OR(A61="",C61=""),"",SUMPRODUCT(('Training Detail'!$A$5:$A$5000=A61)*('Training Detail'!$M$5:$M$5000=Standards!A8)*('Training Detail'!$G$5:$G$5000&gt;=D61)*('Training Detail'!$G$5:$G$5000&lt;=E61)*('Training Detail'!$P$5:$P$5000)))</f>
        <v>0</v>
      </c>
      <c r="M61" s="16" t="n">
        <f aca="false">IF(OR(A61="",C61=""),"",SUMPRODUCT(('Training Detail'!$A$5:$A$5000=A61)*('Training Detail'!$M$5:$M$5000=Standards!A9)*('Training Detail'!$G$5:$G$5000&gt;=D61)*('Training Detail'!$G$5:$G$5000&lt;=E61)*('Training Detail'!$P$5:$P$5000)))</f>
        <v>0</v>
      </c>
      <c r="N61" s="17" t="str">
        <f aca="false">IF(A61="","",IF(C61="","Set exp date",IF(AND(F61&gt;=Requirements!B5,G61&gt;=Requirements!B6,H61&gt;=Requirements!B7,I61&gt;=Requirements!B8,J61&gt;=Requirements!B9,K61&gt;=Requirements!B10,L61&gt;=Requirements!B11,M61&gt;=Requirements!B12),"Met","Short")))</f>
        <v>Short</v>
      </c>
      <c r="O61" s="18" t="str">
        <f aca="false">IF(OR(A61="",C61=""),"",IF(N61="Met","",IF(F61&lt;Requirements!B5,Requirements!A5&amp;" "&amp;TEXT(Requirements!B5-F61,"0.##")&amp;"; ","")&amp;IF(G61&lt;Requirements!B6,Requirements!A6&amp;" "&amp;TEXT(Requirements!B6-G61,"0.##")&amp;"; ","")&amp;IF(H61&lt;Requirements!B7,Requirements!A7&amp;" "&amp;TEXT(Requirements!B7-H61,"0.##")&amp;"; ","")&amp;IF(I61&lt;Requirements!B8,Requirements!A8&amp;" "&amp;TEXT(Requirements!B8-I61,"0.##")&amp;"; ","")&amp;IF(J61&lt;Requirements!B9,Requirements!A9&amp;" "&amp;TEXT(Requirements!B9-J61,"0.##")&amp;"; ","")&amp;IF(K61&lt;Requirements!B10,Requirements!A10&amp;" "&amp;TEXT(Requirements!B10-K61,"0.##")&amp;"; ","")&amp;IF(L61&lt;Requirements!B11,Requirements!A11&amp;" "&amp;TEXT(Requirements!B11-L61,"0.##")&amp;"; ","")&amp;IF(M61&lt;Requirements!B12,Requirements!A12&amp;" "&amp;TEXT(Requirements!B12-M61,"0.##")&amp;"; ","")))</f>
        <v>Airway 3; Cardiovascular 5; Operations 1; PAHT 1; SVAT 1; CPR/AED 1; </v>
      </c>
    </row>
    <row r="62" customFormat="false" ht="15" hidden="false" customHeight="true" outlineLevel="0" collapsed="false">
      <c r="A62" s="11" t="s">
        <v>114</v>
      </c>
      <c r="B62" s="12" t="s">
        <v>115</v>
      </c>
      <c r="C62" s="13" t="n">
        <v>46752</v>
      </c>
      <c r="D62" s="14" t="n">
        <f aca="false">IF(C62="","",DATE(YEAR(C62)-1,1,1))</f>
        <v>46023</v>
      </c>
      <c r="E62" s="14" t="n">
        <f aca="false">IF(C62="","",DATE(YEAR(C62),12,31))</f>
        <v>46752</v>
      </c>
      <c r="F62" s="15" t="n">
        <f aca="false">IF(OR(A62="",C62=""),"",SUMPRODUCT(('Training Detail'!$A$5:$A$5000=A62)*('Training Detail'!$M$5:$M$5000=Standards!A2)*('Training Detail'!$G$5:$G$5000&gt;=D62)*('Training Detail'!$G$5:$G$5000&lt;=E62)*('Training Detail'!$P$5:$P$5000)))</f>
        <v>0</v>
      </c>
      <c r="G62" s="15" t="n">
        <f aca="false">IF(OR(A62="",C62=""),"",SUMPRODUCT(('Training Detail'!$A$5:$A$5000=A62)*('Training Detail'!$M$5:$M$5000=Standards!A3)*('Training Detail'!$G$5:$G$5000&gt;=D62)*('Training Detail'!$G$5:$G$5000&lt;=E62)*('Training Detail'!$P$5:$P$5000)))</f>
        <v>0</v>
      </c>
      <c r="H62" s="15" t="n">
        <f aca="false">IF(OR(A62="",C62=""),"",SUMPRODUCT(('Training Detail'!$A$5:$A$5000=A62)*('Training Detail'!$M$5:$M$5000=Standards!A4)*('Training Detail'!$G$5:$G$5000&gt;=D62)*('Training Detail'!$G$5:$G$5000&lt;=E62)*('Training Detail'!$P$5:$P$5000)))</f>
        <v>3</v>
      </c>
      <c r="I62" s="15" t="n">
        <f aca="false">IF(OR(A62="",C62=""),"",SUMPRODUCT(('Training Detail'!$A$5:$A$5000=A62)*('Training Detail'!$M$5:$M$5000=Standards!A5)*('Training Detail'!$G$5:$G$5000&gt;=D62)*('Training Detail'!$G$5:$G$5000&lt;=E62)*('Training Detail'!$P$5:$P$5000)))</f>
        <v>3</v>
      </c>
      <c r="J62" s="15" t="n">
        <f aca="false">IF(OR(A62="",C62=""),"",SUMPRODUCT(('Training Detail'!$A$5:$A$5000=A62)*('Training Detail'!$M$5:$M$5000=Standards!A6)*('Training Detail'!$G$5:$G$5000&gt;=D62)*('Training Detail'!$G$5:$G$5000&lt;=E62)*('Training Detail'!$P$5:$P$5000)))</f>
        <v>1</v>
      </c>
      <c r="K62" s="15" t="n">
        <f aca="false">IF(OR(A62="",C62=""),"",SUMPRODUCT(('Training Detail'!$A$5:$A$5000=A62)*('Training Detail'!$M$5:$M$5000=Standards!A7)*('Training Detail'!$G$5:$G$5000&gt;=D62)*('Training Detail'!$G$5:$G$5000&lt;=E62)*('Training Detail'!$P$5:$P$5000)))</f>
        <v>0</v>
      </c>
      <c r="L62" s="15" t="n">
        <f aca="false">IF(OR(A62="",C62=""),"",SUMPRODUCT(('Training Detail'!$A$5:$A$5000=A62)*('Training Detail'!$M$5:$M$5000=Standards!A8)*('Training Detail'!$G$5:$G$5000&gt;=D62)*('Training Detail'!$G$5:$G$5000&lt;=E62)*('Training Detail'!$P$5:$P$5000)))</f>
        <v>1</v>
      </c>
      <c r="M62" s="16" t="n">
        <f aca="false">IF(OR(A62="",C62=""),"",SUMPRODUCT(('Training Detail'!$A$5:$A$5000=A62)*('Training Detail'!$M$5:$M$5000=Standards!A9)*('Training Detail'!$G$5:$G$5000&gt;=D62)*('Training Detail'!$G$5:$G$5000&lt;=E62)*('Training Detail'!$P$5:$P$5000)))</f>
        <v>1</v>
      </c>
      <c r="N62" s="17" t="str">
        <f aca="false">IF(A62="","",IF(C62="","Set exp date",IF(AND(F62&gt;=Requirements!B5,G62&gt;=Requirements!B6,H62&gt;=Requirements!B7,I62&gt;=Requirements!B8,J62&gt;=Requirements!B9,K62&gt;=Requirements!B10,L62&gt;=Requirements!B11,M62&gt;=Requirements!B12),"Met","Short")))</f>
        <v>Short</v>
      </c>
      <c r="O62" s="18" t="str">
        <f aca="false">IF(OR(A62="",C62=""),"",IF(N62="Met","",IF(F62&lt;Requirements!B5,Requirements!A5&amp;" "&amp;TEXT(Requirements!B5-F62,"0.##")&amp;"; ","")&amp;IF(G62&lt;Requirements!B6,Requirements!A6&amp;" "&amp;TEXT(Requirements!B6-G62,"0.##")&amp;"; ","")&amp;IF(H62&lt;Requirements!B7,Requirements!A7&amp;" "&amp;TEXT(Requirements!B7-H62,"0.##")&amp;"; ","")&amp;IF(I62&lt;Requirements!B8,Requirements!A8&amp;" "&amp;TEXT(Requirements!B8-I62,"0.##")&amp;"; ","")&amp;IF(J62&lt;Requirements!B9,Requirements!A9&amp;" "&amp;TEXT(Requirements!B9-J62,"0.##")&amp;"; ","")&amp;IF(K62&lt;Requirements!B10,Requirements!A10&amp;" "&amp;TEXT(Requirements!B10-K62,"0.##")&amp;"; ","")&amp;IF(L62&lt;Requirements!B11,Requirements!A11&amp;" "&amp;TEXT(Requirements!B11-L62,"0.##")&amp;"; ","")&amp;IF(M62&lt;Requirements!B12,Requirements!A12&amp;" "&amp;TEXT(Requirements!B12-M62,"0.##")&amp;"; ","")))</f>
        <v>Airway 4; Cardiovascular 5; Medical 3; Operations 1; PAHT 1; </v>
      </c>
    </row>
    <row r="63" customFormat="false" ht="15" hidden="false" customHeight="true" outlineLevel="0" collapsed="false">
      <c r="A63" s="19" t="s">
        <v>116</v>
      </c>
      <c r="B63" s="20" t="s">
        <v>117</v>
      </c>
      <c r="C63" s="13" t="n">
        <v>46387</v>
      </c>
      <c r="D63" s="21" t="n">
        <f aca="false">IF(C63="","",DATE(YEAR(C63)-1,1,1))</f>
        <v>45658</v>
      </c>
      <c r="E63" s="21" t="n">
        <f aca="false">IF(C63="","",DATE(YEAR(C63),12,31))</f>
        <v>46387</v>
      </c>
      <c r="F63" s="15" t="n">
        <f aca="false">IF(OR(A63="",C63=""),"",SUMPRODUCT(('Training Detail'!$A$5:$A$5000=A63)*('Training Detail'!$M$5:$M$5000=Standards!A2)*('Training Detail'!$G$5:$G$5000&gt;=D63)*('Training Detail'!$G$5:$G$5000&lt;=E63)*('Training Detail'!$P$5:$P$5000)))</f>
        <v>2</v>
      </c>
      <c r="G63" s="15" t="n">
        <f aca="false">IF(OR(A63="",C63=""),"",SUMPRODUCT(('Training Detail'!$A$5:$A$5000=A63)*('Training Detail'!$M$5:$M$5000=Standards!A3)*('Training Detail'!$G$5:$G$5000&gt;=D63)*('Training Detail'!$G$5:$G$5000&lt;=E63)*('Training Detail'!$P$5:$P$5000)))</f>
        <v>0.5</v>
      </c>
      <c r="H63" s="15" t="n">
        <f aca="false">IF(OR(A63="",C63=""),"",SUMPRODUCT(('Training Detail'!$A$5:$A$5000=A63)*('Training Detail'!$M$5:$M$5000=Standards!A4)*('Training Detail'!$G$5:$G$5000&gt;=D63)*('Training Detail'!$G$5:$G$5000&lt;=E63)*('Training Detail'!$P$5:$P$5000)))</f>
        <v>3</v>
      </c>
      <c r="I63" s="15" t="n">
        <f aca="false">IF(OR(A63="",C63=""),"",SUMPRODUCT(('Training Detail'!$A$5:$A$5000=A63)*('Training Detail'!$M$5:$M$5000=Standards!A5)*('Training Detail'!$G$5:$G$5000&gt;=D63)*('Training Detail'!$G$5:$G$5000&lt;=E63)*('Training Detail'!$P$5:$P$5000)))</f>
        <v>4</v>
      </c>
      <c r="J63" s="15" t="n">
        <f aca="false">IF(OR(A63="",C63=""),"",SUMPRODUCT(('Training Detail'!$A$5:$A$5000=A63)*('Training Detail'!$M$5:$M$5000=Standards!A6)*('Training Detail'!$G$5:$G$5000&gt;=D63)*('Training Detail'!$G$5:$G$5000&lt;=E63)*('Training Detail'!$P$5:$P$5000)))</f>
        <v>3</v>
      </c>
      <c r="K63" s="15" t="n">
        <f aca="false">IF(OR(A63="",C63=""),"",SUMPRODUCT(('Training Detail'!$A$5:$A$5000=A63)*('Training Detail'!$M$5:$M$5000=Standards!A7)*('Training Detail'!$G$5:$G$5000&gt;=D63)*('Training Detail'!$G$5:$G$5000&lt;=E63)*('Training Detail'!$P$5:$P$5000)))</f>
        <v>0</v>
      </c>
      <c r="L63" s="15" t="n">
        <f aca="false">IF(OR(A63="",C63=""),"",SUMPRODUCT(('Training Detail'!$A$5:$A$5000=A63)*('Training Detail'!$M$5:$M$5000=Standards!A8)*('Training Detail'!$G$5:$G$5000&gt;=D63)*('Training Detail'!$G$5:$G$5000&lt;=E63)*('Training Detail'!$P$5:$P$5000)))</f>
        <v>0</v>
      </c>
      <c r="M63" s="16" t="n">
        <f aca="false">IF(OR(A63="",C63=""),"",SUMPRODUCT(('Training Detail'!$A$5:$A$5000=A63)*('Training Detail'!$M$5:$M$5000=Standards!A9)*('Training Detail'!$G$5:$G$5000&gt;=D63)*('Training Detail'!$G$5:$G$5000&lt;=E63)*('Training Detail'!$P$5:$P$5000)))</f>
        <v>0</v>
      </c>
      <c r="N63" s="17" t="str">
        <f aca="false">IF(A63="","",IF(C63="","Set exp date",IF(AND(F63&gt;=Requirements!B5,G63&gt;=Requirements!B6,H63&gt;=Requirements!B7,I63&gt;=Requirements!B8,J63&gt;=Requirements!B9,K63&gt;=Requirements!B10,L63&gt;=Requirements!B11,M63&gt;=Requirements!B12),"Met","Short")))</f>
        <v>Short</v>
      </c>
      <c r="O63" s="18" t="str">
        <f aca="false">IF(OR(A63="",C63=""),"",IF(N63="Met","",IF(F63&lt;Requirements!B5,Requirements!A5&amp;" "&amp;TEXT(Requirements!B5-F63,"0.##")&amp;"; ","")&amp;IF(G63&lt;Requirements!B6,Requirements!A6&amp;" "&amp;TEXT(Requirements!B6-G63,"0.##")&amp;"; ","")&amp;IF(H63&lt;Requirements!B7,Requirements!A7&amp;" "&amp;TEXT(Requirements!B7-H63,"0.##")&amp;"; ","")&amp;IF(I63&lt;Requirements!B8,Requirements!A8&amp;" "&amp;TEXT(Requirements!B8-I63,"0.##")&amp;"; ","")&amp;IF(J63&lt;Requirements!B9,Requirements!A9&amp;" "&amp;TEXT(Requirements!B9-J63,"0.##")&amp;"; ","")&amp;IF(K63&lt;Requirements!B10,Requirements!A10&amp;" "&amp;TEXT(Requirements!B10-K63,"0.##")&amp;"; ","")&amp;IF(L63&lt;Requirements!B11,Requirements!A11&amp;" "&amp;TEXT(Requirements!B11-L63,"0.##")&amp;"; ","")&amp;IF(M63&lt;Requirements!B12,Requirements!A12&amp;" "&amp;TEXT(Requirements!B12-M63,"0.##")&amp;"; ","")))</f>
        <v>Airway 2; Cardiovascular 4.5; Medical 2; PAHT 1; SVAT 1; CPR/AED 1; </v>
      </c>
    </row>
    <row r="64" customFormat="false" ht="15" hidden="false" customHeight="true" outlineLevel="0" collapsed="false">
      <c r="A64" s="11" t="s">
        <v>118</v>
      </c>
      <c r="B64" s="12" t="s">
        <v>119</v>
      </c>
      <c r="C64" s="13" t="n">
        <v>46387</v>
      </c>
      <c r="D64" s="14" t="n">
        <f aca="false">IF(C64="","",DATE(YEAR(C64)-1,1,1))</f>
        <v>45658</v>
      </c>
      <c r="E64" s="14" t="n">
        <f aca="false">IF(C64="","",DATE(YEAR(C64),12,31))</f>
        <v>46387</v>
      </c>
      <c r="F64" s="15" t="n">
        <f aca="false">IF(OR(A64="",C64=""),"",SUMPRODUCT(('Training Detail'!$A$5:$A$5000=A64)*('Training Detail'!$M$5:$M$5000=Standards!A2)*('Training Detail'!$G$5:$G$5000&gt;=D64)*('Training Detail'!$G$5:$G$5000&lt;=E64)*('Training Detail'!$P$5:$P$5000)))</f>
        <v>1</v>
      </c>
      <c r="G64" s="15" t="n">
        <f aca="false">IF(OR(A64="",C64=""),"",SUMPRODUCT(('Training Detail'!$A$5:$A$5000=A64)*('Training Detail'!$M$5:$M$5000=Standards!A3)*('Training Detail'!$G$5:$G$5000&gt;=D64)*('Training Detail'!$G$5:$G$5000&lt;=E64)*('Training Detail'!$P$5:$P$5000)))</f>
        <v>1</v>
      </c>
      <c r="H64" s="15" t="n">
        <f aca="false">IF(OR(A64="",C64=""),"",SUMPRODUCT(('Training Detail'!$A$5:$A$5000=A64)*('Training Detail'!$M$5:$M$5000=Standards!A4)*('Training Detail'!$G$5:$G$5000&gt;=D64)*('Training Detail'!$G$5:$G$5000&lt;=E64)*('Training Detail'!$P$5:$P$5000)))</f>
        <v>3</v>
      </c>
      <c r="I64" s="15" t="n">
        <f aca="false">IF(OR(A64="",C64=""),"",SUMPRODUCT(('Training Detail'!$A$5:$A$5000=A64)*('Training Detail'!$M$5:$M$5000=Standards!A5)*('Training Detail'!$G$5:$G$5000&gt;=D64)*('Training Detail'!$G$5:$G$5000&lt;=E64)*('Training Detail'!$P$5:$P$5000)))</f>
        <v>2.5</v>
      </c>
      <c r="J64" s="15" t="n">
        <f aca="false">IF(OR(A64="",C64=""),"",SUMPRODUCT(('Training Detail'!$A$5:$A$5000=A64)*('Training Detail'!$M$5:$M$5000=Standards!A6)*('Training Detail'!$G$5:$G$5000&gt;=D64)*('Training Detail'!$G$5:$G$5000&lt;=E64)*('Training Detail'!$P$5:$P$5000)))</f>
        <v>4</v>
      </c>
      <c r="K64" s="15" t="n">
        <f aca="false">IF(OR(A64="",C64=""),"",SUMPRODUCT(('Training Detail'!$A$5:$A$5000=A64)*('Training Detail'!$M$5:$M$5000=Standards!A7)*('Training Detail'!$G$5:$G$5000&gt;=D64)*('Training Detail'!$G$5:$G$5000&lt;=E64)*('Training Detail'!$P$5:$P$5000)))</f>
        <v>1</v>
      </c>
      <c r="L64" s="15" t="n">
        <f aca="false">IF(OR(A64="",C64=""),"",SUMPRODUCT(('Training Detail'!$A$5:$A$5000=A64)*('Training Detail'!$M$5:$M$5000=Standards!A8)*('Training Detail'!$G$5:$G$5000&gt;=D64)*('Training Detail'!$G$5:$G$5000&lt;=E64)*('Training Detail'!$P$5:$P$5000)))</f>
        <v>0</v>
      </c>
      <c r="M64" s="16" t="n">
        <f aca="false">IF(OR(A64="",C64=""),"",SUMPRODUCT(('Training Detail'!$A$5:$A$5000=A64)*('Training Detail'!$M$5:$M$5000=Standards!A9)*('Training Detail'!$G$5:$G$5000&gt;=D64)*('Training Detail'!$G$5:$G$5000&lt;=E64)*('Training Detail'!$P$5:$P$5000)))</f>
        <v>0</v>
      </c>
      <c r="N64" s="17" t="str">
        <f aca="false">IF(A64="","",IF(C64="","Set exp date",IF(AND(F64&gt;=Requirements!B5,G64&gt;=Requirements!B6,H64&gt;=Requirements!B7,I64&gt;=Requirements!B8,J64&gt;=Requirements!B9,K64&gt;=Requirements!B10,L64&gt;=Requirements!B11,M64&gt;=Requirements!B12),"Met","Short")))</f>
        <v>Short</v>
      </c>
      <c r="O64" s="18" t="str">
        <f aca="false">IF(OR(A64="",C64=""),"",IF(N64="Met","",IF(F64&lt;Requirements!B5,Requirements!A5&amp;" "&amp;TEXT(Requirements!B5-F64,"0.##")&amp;"; ","")&amp;IF(G64&lt;Requirements!B6,Requirements!A6&amp;" "&amp;TEXT(Requirements!B6-G64,"0.##")&amp;"; ","")&amp;IF(H64&lt;Requirements!B7,Requirements!A7&amp;" "&amp;TEXT(Requirements!B7-H64,"0.##")&amp;"; ","")&amp;IF(I64&lt;Requirements!B8,Requirements!A8&amp;" "&amp;TEXT(Requirements!B8-I64,"0.##")&amp;"; ","")&amp;IF(J64&lt;Requirements!B9,Requirements!A9&amp;" "&amp;TEXT(Requirements!B9-J64,"0.##")&amp;"; ","")&amp;IF(K64&lt;Requirements!B10,Requirements!A10&amp;" "&amp;TEXT(Requirements!B10-K64,"0.##")&amp;"; ","")&amp;IF(L64&lt;Requirements!B11,Requirements!A11&amp;" "&amp;TEXT(Requirements!B11-L64,"0.##")&amp;"; ","")&amp;IF(M64&lt;Requirements!B12,Requirements!A12&amp;" "&amp;TEXT(Requirements!B12-M64,"0.##")&amp;"; ","")))</f>
        <v>Airway 3; Cardiovascular 4; Medical 3.5; SVAT 1; CPR/AED 1; </v>
      </c>
    </row>
    <row r="65" customFormat="false" ht="15" hidden="false" customHeight="true" outlineLevel="0" collapsed="false">
      <c r="A65" s="19" t="s">
        <v>120</v>
      </c>
      <c r="B65" s="20" t="s">
        <v>121</v>
      </c>
      <c r="C65" s="13" t="n">
        <v>46387</v>
      </c>
      <c r="D65" s="21" t="n">
        <f aca="false">IF(C65="","",DATE(YEAR(C65)-1,1,1))</f>
        <v>45658</v>
      </c>
      <c r="E65" s="21" t="n">
        <f aca="false">IF(C65="","",DATE(YEAR(C65),12,31))</f>
        <v>46387</v>
      </c>
      <c r="F65" s="15" t="n">
        <f aca="false">IF(OR(A65="",C65=""),"",SUMPRODUCT(('Training Detail'!$A$5:$A$5000=A65)*('Training Detail'!$M$5:$M$5000=Standards!A2)*('Training Detail'!$G$5:$G$5000&gt;=D65)*('Training Detail'!$G$5:$G$5000&lt;=E65)*('Training Detail'!$P$5:$P$5000)))</f>
        <v>2.5</v>
      </c>
      <c r="G65" s="15" t="n">
        <f aca="false">IF(OR(A65="",C65=""),"",SUMPRODUCT(('Training Detail'!$A$5:$A$5000=A65)*('Training Detail'!$M$5:$M$5000=Standards!A3)*('Training Detail'!$G$5:$G$5000&gt;=D65)*('Training Detail'!$G$5:$G$5000&lt;=E65)*('Training Detail'!$P$5:$P$5000)))</f>
        <v>1</v>
      </c>
      <c r="H65" s="15" t="n">
        <f aca="false">IF(OR(A65="",C65=""),"",SUMPRODUCT(('Training Detail'!$A$5:$A$5000=A65)*('Training Detail'!$M$5:$M$5000=Standards!A4)*('Training Detail'!$G$5:$G$5000&gt;=D65)*('Training Detail'!$G$5:$G$5000&lt;=E65)*('Training Detail'!$P$5:$P$5000)))</f>
        <v>8.5</v>
      </c>
      <c r="I65" s="15" t="n">
        <f aca="false">IF(OR(A65="",C65=""),"",SUMPRODUCT(('Training Detail'!$A$5:$A$5000=A65)*('Training Detail'!$M$5:$M$5000=Standards!A5)*('Training Detail'!$G$5:$G$5000&gt;=D65)*('Training Detail'!$G$5:$G$5000&lt;=E65)*('Training Detail'!$P$5:$P$5000)))</f>
        <v>4</v>
      </c>
      <c r="J65" s="15" t="n">
        <f aca="false">IF(OR(A65="",C65=""),"",SUMPRODUCT(('Training Detail'!$A$5:$A$5000=A65)*('Training Detail'!$M$5:$M$5000=Standards!A6)*('Training Detail'!$G$5:$G$5000&gt;=D65)*('Training Detail'!$G$5:$G$5000&lt;=E65)*('Training Detail'!$P$5:$P$5000)))</f>
        <v>1</v>
      </c>
      <c r="K65" s="15" t="n">
        <f aca="false">IF(OR(A65="",C65=""),"",SUMPRODUCT(('Training Detail'!$A$5:$A$5000=A65)*('Training Detail'!$M$5:$M$5000=Standards!A7)*('Training Detail'!$G$5:$G$5000&gt;=D65)*('Training Detail'!$G$5:$G$5000&lt;=E65)*('Training Detail'!$P$5:$P$5000)))</f>
        <v>0</v>
      </c>
      <c r="L65" s="15" t="n">
        <f aca="false">IF(OR(A65="",C65=""),"",SUMPRODUCT(('Training Detail'!$A$5:$A$5000=A65)*('Training Detail'!$M$5:$M$5000=Standards!A8)*('Training Detail'!$G$5:$G$5000&gt;=D65)*('Training Detail'!$G$5:$G$5000&lt;=E65)*('Training Detail'!$P$5:$P$5000)))</f>
        <v>0</v>
      </c>
      <c r="M65" s="16" t="n">
        <f aca="false">IF(OR(A65="",C65=""),"",SUMPRODUCT(('Training Detail'!$A$5:$A$5000=A65)*('Training Detail'!$M$5:$M$5000=Standards!A9)*('Training Detail'!$G$5:$G$5000&gt;=D65)*('Training Detail'!$G$5:$G$5000&lt;=E65)*('Training Detail'!$P$5:$P$5000)))</f>
        <v>2.5</v>
      </c>
      <c r="N65" s="17" t="str">
        <f aca="false">IF(A65="","",IF(C65="","Set exp date",IF(AND(F65&gt;=Requirements!B5,G65&gt;=Requirements!B6,H65&gt;=Requirements!B7,I65&gt;=Requirements!B8,J65&gt;=Requirements!B9,K65&gt;=Requirements!B10,L65&gt;=Requirements!B11,M65&gt;=Requirements!B12),"Met","Short")))</f>
        <v>Short</v>
      </c>
      <c r="O65" s="18" t="str">
        <f aca="false">IF(OR(A65="",C65=""),"",IF(N65="Met","",IF(F65&lt;Requirements!B5,Requirements!A5&amp;" "&amp;TEXT(Requirements!B5-F65,"0.##")&amp;"; ","")&amp;IF(G65&lt;Requirements!B6,Requirements!A6&amp;" "&amp;TEXT(Requirements!B6-G65,"0.##")&amp;"; ","")&amp;IF(H65&lt;Requirements!B7,Requirements!A7&amp;" "&amp;TEXT(Requirements!B7-H65,"0.##")&amp;"; ","")&amp;IF(I65&lt;Requirements!B8,Requirements!A8&amp;" "&amp;TEXT(Requirements!B8-I65,"0.##")&amp;"; ","")&amp;IF(J65&lt;Requirements!B9,Requirements!A9&amp;" "&amp;TEXT(Requirements!B9-J65,"0.##")&amp;"; ","")&amp;IF(K65&lt;Requirements!B10,Requirements!A10&amp;" "&amp;TEXT(Requirements!B10-K65,"0.##")&amp;"; ","")&amp;IF(L65&lt;Requirements!B11,Requirements!A11&amp;" "&amp;TEXT(Requirements!B11-L65,"0.##")&amp;"; ","")&amp;IF(M65&lt;Requirements!B12,Requirements!A12&amp;" "&amp;TEXT(Requirements!B12-M65,"0.##")&amp;"; ","")))</f>
        <v>Airway 1.5; Cardiovascular 4; Medical 2; Operations 1; PAHT 1; SVAT 1; </v>
      </c>
    </row>
    <row r="66" customFormat="false" ht="15" hidden="false" customHeight="true" outlineLevel="0" collapsed="false">
      <c r="A66" s="11" t="s">
        <v>122</v>
      </c>
      <c r="B66" s="12" t="s">
        <v>123</v>
      </c>
      <c r="C66" s="13" t="n">
        <v>46387</v>
      </c>
      <c r="D66" s="14" t="n">
        <f aca="false">IF(C66="","",DATE(YEAR(C66)-1,1,1))</f>
        <v>45658</v>
      </c>
      <c r="E66" s="14" t="n">
        <f aca="false">IF(C66="","",DATE(YEAR(C66),12,31))</f>
        <v>46387</v>
      </c>
      <c r="F66" s="15" t="n">
        <f aca="false">IF(OR(A66="",C66=""),"",SUMPRODUCT(('Training Detail'!$A$5:$A$5000=A66)*('Training Detail'!$M$5:$M$5000=Standards!A2)*('Training Detail'!$G$5:$G$5000&gt;=D66)*('Training Detail'!$G$5:$G$5000&lt;=E66)*('Training Detail'!$P$5:$P$5000)))</f>
        <v>2</v>
      </c>
      <c r="G66" s="15" t="n">
        <f aca="false">IF(OR(A66="",C66=""),"",SUMPRODUCT(('Training Detail'!$A$5:$A$5000=A66)*('Training Detail'!$M$5:$M$5000=Standards!A3)*('Training Detail'!$G$5:$G$5000&gt;=D66)*('Training Detail'!$G$5:$G$5000&lt;=E66)*('Training Detail'!$P$5:$P$5000)))</f>
        <v>0</v>
      </c>
      <c r="H66" s="15" t="n">
        <f aca="false">IF(OR(A66="",C66=""),"",SUMPRODUCT(('Training Detail'!$A$5:$A$5000=A66)*('Training Detail'!$M$5:$M$5000=Standards!A4)*('Training Detail'!$G$5:$G$5000&gt;=D66)*('Training Detail'!$G$5:$G$5000&lt;=E66)*('Training Detail'!$P$5:$P$5000)))</f>
        <v>4</v>
      </c>
      <c r="I66" s="15" t="n">
        <f aca="false">IF(OR(A66="",C66=""),"",SUMPRODUCT(('Training Detail'!$A$5:$A$5000=A66)*('Training Detail'!$M$5:$M$5000=Standards!A5)*('Training Detail'!$G$5:$G$5000&gt;=D66)*('Training Detail'!$G$5:$G$5000&lt;=E66)*('Training Detail'!$P$5:$P$5000)))</f>
        <v>1.5</v>
      </c>
      <c r="J66" s="15" t="n">
        <f aca="false">IF(OR(A66="",C66=""),"",SUMPRODUCT(('Training Detail'!$A$5:$A$5000=A66)*('Training Detail'!$M$5:$M$5000=Standards!A6)*('Training Detail'!$G$5:$G$5000&gt;=D66)*('Training Detail'!$G$5:$G$5000&lt;=E66)*('Training Detail'!$P$5:$P$5000)))</f>
        <v>2</v>
      </c>
      <c r="K66" s="15" t="n">
        <f aca="false">IF(OR(A66="",C66=""),"",SUMPRODUCT(('Training Detail'!$A$5:$A$5000=A66)*('Training Detail'!$M$5:$M$5000=Standards!A7)*('Training Detail'!$G$5:$G$5000&gt;=D66)*('Training Detail'!$G$5:$G$5000&lt;=E66)*('Training Detail'!$P$5:$P$5000)))</f>
        <v>0</v>
      </c>
      <c r="L66" s="15" t="n">
        <f aca="false">IF(OR(A66="",C66=""),"",SUMPRODUCT(('Training Detail'!$A$5:$A$5000=A66)*('Training Detail'!$M$5:$M$5000=Standards!A8)*('Training Detail'!$G$5:$G$5000&gt;=D66)*('Training Detail'!$G$5:$G$5000&lt;=E66)*('Training Detail'!$P$5:$P$5000)))</f>
        <v>0</v>
      </c>
      <c r="M66" s="16" t="n">
        <f aca="false">IF(OR(A66="",C66=""),"",SUMPRODUCT(('Training Detail'!$A$5:$A$5000=A66)*('Training Detail'!$M$5:$M$5000=Standards!A9)*('Training Detail'!$G$5:$G$5000&gt;=D66)*('Training Detail'!$G$5:$G$5000&lt;=E66)*('Training Detail'!$P$5:$P$5000)))</f>
        <v>1</v>
      </c>
      <c r="N66" s="17" t="str">
        <f aca="false">IF(A66="","",IF(C66="","Set exp date",IF(AND(F66&gt;=Requirements!B5,G66&gt;=Requirements!B6,H66&gt;=Requirements!B7,I66&gt;=Requirements!B8,J66&gt;=Requirements!B9,K66&gt;=Requirements!B10,L66&gt;=Requirements!B11,M66&gt;=Requirements!B12),"Met","Short")))</f>
        <v>Short</v>
      </c>
      <c r="O66" s="18" t="str">
        <f aca="false">IF(OR(A66="",C66=""),"",IF(N66="Met","",IF(F66&lt;Requirements!B5,Requirements!A5&amp;" "&amp;TEXT(Requirements!B5-F66,"0.##")&amp;"; ","")&amp;IF(G66&lt;Requirements!B6,Requirements!A6&amp;" "&amp;TEXT(Requirements!B6-G66,"0.##")&amp;"; ","")&amp;IF(H66&lt;Requirements!B7,Requirements!A7&amp;" "&amp;TEXT(Requirements!B7-H66,"0.##")&amp;"; ","")&amp;IF(I66&lt;Requirements!B8,Requirements!A8&amp;" "&amp;TEXT(Requirements!B8-I66,"0.##")&amp;"; ","")&amp;IF(J66&lt;Requirements!B9,Requirements!A9&amp;" "&amp;TEXT(Requirements!B9-J66,"0.##")&amp;"; ","")&amp;IF(K66&lt;Requirements!B10,Requirements!A10&amp;" "&amp;TEXT(Requirements!B10-K66,"0.##")&amp;"; ","")&amp;IF(L66&lt;Requirements!B11,Requirements!A11&amp;" "&amp;TEXT(Requirements!B11-L66,"0.##")&amp;"; ","")&amp;IF(M66&lt;Requirements!B12,Requirements!A12&amp;" "&amp;TEXT(Requirements!B12-M66,"0.##")&amp;"; ","")))</f>
        <v>Airway 2; Cardiovascular 5; Medical 4.5; PAHT 1; SVAT 1; </v>
      </c>
    </row>
    <row r="67" customFormat="false" ht="15" hidden="false" customHeight="true" outlineLevel="0" collapsed="false">
      <c r="A67" s="19" t="s">
        <v>124</v>
      </c>
      <c r="B67" s="20" t="s">
        <v>125</v>
      </c>
      <c r="C67" s="13" t="n">
        <v>46387</v>
      </c>
      <c r="D67" s="21" t="n">
        <f aca="false">IF(C67="","",DATE(YEAR(C67)-1,1,1))</f>
        <v>45658</v>
      </c>
      <c r="E67" s="21" t="n">
        <f aca="false">IF(C67="","",DATE(YEAR(C67),12,31))</f>
        <v>46387</v>
      </c>
      <c r="F67" s="15" t="n">
        <f aca="false">IF(OR(A67="",C67=""),"",SUMPRODUCT(('Training Detail'!$A$5:$A$5000=A67)*('Training Detail'!$M$5:$M$5000=Standards!A2)*('Training Detail'!$G$5:$G$5000&gt;=D67)*('Training Detail'!$G$5:$G$5000&lt;=E67)*('Training Detail'!$P$5:$P$5000)))</f>
        <v>8</v>
      </c>
      <c r="G67" s="15" t="n">
        <f aca="false">IF(OR(A67="",C67=""),"",SUMPRODUCT(('Training Detail'!$A$5:$A$5000=A67)*('Training Detail'!$M$5:$M$5000=Standards!A3)*('Training Detail'!$G$5:$G$5000&gt;=D67)*('Training Detail'!$G$5:$G$5000&lt;=E67)*('Training Detail'!$P$5:$P$5000)))</f>
        <v>9.5</v>
      </c>
      <c r="H67" s="15" t="n">
        <f aca="false">IF(OR(A67="",C67=""),"",SUMPRODUCT(('Training Detail'!$A$5:$A$5000=A67)*('Training Detail'!$M$5:$M$5000=Standards!A4)*('Training Detail'!$G$5:$G$5000&gt;=D67)*('Training Detail'!$G$5:$G$5000&lt;=E67)*('Training Detail'!$P$5:$P$5000)))</f>
        <v>7</v>
      </c>
      <c r="I67" s="15" t="n">
        <f aca="false">IF(OR(A67="",C67=""),"",SUMPRODUCT(('Training Detail'!$A$5:$A$5000=A67)*('Training Detail'!$M$5:$M$5000=Standards!A5)*('Training Detail'!$G$5:$G$5000&gt;=D67)*('Training Detail'!$G$5:$G$5000&lt;=E67)*('Training Detail'!$P$5:$P$5000)))</f>
        <v>13.5</v>
      </c>
      <c r="J67" s="15" t="n">
        <f aca="false">IF(OR(A67="",C67=""),"",SUMPRODUCT(('Training Detail'!$A$5:$A$5000=A67)*('Training Detail'!$M$5:$M$5000=Standards!A6)*('Training Detail'!$G$5:$G$5000&gt;=D67)*('Training Detail'!$G$5:$G$5000&lt;=E67)*('Training Detail'!$P$5:$P$5000)))</f>
        <v>5</v>
      </c>
      <c r="K67" s="15" t="n">
        <f aca="false">IF(OR(A67="",C67=""),"",SUMPRODUCT(('Training Detail'!$A$5:$A$5000=A67)*('Training Detail'!$M$5:$M$5000=Standards!A7)*('Training Detail'!$G$5:$G$5000&gt;=D67)*('Training Detail'!$G$5:$G$5000&lt;=E67)*('Training Detail'!$P$5:$P$5000)))</f>
        <v>0</v>
      </c>
      <c r="L67" s="15" t="n">
        <f aca="false">IF(OR(A67="",C67=""),"",SUMPRODUCT(('Training Detail'!$A$5:$A$5000=A67)*('Training Detail'!$M$5:$M$5000=Standards!A8)*('Training Detail'!$G$5:$G$5000&gt;=D67)*('Training Detail'!$G$5:$G$5000&lt;=E67)*('Training Detail'!$P$5:$P$5000)))</f>
        <v>0</v>
      </c>
      <c r="M67" s="16" t="n">
        <f aca="false">IF(OR(A67="",C67=""),"",SUMPRODUCT(('Training Detail'!$A$5:$A$5000=A67)*('Training Detail'!$M$5:$M$5000=Standards!A9)*('Training Detail'!$G$5:$G$5000&gt;=D67)*('Training Detail'!$G$5:$G$5000&lt;=E67)*('Training Detail'!$P$5:$P$5000)))</f>
        <v>0</v>
      </c>
      <c r="N67" s="17" t="str">
        <f aca="false">IF(A67="","",IF(C67="","Set exp date",IF(AND(F67&gt;=Requirements!B5,G67&gt;=Requirements!B6,H67&gt;=Requirements!B7,I67&gt;=Requirements!B8,J67&gt;=Requirements!B9,K67&gt;=Requirements!B10,L67&gt;=Requirements!B11,M67&gt;=Requirements!B12),"Met","Short")))</f>
        <v>Short</v>
      </c>
      <c r="O67" s="18" t="str">
        <f aca="false">IF(OR(A67="",C67=""),"",IF(N67="Met","",IF(F67&lt;Requirements!B5,Requirements!A5&amp;" "&amp;TEXT(Requirements!B5-F67,"0.##")&amp;"; ","")&amp;IF(G67&lt;Requirements!B6,Requirements!A6&amp;" "&amp;TEXT(Requirements!B6-G67,"0.##")&amp;"; ","")&amp;IF(H67&lt;Requirements!B7,Requirements!A7&amp;" "&amp;TEXT(Requirements!B7-H67,"0.##")&amp;"; ","")&amp;IF(I67&lt;Requirements!B8,Requirements!A8&amp;" "&amp;TEXT(Requirements!B8-I67,"0.##")&amp;"; ","")&amp;IF(J67&lt;Requirements!B9,Requirements!A9&amp;" "&amp;TEXT(Requirements!B9-J67,"0.##")&amp;"; ","")&amp;IF(K67&lt;Requirements!B10,Requirements!A10&amp;" "&amp;TEXT(Requirements!B10-K67,"0.##")&amp;"; ","")&amp;IF(L67&lt;Requirements!B11,Requirements!A11&amp;" "&amp;TEXT(Requirements!B11-L67,"0.##")&amp;"; ","")&amp;IF(M67&lt;Requirements!B12,Requirements!A12&amp;" "&amp;TEXT(Requirements!B12-M67,"0.##")&amp;"; ","")))</f>
        <v>PAHT 1; SVAT 1; CPR/AED 1; </v>
      </c>
    </row>
    <row r="68" customFormat="false" ht="15" hidden="false" customHeight="true" outlineLevel="0" collapsed="false">
      <c r="A68" s="11" t="s">
        <v>126</v>
      </c>
      <c r="B68" s="12"/>
      <c r="C68" s="13"/>
      <c r="D68" s="14" t="str">
        <f aca="false">IF(C68="","",DATE(YEAR(C68)-1,1,1))</f>
        <v/>
      </c>
      <c r="E68" s="14" t="str">
        <f aca="false">IF(C68="","",DATE(YEAR(C68),12,31))</f>
        <v/>
      </c>
      <c r="F68" s="15" t="str">
        <f aca="false">IF(OR(A68="",C68=""),"",SUMPRODUCT(('Training Detail'!$A$5:$A$5000=A68)*('Training Detail'!$M$5:$M$5000=Standards!A2)*('Training Detail'!$G$5:$G$5000&gt;=D68)*('Training Detail'!$G$5:$G$5000&lt;=E68)*('Training Detail'!$P$5:$P$5000)))</f>
        <v/>
      </c>
      <c r="G68" s="15" t="str">
        <f aca="false">IF(OR(A68="",C68=""),"",SUMPRODUCT(('Training Detail'!$A$5:$A$5000=A68)*('Training Detail'!$M$5:$M$5000=Standards!A3)*('Training Detail'!$G$5:$G$5000&gt;=D68)*('Training Detail'!$G$5:$G$5000&lt;=E68)*('Training Detail'!$P$5:$P$5000)))</f>
        <v/>
      </c>
      <c r="H68" s="15" t="str">
        <f aca="false">IF(OR(A68="",C68=""),"",SUMPRODUCT(('Training Detail'!$A$5:$A$5000=A68)*('Training Detail'!$M$5:$M$5000=Standards!A4)*('Training Detail'!$G$5:$G$5000&gt;=D68)*('Training Detail'!$G$5:$G$5000&lt;=E68)*('Training Detail'!$P$5:$P$5000)))</f>
        <v/>
      </c>
      <c r="I68" s="15" t="str">
        <f aca="false">IF(OR(A68="",C68=""),"",SUMPRODUCT(('Training Detail'!$A$5:$A$5000=A68)*('Training Detail'!$M$5:$M$5000=Standards!A5)*('Training Detail'!$G$5:$G$5000&gt;=D68)*('Training Detail'!$G$5:$G$5000&lt;=E68)*('Training Detail'!$P$5:$P$5000)))</f>
        <v/>
      </c>
      <c r="J68" s="15" t="str">
        <f aca="false">IF(OR(A68="",C68=""),"",SUMPRODUCT(('Training Detail'!$A$5:$A$5000=A68)*('Training Detail'!$M$5:$M$5000=Standards!A6)*('Training Detail'!$G$5:$G$5000&gt;=D68)*('Training Detail'!$G$5:$G$5000&lt;=E68)*('Training Detail'!$P$5:$P$5000)))</f>
        <v/>
      </c>
      <c r="K68" s="15" t="str">
        <f aca="false">IF(OR(A68="",C68=""),"",SUMPRODUCT(('Training Detail'!$A$5:$A$5000=A68)*('Training Detail'!$M$5:$M$5000=Standards!A7)*('Training Detail'!$G$5:$G$5000&gt;=D68)*('Training Detail'!$G$5:$G$5000&lt;=E68)*('Training Detail'!$P$5:$P$5000)))</f>
        <v/>
      </c>
      <c r="L68" s="15" t="str">
        <f aca="false">IF(OR(A68="",C68=""),"",SUMPRODUCT(('Training Detail'!$A$5:$A$5000=A68)*('Training Detail'!$M$5:$M$5000=Standards!A8)*('Training Detail'!$G$5:$G$5000&gt;=D68)*('Training Detail'!$G$5:$G$5000&lt;=E68)*('Training Detail'!$P$5:$P$5000)))</f>
        <v/>
      </c>
      <c r="M68" s="16" t="str">
        <f aca="false">IF(OR(A68="",C68=""),"",SUMPRODUCT(('Training Detail'!$A$5:$A$5000=A68)*('Training Detail'!$M$5:$M$5000=Standards!A9)*('Training Detail'!$G$5:$G$5000&gt;=D68)*('Training Detail'!$G$5:$G$5000&lt;=E68)*('Training Detail'!$P$5:$P$5000)))</f>
        <v/>
      </c>
      <c r="N68" s="17" t="str">
        <f aca="false">IF(A68="","",IF(C68="","Set exp date",IF(AND(F68&gt;=Requirements!B5,G68&gt;=Requirements!B6,H68&gt;=Requirements!B7,I68&gt;=Requirements!B8,J68&gt;=Requirements!B9,K68&gt;=Requirements!B10,L68&gt;=Requirements!B11,M68&gt;=Requirements!B12),"Met","Short")))</f>
        <v>Set exp date</v>
      </c>
      <c r="O68" s="18" t="str">
        <f aca="false">IF(OR(A68="",C68=""),"",IF(N68="Met","",IF(F68&lt;Requirements!B5,Requirements!A5&amp;" "&amp;TEXT(Requirements!B5-F68,"0.##")&amp;"; ","")&amp;IF(G68&lt;Requirements!B6,Requirements!A6&amp;" "&amp;TEXT(Requirements!B6-G68,"0.##")&amp;"; ","")&amp;IF(H68&lt;Requirements!B7,Requirements!A7&amp;" "&amp;TEXT(Requirements!B7-H68,"0.##")&amp;"; ","")&amp;IF(I68&lt;Requirements!B8,Requirements!A8&amp;" "&amp;TEXT(Requirements!B8-I68,"0.##")&amp;"; ","")&amp;IF(J68&lt;Requirements!B9,Requirements!A9&amp;" "&amp;TEXT(Requirements!B9-J68,"0.##")&amp;"; ","")&amp;IF(K68&lt;Requirements!B10,Requirements!A10&amp;" "&amp;TEXT(Requirements!B10-K68,"0.##")&amp;"; ","")&amp;IF(L68&lt;Requirements!B11,Requirements!A11&amp;" "&amp;TEXT(Requirements!B11-L68,"0.##")&amp;"; ","")&amp;IF(M68&lt;Requirements!B12,Requirements!A12&amp;" "&amp;TEXT(Requirements!B12-M68,"0.##")&amp;"; ","")))</f>
        <v/>
      </c>
    </row>
    <row r="69" customFormat="false" ht="15" hidden="false" customHeight="true" outlineLevel="0" collapsed="false">
      <c r="A69" s="19" t="s">
        <v>127</v>
      </c>
      <c r="B69" s="20" t="s">
        <v>128</v>
      </c>
      <c r="C69" s="13" t="n">
        <v>46752</v>
      </c>
      <c r="D69" s="21" t="n">
        <f aca="false">IF(C69="","",DATE(YEAR(C69)-1,1,1))</f>
        <v>46023</v>
      </c>
      <c r="E69" s="21" t="n">
        <f aca="false">IF(C69="","",DATE(YEAR(C69),12,31))</f>
        <v>46752</v>
      </c>
      <c r="F69" s="15" t="n">
        <f aca="false">IF(OR(A69="",C69=""),"",SUMPRODUCT(('Training Detail'!$A$5:$A$5000=A69)*('Training Detail'!$M$5:$M$5000=Standards!A2)*('Training Detail'!$G$5:$G$5000&gt;=D69)*('Training Detail'!$G$5:$G$5000&lt;=E69)*('Training Detail'!$P$5:$P$5000)))</f>
        <v>0</v>
      </c>
      <c r="G69" s="15" t="n">
        <f aca="false">IF(OR(A69="",C69=""),"",SUMPRODUCT(('Training Detail'!$A$5:$A$5000=A69)*('Training Detail'!$M$5:$M$5000=Standards!A3)*('Training Detail'!$G$5:$G$5000&gt;=D69)*('Training Detail'!$G$5:$G$5000&lt;=E69)*('Training Detail'!$P$5:$P$5000)))</f>
        <v>0</v>
      </c>
      <c r="H69" s="15" t="n">
        <f aca="false">IF(OR(A69="",C69=""),"",SUMPRODUCT(('Training Detail'!$A$5:$A$5000=A69)*('Training Detail'!$M$5:$M$5000=Standards!A4)*('Training Detail'!$G$5:$G$5000&gt;=D69)*('Training Detail'!$G$5:$G$5000&lt;=E69)*('Training Detail'!$P$5:$P$5000)))</f>
        <v>2</v>
      </c>
      <c r="I69" s="15" t="n">
        <f aca="false">IF(OR(A69="",C69=""),"",SUMPRODUCT(('Training Detail'!$A$5:$A$5000=A69)*('Training Detail'!$M$5:$M$5000=Standards!A5)*('Training Detail'!$G$5:$G$5000&gt;=D69)*('Training Detail'!$G$5:$G$5000&lt;=E69)*('Training Detail'!$P$5:$P$5000)))</f>
        <v>0</v>
      </c>
      <c r="J69" s="15" t="n">
        <f aca="false">IF(OR(A69="",C69=""),"",SUMPRODUCT(('Training Detail'!$A$5:$A$5000=A69)*('Training Detail'!$M$5:$M$5000=Standards!A6)*('Training Detail'!$G$5:$G$5000&gt;=D69)*('Training Detail'!$G$5:$G$5000&lt;=E69)*('Training Detail'!$P$5:$P$5000)))</f>
        <v>2</v>
      </c>
      <c r="K69" s="15" t="n">
        <f aca="false">IF(OR(A69="",C69=""),"",SUMPRODUCT(('Training Detail'!$A$5:$A$5000=A69)*('Training Detail'!$M$5:$M$5000=Standards!A7)*('Training Detail'!$G$5:$G$5000&gt;=D69)*('Training Detail'!$G$5:$G$5000&lt;=E69)*('Training Detail'!$P$5:$P$5000)))</f>
        <v>0</v>
      </c>
      <c r="L69" s="15" t="n">
        <f aca="false">IF(OR(A69="",C69=""),"",SUMPRODUCT(('Training Detail'!$A$5:$A$5000=A69)*('Training Detail'!$M$5:$M$5000=Standards!A8)*('Training Detail'!$G$5:$G$5000&gt;=D69)*('Training Detail'!$G$5:$G$5000&lt;=E69)*('Training Detail'!$P$5:$P$5000)))</f>
        <v>0</v>
      </c>
      <c r="M69" s="16" t="n">
        <f aca="false">IF(OR(A69="",C69=""),"",SUMPRODUCT(('Training Detail'!$A$5:$A$5000=A69)*('Training Detail'!$M$5:$M$5000=Standards!A9)*('Training Detail'!$G$5:$G$5000&gt;=D69)*('Training Detail'!$G$5:$G$5000&lt;=E69)*('Training Detail'!$P$5:$P$5000)))</f>
        <v>0</v>
      </c>
      <c r="N69" s="17" t="str">
        <f aca="false">IF(A69="","",IF(C69="","Set exp date",IF(AND(F69&gt;=Requirements!B5,G69&gt;=Requirements!B6,H69&gt;=Requirements!B7,I69&gt;=Requirements!B8,J69&gt;=Requirements!B9,K69&gt;=Requirements!B10,L69&gt;=Requirements!B11,M69&gt;=Requirements!B12),"Met","Short")))</f>
        <v>Short</v>
      </c>
      <c r="O69" s="18" t="str">
        <f aca="false">IF(OR(A69="",C69=""),"",IF(N69="Met","",IF(F69&lt;Requirements!B5,Requirements!A5&amp;" "&amp;TEXT(Requirements!B5-F69,"0.##")&amp;"; ","")&amp;IF(G69&lt;Requirements!B6,Requirements!A6&amp;" "&amp;TEXT(Requirements!B6-G69,"0.##")&amp;"; ","")&amp;IF(H69&lt;Requirements!B7,Requirements!A7&amp;" "&amp;TEXT(Requirements!B7-H69,"0.##")&amp;"; ","")&amp;IF(I69&lt;Requirements!B8,Requirements!A8&amp;" "&amp;TEXT(Requirements!B8-I69,"0.##")&amp;"; ","")&amp;IF(J69&lt;Requirements!B9,Requirements!A9&amp;" "&amp;TEXT(Requirements!B9-J69,"0.##")&amp;"; ","")&amp;IF(K69&lt;Requirements!B10,Requirements!A10&amp;" "&amp;TEXT(Requirements!B10-K69,"0.##")&amp;"; ","")&amp;IF(L69&lt;Requirements!B11,Requirements!A11&amp;" "&amp;TEXT(Requirements!B11-L69,"0.##")&amp;"; ","")&amp;IF(M69&lt;Requirements!B12,Requirements!A12&amp;" "&amp;TEXT(Requirements!B12-M69,"0.##")&amp;"; ","")))</f>
        <v>Airway 4; Cardiovascular 5; Trauma 1; Medical 6; PAHT 1; SVAT 1; CPR/AED 1; </v>
      </c>
    </row>
    <row r="70" customFormat="false" ht="15" hidden="false" customHeight="true" outlineLevel="0" collapsed="false">
      <c r="A70" s="11" t="s">
        <v>129</v>
      </c>
      <c r="B70" s="12" t="s">
        <v>130</v>
      </c>
      <c r="C70" s="13" t="n">
        <v>46387</v>
      </c>
      <c r="D70" s="14" t="n">
        <f aca="false">IF(C70="","",DATE(YEAR(C70)-1,1,1))</f>
        <v>45658</v>
      </c>
      <c r="E70" s="14" t="n">
        <f aca="false">IF(C70="","",DATE(YEAR(C70),12,31))</f>
        <v>46387</v>
      </c>
      <c r="F70" s="15" t="n">
        <f aca="false">IF(OR(A70="",C70=""),"",SUMPRODUCT(('Training Detail'!$A$5:$A$5000=A70)*('Training Detail'!$M$5:$M$5000=Standards!A2)*('Training Detail'!$G$5:$G$5000&gt;=D70)*('Training Detail'!$G$5:$G$5000&lt;=E70)*('Training Detail'!$P$5:$P$5000)))</f>
        <v>0</v>
      </c>
      <c r="G70" s="15" t="n">
        <f aca="false">IF(OR(A70="",C70=""),"",SUMPRODUCT(('Training Detail'!$A$5:$A$5000=A70)*('Training Detail'!$M$5:$M$5000=Standards!A3)*('Training Detail'!$G$5:$G$5000&gt;=D70)*('Training Detail'!$G$5:$G$5000&lt;=E70)*('Training Detail'!$P$5:$P$5000)))</f>
        <v>4</v>
      </c>
      <c r="H70" s="15" t="n">
        <f aca="false">IF(OR(A70="",C70=""),"",SUMPRODUCT(('Training Detail'!$A$5:$A$5000=A70)*('Training Detail'!$M$5:$M$5000=Standards!A4)*('Training Detail'!$G$5:$G$5000&gt;=D70)*('Training Detail'!$G$5:$G$5000&lt;=E70)*('Training Detail'!$P$5:$P$5000)))</f>
        <v>6</v>
      </c>
      <c r="I70" s="15" t="n">
        <f aca="false">IF(OR(A70="",C70=""),"",SUMPRODUCT(('Training Detail'!$A$5:$A$5000=A70)*('Training Detail'!$M$5:$M$5000=Standards!A5)*('Training Detail'!$G$5:$G$5000&gt;=D70)*('Training Detail'!$G$5:$G$5000&lt;=E70)*('Training Detail'!$P$5:$P$5000)))</f>
        <v>4</v>
      </c>
      <c r="J70" s="15" t="n">
        <f aca="false">IF(OR(A70="",C70=""),"",SUMPRODUCT(('Training Detail'!$A$5:$A$5000=A70)*('Training Detail'!$M$5:$M$5000=Standards!A6)*('Training Detail'!$G$5:$G$5000&gt;=D70)*('Training Detail'!$G$5:$G$5000&lt;=E70)*('Training Detail'!$P$5:$P$5000)))</f>
        <v>3</v>
      </c>
      <c r="K70" s="15" t="n">
        <f aca="false">IF(OR(A70="",C70=""),"",SUMPRODUCT(('Training Detail'!$A$5:$A$5000=A70)*('Training Detail'!$M$5:$M$5000=Standards!A7)*('Training Detail'!$G$5:$G$5000&gt;=D70)*('Training Detail'!$G$5:$G$5000&lt;=E70)*('Training Detail'!$P$5:$P$5000)))</f>
        <v>0</v>
      </c>
      <c r="L70" s="15" t="n">
        <f aca="false">IF(OR(A70="",C70=""),"",SUMPRODUCT(('Training Detail'!$A$5:$A$5000=A70)*('Training Detail'!$M$5:$M$5000=Standards!A8)*('Training Detail'!$G$5:$G$5000&gt;=D70)*('Training Detail'!$G$5:$G$5000&lt;=E70)*('Training Detail'!$P$5:$P$5000)))</f>
        <v>0</v>
      </c>
      <c r="M70" s="16" t="n">
        <f aca="false">IF(OR(A70="",C70=""),"",SUMPRODUCT(('Training Detail'!$A$5:$A$5000=A70)*('Training Detail'!$M$5:$M$5000=Standards!A9)*('Training Detail'!$G$5:$G$5000&gt;=D70)*('Training Detail'!$G$5:$G$5000&lt;=E70)*('Training Detail'!$P$5:$P$5000)))</f>
        <v>0</v>
      </c>
      <c r="N70" s="17" t="str">
        <f aca="false">IF(A70="","",IF(C70="","Set exp date",IF(AND(F70&gt;=Requirements!B5,G70&gt;=Requirements!B6,H70&gt;=Requirements!B7,I70&gt;=Requirements!B8,J70&gt;=Requirements!B9,K70&gt;=Requirements!B10,L70&gt;=Requirements!B11,M70&gt;=Requirements!B12),"Met","Short")))</f>
        <v>Short</v>
      </c>
      <c r="O70" s="18" t="str">
        <f aca="false">IF(OR(A70="",C70=""),"",IF(N70="Met","",IF(F70&lt;Requirements!B5,Requirements!A5&amp;" "&amp;TEXT(Requirements!B5-F70,"0.##")&amp;"; ","")&amp;IF(G70&lt;Requirements!B6,Requirements!A6&amp;" "&amp;TEXT(Requirements!B6-G70,"0.##")&amp;"; ","")&amp;IF(H70&lt;Requirements!B7,Requirements!A7&amp;" "&amp;TEXT(Requirements!B7-H70,"0.##")&amp;"; ","")&amp;IF(I70&lt;Requirements!B8,Requirements!A8&amp;" "&amp;TEXT(Requirements!B8-I70,"0.##")&amp;"; ","")&amp;IF(J70&lt;Requirements!B9,Requirements!A9&amp;" "&amp;TEXT(Requirements!B9-J70,"0.##")&amp;"; ","")&amp;IF(K70&lt;Requirements!B10,Requirements!A10&amp;" "&amp;TEXT(Requirements!B10-K70,"0.##")&amp;"; ","")&amp;IF(L70&lt;Requirements!B11,Requirements!A11&amp;" "&amp;TEXT(Requirements!B11-L70,"0.##")&amp;"; ","")&amp;IF(M70&lt;Requirements!B12,Requirements!A12&amp;" "&amp;TEXT(Requirements!B12-M70,"0.##")&amp;"; ","")))</f>
        <v>Airway 4; Cardiovascular 1; Medical 2; PAHT 1; SVAT 1; CPR/AED 1; </v>
      </c>
    </row>
    <row r="71" customFormat="false" ht="15" hidden="false" customHeight="true" outlineLevel="0" collapsed="false">
      <c r="A71" s="19" t="s">
        <v>131</v>
      </c>
      <c r="B71" s="20" t="s">
        <v>132</v>
      </c>
      <c r="C71" s="13" t="n">
        <v>46752</v>
      </c>
      <c r="D71" s="21" t="n">
        <f aca="false">IF(C71="","",DATE(YEAR(C71)-1,1,1))</f>
        <v>46023</v>
      </c>
      <c r="E71" s="21" t="n">
        <f aca="false">IF(C71="","",DATE(YEAR(C71),12,31))</f>
        <v>46752</v>
      </c>
      <c r="F71" s="15" t="n">
        <f aca="false">IF(OR(A71="",C71=""),"",SUMPRODUCT(('Training Detail'!$A$5:$A$5000=A71)*('Training Detail'!$M$5:$M$5000=Standards!A2)*('Training Detail'!$G$5:$G$5000&gt;=D71)*('Training Detail'!$G$5:$G$5000&lt;=E71)*('Training Detail'!$P$5:$P$5000)))</f>
        <v>0</v>
      </c>
      <c r="G71" s="15" t="n">
        <f aca="false">IF(OR(A71="",C71=""),"",SUMPRODUCT(('Training Detail'!$A$5:$A$5000=A71)*('Training Detail'!$M$5:$M$5000=Standards!A3)*('Training Detail'!$G$5:$G$5000&gt;=D71)*('Training Detail'!$G$5:$G$5000&lt;=E71)*('Training Detail'!$P$5:$P$5000)))</f>
        <v>3</v>
      </c>
      <c r="H71" s="15" t="n">
        <f aca="false">IF(OR(A71="",C71=""),"",SUMPRODUCT(('Training Detail'!$A$5:$A$5000=A71)*('Training Detail'!$M$5:$M$5000=Standards!A4)*('Training Detail'!$G$5:$G$5000&gt;=D71)*('Training Detail'!$G$5:$G$5000&lt;=E71)*('Training Detail'!$P$5:$P$5000)))</f>
        <v>3</v>
      </c>
      <c r="I71" s="15" t="n">
        <f aca="false">IF(OR(A71="",C71=""),"",SUMPRODUCT(('Training Detail'!$A$5:$A$5000=A71)*('Training Detail'!$M$5:$M$5000=Standards!A5)*('Training Detail'!$G$5:$G$5000&gt;=D71)*('Training Detail'!$G$5:$G$5000&lt;=E71)*('Training Detail'!$P$5:$P$5000)))</f>
        <v>1</v>
      </c>
      <c r="J71" s="15" t="n">
        <f aca="false">IF(OR(A71="",C71=""),"",SUMPRODUCT(('Training Detail'!$A$5:$A$5000=A71)*('Training Detail'!$M$5:$M$5000=Standards!A6)*('Training Detail'!$G$5:$G$5000&gt;=D71)*('Training Detail'!$G$5:$G$5000&lt;=E71)*('Training Detail'!$P$5:$P$5000)))</f>
        <v>0</v>
      </c>
      <c r="K71" s="15" t="n">
        <f aca="false">IF(OR(A71="",C71=""),"",SUMPRODUCT(('Training Detail'!$A$5:$A$5000=A71)*('Training Detail'!$M$5:$M$5000=Standards!A7)*('Training Detail'!$G$5:$G$5000&gt;=D71)*('Training Detail'!$G$5:$G$5000&lt;=E71)*('Training Detail'!$P$5:$P$5000)))</f>
        <v>0</v>
      </c>
      <c r="L71" s="15" t="n">
        <f aca="false">IF(OR(A71="",C71=""),"",SUMPRODUCT(('Training Detail'!$A$5:$A$5000=A71)*('Training Detail'!$M$5:$M$5000=Standards!A8)*('Training Detail'!$G$5:$G$5000&gt;=D71)*('Training Detail'!$G$5:$G$5000&lt;=E71)*('Training Detail'!$P$5:$P$5000)))</f>
        <v>0</v>
      </c>
      <c r="M71" s="16" t="n">
        <f aca="false">IF(OR(A71="",C71=""),"",SUMPRODUCT(('Training Detail'!$A$5:$A$5000=A71)*('Training Detail'!$M$5:$M$5000=Standards!A9)*('Training Detail'!$G$5:$G$5000&gt;=D71)*('Training Detail'!$G$5:$G$5000&lt;=E71)*('Training Detail'!$P$5:$P$5000)))</f>
        <v>0</v>
      </c>
      <c r="N71" s="17" t="str">
        <f aca="false">IF(A71="","",IF(C71="","Set exp date",IF(AND(F71&gt;=Requirements!B5,G71&gt;=Requirements!B6,H71&gt;=Requirements!B7,I71&gt;=Requirements!B8,J71&gt;=Requirements!B9,K71&gt;=Requirements!B10,L71&gt;=Requirements!B11,M71&gt;=Requirements!B12),"Met","Short")))</f>
        <v>Short</v>
      </c>
      <c r="O71" s="18" t="str">
        <f aca="false">IF(OR(A71="",C71=""),"",IF(N71="Met","",IF(F71&lt;Requirements!B5,Requirements!A5&amp;" "&amp;TEXT(Requirements!B5-F71,"0.##")&amp;"; ","")&amp;IF(G71&lt;Requirements!B6,Requirements!A6&amp;" "&amp;TEXT(Requirements!B6-G71,"0.##")&amp;"; ","")&amp;IF(H71&lt;Requirements!B7,Requirements!A7&amp;" "&amp;TEXT(Requirements!B7-H71,"0.##")&amp;"; ","")&amp;IF(I71&lt;Requirements!B8,Requirements!A8&amp;" "&amp;TEXT(Requirements!B8-I71,"0.##")&amp;"; ","")&amp;IF(J71&lt;Requirements!B9,Requirements!A9&amp;" "&amp;TEXT(Requirements!B9-J71,"0.##")&amp;"; ","")&amp;IF(K71&lt;Requirements!B10,Requirements!A10&amp;" "&amp;TEXT(Requirements!B10-K71,"0.##")&amp;"; ","")&amp;IF(L71&lt;Requirements!B11,Requirements!A11&amp;" "&amp;TEXT(Requirements!B11-L71,"0.##")&amp;"; ","")&amp;IF(M71&lt;Requirements!B12,Requirements!A12&amp;" "&amp;TEXT(Requirements!B12-M71,"0.##")&amp;"; ","")))</f>
        <v>Airway 4; Cardiovascular 2; Medical 5; Operations 2; PAHT 1; SVAT 1; CPR/AED 1; </v>
      </c>
    </row>
    <row r="72" customFormat="false" ht="15" hidden="false" customHeight="true" outlineLevel="0" collapsed="false">
      <c r="A72" s="11" t="s">
        <v>133</v>
      </c>
      <c r="B72" s="12" t="s">
        <v>134</v>
      </c>
      <c r="C72" s="13" t="n">
        <v>46387</v>
      </c>
      <c r="D72" s="14" t="n">
        <f aca="false">IF(C72="","",DATE(YEAR(C72)-1,1,1))</f>
        <v>45658</v>
      </c>
      <c r="E72" s="14" t="n">
        <f aca="false">IF(C72="","",DATE(YEAR(C72),12,31))</f>
        <v>46387</v>
      </c>
      <c r="F72" s="15" t="n">
        <f aca="false">IF(OR(A72="",C72=""),"",SUMPRODUCT(('Training Detail'!$A$5:$A$5000=A72)*('Training Detail'!$M$5:$M$5000=Standards!A2)*('Training Detail'!$G$5:$G$5000&gt;=D72)*('Training Detail'!$G$5:$G$5000&lt;=E72)*('Training Detail'!$P$5:$P$5000)))</f>
        <v>0.5</v>
      </c>
      <c r="G72" s="15" t="n">
        <f aca="false">IF(OR(A72="",C72=""),"",SUMPRODUCT(('Training Detail'!$A$5:$A$5000=A72)*('Training Detail'!$M$5:$M$5000=Standards!A3)*('Training Detail'!$G$5:$G$5000&gt;=D72)*('Training Detail'!$G$5:$G$5000&lt;=E72)*('Training Detail'!$P$5:$P$5000)))</f>
        <v>2</v>
      </c>
      <c r="H72" s="15" t="n">
        <f aca="false">IF(OR(A72="",C72=""),"",SUMPRODUCT(('Training Detail'!$A$5:$A$5000=A72)*('Training Detail'!$M$5:$M$5000=Standards!A4)*('Training Detail'!$G$5:$G$5000&gt;=D72)*('Training Detail'!$G$5:$G$5000&lt;=E72)*('Training Detail'!$P$5:$P$5000)))</f>
        <v>8</v>
      </c>
      <c r="I72" s="15" t="n">
        <f aca="false">IF(OR(A72="",C72=""),"",SUMPRODUCT(('Training Detail'!$A$5:$A$5000=A72)*('Training Detail'!$M$5:$M$5000=Standards!A5)*('Training Detail'!$G$5:$G$5000&gt;=D72)*('Training Detail'!$G$5:$G$5000&lt;=E72)*('Training Detail'!$P$5:$P$5000)))</f>
        <v>3.5</v>
      </c>
      <c r="J72" s="15" t="n">
        <f aca="false">IF(OR(A72="",C72=""),"",SUMPRODUCT(('Training Detail'!$A$5:$A$5000=A72)*('Training Detail'!$M$5:$M$5000=Standards!A6)*('Training Detail'!$G$5:$G$5000&gt;=D72)*('Training Detail'!$G$5:$G$5000&lt;=E72)*('Training Detail'!$P$5:$P$5000)))</f>
        <v>5.5</v>
      </c>
      <c r="K72" s="15" t="n">
        <f aca="false">IF(OR(A72="",C72=""),"",SUMPRODUCT(('Training Detail'!$A$5:$A$5000=A72)*('Training Detail'!$M$5:$M$5000=Standards!A7)*('Training Detail'!$G$5:$G$5000&gt;=D72)*('Training Detail'!$G$5:$G$5000&lt;=E72)*('Training Detail'!$P$5:$P$5000)))</f>
        <v>0</v>
      </c>
      <c r="L72" s="15" t="n">
        <f aca="false">IF(OR(A72="",C72=""),"",SUMPRODUCT(('Training Detail'!$A$5:$A$5000=A72)*('Training Detail'!$M$5:$M$5000=Standards!A8)*('Training Detail'!$G$5:$G$5000&gt;=D72)*('Training Detail'!$G$5:$G$5000&lt;=E72)*('Training Detail'!$P$5:$P$5000)))</f>
        <v>0</v>
      </c>
      <c r="M72" s="16" t="n">
        <f aca="false">IF(OR(A72="",C72=""),"",SUMPRODUCT(('Training Detail'!$A$5:$A$5000=A72)*('Training Detail'!$M$5:$M$5000=Standards!A9)*('Training Detail'!$G$5:$G$5000&gt;=D72)*('Training Detail'!$G$5:$G$5000&lt;=E72)*('Training Detail'!$P$5:$P$5000)))</f>
        <v>1</v>
      </c>
      <c r="N72" s="17" t="str">
        <f aca="false">IF(A72="","",IF(C72="","Set exp date",IF(AND(F72&gt;=Requirements!B5,G72&gt;=Requirements!B6,H72&gt;=Requirements!B7,I72&gt;=Requirements!B8,J72&gt;=Requirements!B9,K72&gt;=Requirements!B10,L72&gt;=Requirements!B11,M72&gt;=Requirements!B12),"Met","Short")))</f>
        <v>Short</v>
      </c>
      <c r="O72" s="18" t="str">
        <f aca="false">IF(OR(A72="",C72=""),"",IF(N72="Met","",IF(F72&lt;Requirements!B5,Requirements!A5&amp;" "&amp;TEXT(Requirements!B5-F72,"0.##")&amp;"; ","")&amp;IF(G72&lt;Requirements!B6,Requirements!A6&amp;" "&amp;TEXT(Requirements!B6-G72,"0.##")&amp;"; ","")&amp;IF(H72&lt;Requirements!B7,Requirements!A7&amp;" "&amp;TEXT(Requirements!B7-H72,"0.##")&amp;"; ","")&amp;IF(I72&lt;Requirements!B8,Requirements!A8&amp;" "&amp;TEXT(Requirements!B8-I72,"0.##")&amp;"; ","")&amp;IF(J72&lt;Requirements!B9,Requirements!A9&amp;" "&amp;TEXT(Requirements!B9-J72,"0.##")&amp;"; ","")&amp;IF(K72&lt;Requirements!B10,Requirements!A10&amp;" "&amp;TEXT(Requirements!B10-K72,"0.##")&amp;"; ","")&amp;IF(L72&lt;Requirements!B11,Requirements!A11&amp;" "&amp;TEXT(Requirements!B11-L72,"0.##")&amp;"; ","")&amp;IF(M72&lt;Requirements!B12,Requirements!A12&amp;" "&amp;TEXT(Requirements!B12-M72,"0.##")&amp;"; ","")))</f>
        <v>Airway 3.5; Cardiovascular 3; Medical 2.5; PAHT 1; SVAT 1; </v>
      </c>
    </row>
    <row r="73" customFormat="false" ht="15" hidden="false" customHeight="true" outlineLevel="0" collapsed="false">
      <c r="A73" s="19" t="s">
        <v>135</v>
      </c>
      <c r="B73" s="20" t="s">
        <v>136</v>
      </c>
      <c r="C73" s="13" t="n">
        <v>46752</v>
      </c>
      <c r="D73" s="21" t="n">
        <f aca="false">IF(C73="","",DATE(YEAR(C73)-1,1,1))</f>
        <v>46023</v>
      </c>
      <c r="E73" s="21" t="n">
        <f aca="false">IF(C73="","",DATE(YEAR(C73),12,31))</f>
        <v>46752</v>
      </c>
      <c r="F73" s="15" t="n">
        <f aca="false">IF(OR(A73="",C73=""),"",SUMPRODUCT(('Training Detail'!$A$5:$A$5000=A73)*('Training Detail'!$M$5:$M$5000=Standards!A2)*('Training Detail'!$G$5:$G$5000&gt;=D73)*('Training Detail'!$G$5:$G$5000&lt;=E73)*('Training Detail'!$P$5:$P$5000)))</f>
        <v>0</v>
      </c>
      <c r="G73" s="15" t="n">
        <f aca="false">IF(OR(A73="",C73=""),"",SUMPRODUCT(('Training Detail'!$A$5:$A$5000=A73)*('Training Detail'!$M$5:$M$5000=Standards!A3)*('Training Detail'!$G$5:$G$5000&gt;=D73)*('Training Detail'!$G$5:$G$5000&lt;=E73)*('Training Detail'!$P$5:$P$5000)))</f>
        <v>0</v>
      </c>
      <c r="H73" s="15" t="n">
        <f aca="false">IF(OR(A73="",C73=""),"",SUMPRODUCT(('Training Detail'!$A$5:$A$5000=A73)*('Training Detail'!$M$5:$M$5000=Standards!A4)*('Training Detail'!$G$5:$G$5000&gt;=D73)*('Training Detail'!$G$5:$G$5000&lt;=E73)*('Training Detail'!$P$5:$P$5000)))</f>
        <v>2</v>
      </c>
      <c r="I73" s="15" t="n">
        <f aca="false">IF(OR(A73="",C73=""),"",SUMPRODUCT(('Training Detail'!$A$5:$A$5000=A73)*('Training Detail'!$M$5:$M$5000=Standards!A5)*('Training Detail'!$G$5:$G$5000&gt;=D73)*('Training Detail'!$G$5:$G$5000&lt;=E73)*('Training Detail'!$P$5:$P$5000)))</f>
        <v>0</v>
      </c>
      <c r="J73" s="15" t="n">
        <f aca="false">IF(OR(A73="",C73=""),"",SUMPRODUCT(('Training Detail'!$A$5:$A$5000=A73)*('Training Detail'!$M$5:$M$5000=Standards!A6)*('Training Detail'!$G$5:$G$5000&gt;=D73)*('Training Detail'!$G$5:$G$5000&lt;=E73)*('Training Detail'!$P$5:$P$5000)))</f>
        <v>3</v>
      </c>
      <c r="K73" s="15" t="n">
        <f aca="false">IF(OR(A73="",C73=""),"",SUMPRODUCT(('Training Detail'!$A$5:$A$5000=A73)*('Training Detail'!$M$5:$M$5000=Standards!A7)*('Training Detail'!$G$5:$G$5000&gt;=D73)*('Training Detail'!$G$5:$G$5000&lt;=E73)*('Training Detail'!$P$5:$P$5000)))</f>
        <v>2</v>
      </c>
      <c r="L73" s="15" t="n">
        <f aca="false">IF(OR(A73="",C73=""),"",SUMPRODUCT(('Training Detail'!$A$5:$A$5000=A73)*('Training Detail'!$M$5:$M$5000=Standards!A8)*('Training Detail'!$G$5:$G$5000&gt;=D73)*('Training Detail'!$G$5:$G$5000&lt;=E73)*('Training Detail'!$P$5:$P$5000)))</f>
        <v>0</v>
      </c>
      <c r="M73" s="16" t="n">
        <f aca="false">IF(OR(A73="",C73=""),"",SUMPRODUCT(('Training Detail'!$A$5:$A$5000=A73)*('Training Detail'!$M$5:$M$5000=Standards!A9)*('Training Detail'!$G$5:$G$5000&gt;=D73)*('Training Detail'!$G$5:$G$5000&lt;=E73)*('Training Detail'!$P$5:$P$5000)))</f>
        <v>0</v>
      </c>
      <c r="N73" s="17" t="str">
        <f aca="false">IF(A73="","",IF(C73="","Set exp date",IF(AND(F73&gt;=Requirements!B5,G73&gt;=Requirements!B6,H73&gt;=Requirements!B7,I73&gt;=Requirements!B8,J73&gt;=Requirements!B9,K73&gt;=Requirements!B10,L73&gt;=Requirements!B11,M73&gt;=Requirements!B12),"Met","Short")))</f>
        <v>Short</v>
      </c>
      <c r="O73" s="18" t="str">
        <f aca="false">IF(OR(A73="",C73=""),"",IF(N73="Met","",IF(F73&lt;Requirements!B5,Requirements!A5&amp;" "&amp;TEXT(Requirements!B5-F73,"0.##")&amp;"; ","")&amp;IF(G73&lt;Requirements!B6,Requirements!A6&amp;" "&amp;TEXT(Requirements!B6-G73,"0.##")&amp;"; ","")&amp;IF(H73&lt;Requirements!B7,Requirements!A7&amp;" "&amp;TEXT(Requirements!B7-H73,"0.##")&amp;"; ","")&amp;IF(I73&lt;Requirements!B8,Requirements!A8&amp;" "&amp;TEXT(Requirements!B8-I73,"0.##")&amp;"; ","")&amp;IF(J73&lt;Requirements!B9,Requirements!A9&amp;" "&amp;TEXT(Requirements!B9-J73,"0.##")&amp;"; ","")&amp;IF(K73&lt;Requirements!B10,Requirements!A10&amp;" "&amp;TEXT(Requirements!B10-K73,"0.##")&amp;"; ","")&amp;IF(L73&lt;Requirements!B11,Requirements!A11&amp;" "&amp;TEXT(Requirements!B11-L73,"0.##")&amp;"; ","")&amp;IF(M73&lt;Requirements!B12,Requirements!A12&amp;" "&amp;TEXT(Requirements!B12-M73,"0.##")&amp;"; ","")))</f>
        <v>Airway 4; Cardiovascular 5; Trauma 1; Medical 6; SVAT 1; CPR/AED 1; </v>
      </c>
    </row>
    <row r="74" customFormat="false" ht="15" hidden="false" customHeight="true" outlineLevel="0" collapsed="false">
      <c r="A74" s="11" t="s">
        <v>137</v>
      </c>
      <c r="B74" s="12" t="s">
        <v>138</v>
      </c>
      <c r="C74" s="13" t="n">
        <v>46387</v>
      </c>
      <c r="D74" s="14" t="n">
        <f aca="false">IF(C74="","",DATE(YEAR(C74)-1,1,1))</f>
        <v>45658</v>
      </c>
      <c r="E74" s="14" t="n">
        <f aca="false">IF(C74="","",DATE(YEAR(C74),12,31))</f>
        <v>46387</v>
      </c>
      <c r="F74" s="15" t="n">
        <f aca="false">IF(OR(A74="",C74=""),"",SUMPRODUCT(('Training Detail'!$A$5:$A$5000=A74)*('Training Detail'!$M$5:$M$5000=Standards!A2)*('Training Detail'!$G$5:$G$5000&gt;=D74)*('Training Detail'!$G$5:$G$5000&lt;=E74)*('Training Detail'!$P$5:$P$5000)))</f>
        <v>0</v>
      </c>
      <c r="G74" s="15" t="n">
        <f aca="false">IF(OR(A74="",C74=""),"",SUMPRODUCT(('Training Detail'!$A$5:$A$5000=A74)*('Training Detail'!$M$5:$M$5000=Standards!A3)*('Training Detail'!$G$5:$G$5000&gt;=D74)*('Training Detail'!$G$5:$G$5000&lt;=E74)*('Training Detail'!$P$5:$P$5000)))</f>
        <v>0</v>
      </c>
      <c r="H74" s="15" t="n">
        <f aca="false">IF(OR(A74="",C74=""),"",SUMPRODUCT(('Training Detail'!$A$5:$A$5000=A74)*('Training Detail'!$M$5:$M$5000=Standards!A4)*('Training Detail'!$G$5:$G$5000&gt;=D74)*('Training Detail'!$G$5:$G$5000&lt;=E74)*('Training Detail'!$P$5:$P$5000)))</f>
        <v>2</v>
      </c>
      <c r="I74" s="15" t="n">
        <f aca="false">IF(OR(A74="",C74=""),"",SUMPRODUCT(('Training Detail'!$A$5:$A$5000=A74)*('Training Detail'!$M$5:$M$5000=Standards!A5)*('Training Detail'!$G$5:$G$5000&gt;=D74)*('Training Detail'!$G$5:$G$5000&lt;=E74)*('Training Detail'!$P$5:$P$5000)))</f>
        <v>0</v>
      </c>
      <c r="J74" s="15" t="n">
        <f aca="false">IF(OR(A74="",C74=""),"",SUMPRODUCT(('Training Detail'!$A$5:$A$5000=A74)*('Training Detail'!$M$5:$M$5000=Standards!A6)*('Training Detail'!$G$5:$G$5000&gt;=D74)*('Training Detail'!$G$5:$G$5000&lt;=E74)*('Training Detail'!$P$5:$P$5000)))</f>
        <v>1</v>
      </c>
      <c r="K74" s="15" t="n">
        <f aca="false">IF(OR(A74="",C74=""),"",SUMPRODUCT(('Training Detail'!$A$5:$A$5000=A74)*('Training Detail'!$M$5:$M$5000=Standards!A7)*('Training Detail'!$G$5:$G$5000&gt;=D74)*('Training Detail'!$G$5:$G$5000&lt;=E74)*('Training Detail'!$P$5:$P$5000)))</f>
        <v>0</v>
      </c>
      <c r="L74" s="15" t="n">
        <f aca="false">IF(OR(A74="",C74=""),"",SUMPRODUCT(('Training Detail'!$A$5:$A$5000=A74)*('Training Detail'!$M$5:$M$5000=Standards!A8)*('Training Detail'!$G$5:$G$5000&gt;=D74)*('Training Detail'!$G$5:$G$5000&lt;=E74)*('Training Detail'!$P$5:$P$5000)))</f>
        <v>0</v>
      </c>
      <c r="M74" s="16" t="n">
        <f aca="false">IF(OR(A74="",C74=""),"",SUMPRODUCT(('Training Detail'!$A$5:$A$5000=A74)*('Training Detail'!$M$5:$M$5000=Standards!A9)*('Training Detail'!$G$5:$G$5000&gt;=D74)*('Training Detail'!$G$5:$G$5000&lt;=E74)*('Training Detail'!$P$5:$P$5000)))</f>
        <v>0</v>
      </c>
      <c r="N74" s="17" t="str">
        <f aca="false">IF(A74="","",IF(C74="","Set exp date",IF(AND(F74&gt;=Requirements!B5,G74&gt;=Requirements!B6,H74&gt;=Requirements!B7,I74&gt;=Requirements!B8,J74&gt;=Requirements!B9,K74&gt;=Requirements!B10,L74&gt;=Requirements!B11,M74&gt;=Requirements!B12),"Met","Short")))</f>
        <v>Short</v>
      </c>
      <c r="O74" s="18" t="str">
        <f aca="false">IF(OR(A74="",C74=""),"",IF(N74="Met","",IF(F74&lt;Requirements!B5,Requirements!A5&amp;" "&amp;TEXT(Requirements!B5-F74,"0.##")&amp;"; ","")&amp;IF(G74&lt;Requirements!B6,Requirements!A6&amp;" "&amp;TEXT(Requirements!B6-G74,"0.##")&amp;"; ","")&amp;IF(H74&lt;Requirements!B7,Requirements!A7&amp;" "&amp;TEXT(Requirements!B7-H74,"0.##")&amp;"; ","")&amp;IF(I74&lt;Requirements!B8,Requirements!A8&amp;" "&amp;TEXT(Requirements!B8-I74,"0.##")&amp;"; ","")&amp;IF(J74&lt;Requirements!B9,Requirements!A9&amp;" "&amp;TEXT(Requirements!B9-J74,"0.##")&amp;"; ","")&amp;IF(K74&lt;Requirements!B10,Requirements!A10&amp;" "&amp;TEXT(Requirements!B10-K74,"0.##")&amp;"; ","")&amp;IF(L74&lt;Requirements!B11,Requirements!A11&amp;" "&amp;TEXT(Requirements!B11-L74,"0.##")&amp;"; ","")&amp;IF(M74&lt;Requirements!B12,Requirements!A12&amp;" "&amp;TEXT(Requirements!B12-M74,"0.##")&amp;"; ","")))</f>
        <v>Airway 4; Cardiovascular 5; Trauma 1; Medical 6; Operations 1; PAHT 1; SVAT 1; CPR/AED 1; </v>
      </c>
    </row>
    <row r="75" customFormat="false" ht="15" hidden="false" customHeight="true" outlineLevel="0" collapsed="false">
      <c r="A75" s="19" t="s">
        <v>139</v>
      </c>
      <c r="B75" s="20" t="s">
        <v>140</v>
      </c>
      <c r="C75" s="13" t="n">
        <v>46752</v>
      </c>
      <c r="D75" s="21" t="n">
        <f aca="false">IF(C75="","",DATE(YEAR(C75)-1,1,1))</f>
        <v>46023</v>
      </c>
      <c r="E75" s="21" t="n">
        <f aca="false">IF(C75="","",DATE(YEAR(C75),12,31))</f>
        <v>46752</v>
      </c>
      <c r="F75" s="15" t="n">
        <f aca="false">IF(OR(A75="",C75=""),"",SUMPRODUCT(('Training Detail'!$A$5:$A$5000=A75)*('Training Detail'!$M$5:$M$5000=Standards!A2)*('Training Detail'!$G$5:$G$5000&gt;=D75)*('Training Detail'!$G$5:$G$5000&lt;=E75)*('Training Detail'!$P$5:$P$5000)))</f>
        <v>0</v>
      </c>
      <c r="G75" s="15" t="n">
        <f aca="false">IF(OR(A75="",C75=""),"",SUMPRODUCT(('Training Detail'!$A$5:$A$5000=A75)*('Training Detail'!$M$5:$M$5000=Standards!A3)*('Training Detail'!$G$5:$G$5000&gt;=D75)*('Training Detail'!$G$5:$G$5000&lt;=E75)*('Training Detail'!$P$5:$P$5000)))</f>
        <v>0</v>
      </c>
      <c r="H75" s="15" t="n">
        <f aca="false">IF(OR(A75="",C75=""),"",SUMPRODUCT(('Training Detail'!$A$5:$A$5000=A75)*('Training Detail'!$M$5:$M$5000=Standards!A4)*('Training Detail'!$G$5:$G$5000&gt;=D75)*('Training Detail'!$G$5:$G$5000&lt;=E75)*('Training Detail'!$P$5:$P$5000)))</f>
        <v>4</v>
      </c>
      <c r="I75" s="15" t="n">
        <f aca="false">IF(OR(A75="",C75=""),"",SUMPRODUCT(('Training Detail'!$A$5:$A$5000=A75)*('Training Detail'!$M$5:$M$5000=Standards!A5)*('Training Detail'!$G$5:$G$5000&gt;=D75)*('Training Detail'!$G$5:$G$5000&lt;=E75)*('Training Detail'!$P$5:$P$5000)))</f>
        <v>0</v>
      </c>
      <c r="J75" s="15" t="n">
        <f aca="false">IF(OR(A75="",C75=""),"",SUMPRODUCT(('Training Detail'!$A$5:$A$5000=A75)*('Training Detail'!$M$5:$M$5000=Standards!A6)*('Training Detail'!$G$5:$G$5000&gt;=D75)*('Training Detail'!$G$5:$G$5000&lt;=E75)*('Training Detail'!$P$5:$P$5000)))</f>
        <v>1</v>
      </c>
      <c r="K75" s="15" t="n">
        <f aca="false">IF(OR(A75="",C75=""),"",SUMPRODUCT(('Training Detail'!$A$5:$A$5000=A75)*('Training Detail'!$M$5:$M$5000=Standards!A7)*('Training Detail'!$G$5:$G$5000&gt;=D75)*('Training Detail'!$G$5:$G$5000&lt;=E75)*('Training Detail'!$P$5:$P$5000)))</f>
        <v>0</v>
      </c>
      <c r="L75" s="15" t="n">
        <f aca="false">IF(OR(A75="",C75=""),"",SUMPRODUCT(('Training Detail'!$A$5:$A$5000=A75)*('Training Detail'!$M$5:$M$5000=Standards!A8)*('Training Detail'!$G$5:$G$5000&gt;=D75)*('Training Detail'!$G$5:$G$5000&lt;=E75)*('Training Detail'!$P$5:$P$5000)))</f>
        <v>0</v>
      </c>
      <c r="M75" s="16" t="n">
        <f aca="false">IF(OR(A75="",C75=""),"",SUMPRODUCT(('Training Detail'!$A$5:$A$5000=A75)*('Training Detail'!$M$5:$M$5000=Standards!A9)*('Training Detail'!$G$5:$G$5000&gt;=D75)*('Training Detail'!$G$5:$G$5000&lt;=E75)*('Training Detail'!$P$5:$P$5000)))</f>
        <v>1</v>
      </c>
      <c r="N75" s="17" t="str">
        <f aca="false">IF(A75="","",IF(C75="","Set exp date",IF(AND(F75&gt;=Requirements!B5,G75&gt;=Requirements!B6,H75&gt;=Requirements!B7,I75&gt;=Requirements!B8,J75&gt;=Requirements!B9,K75&gt;=Requirements!B10,L75&gt;=Requirements!B11,M75&gt;=Requirements!B12),"Met","Short")))</f>
        <v>Short</v>
      </c>
      <c r="O75" s="18" t="str">
        <f aca="false">IF(OR(A75="",C75=""),"",IF(N75="Met","",IF(F75&lt;Requirements!B5,Requirements!A5&amp;" "&amp;TEXT(Requirements!B5-F75,"0.##")&amp;"; ","")&amp;IF(G75&lt;Requirements!B6,Requirements!A6&amp;" "&amp;TEXT(Requirements!B6-G75,"0.##")&amp;"; ","")&amp;IF(H75&lt;Requirements!B7,Requirements!A7&amp;" "&amp;TEXT(Requirements!B7-H75,"0.##")&amp;"; ","")&amp;IF(I75&lt;Requirements!B8,Requirements!A8&amp;" "&amp;TEXT(Requirements!B8-I75,"0.##")&amp;"; ","")&amp;IF(J75&lt;Requirements!B9,Requirements!A9&amp;" "&amp;TEXT(Requirements!B9-J75,"0.##")&amp;"; ","")&amp;IF(K75&lt;Requirements!B10,Requirements!A10&amp;" "&amp;TEXT(Requirements!B10-K75,"0.##")&amp;"; ","")&amp;IF(L75&lt;Requirements!B11,Requirements!A11&amp;" "&amp;TEXT(Requirements!B11-L75,"0.##")&amp;"; ","")&amp;IF(M75&lt;Requirements!B12,Requirements!A12&amp;" "&amp;TEXT(Requirements!B12-M75,"0.##")&amp;"; ","")))</f>
        <v>Airway 4; Cardiovascular 5; Medical 6; Operations 1; PAHT 1; SVAT 1; </v>
      </c>
    </row>
    <row r="76" customFormat="false" ht="15" hidden="false" customHeight="true" outlineLevel="0" collapsed="false">
      <c r="A76" s="11" t="s">
        <v>141</v>
      </c>
      <c r="B76" s="12" t="s">
        <v>142</v>
      </c>
      <c r="C76" s="13" t="n">
        <v>46752</v>
      </c>
      <c r="D76" s="14" t="n">
        <f aca="false">IF(C76="","",DATE(YEAR(C76)-1,1,1))</f>
        <v>46023</v>
      </c>
      <c r="E76" s="14" t="n">
        <f aca="false">IF(C76="","",DATE(YEAR(C76),12,31))</f>
        <v>46752</v>
      </c>
      <c r="F76" s="15" t="n">
        <f aca="false">IF(OR(A76="",C76=""),"",SUMPRODUCT(('Training Detail'!$A$5:$A$5000=A76)*('Training Detail'!$M$5:$M$5000=Standards!A2)*('Training Detail'!$G$5:$G$5000&gt;=D76)*('Training Detail'!$G$5:$G$5000&lt;=E76)*('Training Detail'!$P$5:$P$5000)))</f>
        <v>0</v>
      </c>
      <c r="G76" s="15" t="n">
        <f aca="false">IF(OR(A76="",C76=""),"",SUMPRODUCT(('Training Detail'!$A$5:$A$5000=A76)*('Training Detail'!$M$5:$M$5000=Standards!A3)*('Training Detail'!$G$5:$G$5000&gt;=D76)*('Training Detail'!$G$5:$G$5000&lt;=E76)*('Training Detail'!$P$5:$P$5000)))</f>
        <v>0</v>
      </c>
      <c r="H76" s="15" t="n">
        <f aca="false">IF(OR(A76="",C76=""),"",SUMPRODUCT(('Training Detail'!$A$5:$A$5000=A76)*('Training Detail'!$M$5:$M$5000=Standards!A4)*('Training Detail'!$G$5:$G$5000&gt;=D76)*('Training Detail'!$G$5:$G$5000&lt;=E76)*('Training Detail'!$P$5:$P$5000)))</f>
        <v>0</v>
      </c>
      <c r="I76" s="15" t="n">
        <f aca="false">IF(OR(A76="",C76=""),"",SUMPRODUCT(('Training Detail'!$A$5:$A$5000=A76)*('Training Detail'!$M$5:$M$5000=Standards!A5)*('Training Detail'!$G$5:$G$5000&gt;=D76)*('Training Detail'!$G$5:$G$5000&lt;=E76)*('Training Detail'!$P$5:$P$5000)))</f>
        <v>1</v>
      </c>
      <c r="J76" s="15" t="n">
        <f aca="false">IF(OR(A76="",C76=""),"",SUMPRODUCT(('Training Detail'!$A$5:$A$5000=A76)*('Training Detail'!$M$5:$M$5000=Standards!A6)*('Training Detail'!$G$5:$G$5000&gt;=D76)*('Training Detail'!$G$5:$G$5000&lt;=E76)*('Training Detail'!$P$5:$P$5000)))</f>
        <v>1</v>
      </c>
      <c r="K76" s="15" t="n">
        <f aca="false">IF(OR(A76="",C76=""),"",SUMPRODUCT(('Training Detail'!$A$5:$A$5000=A76)*('Training Detail'!$M$5:$M$5000=Standards!A7)*('Training Detail'!$G$5:$G$5000&gt;=D76)*('Training Detail'!$G$5:$G$5000&lt;=E76)*('Training Detail'!$P$5:$P$5000)))</f>
        <v>0</v>
      </c>
      <c r="L76" s="15" t="n">
        <f aca="false">IF(OR(A76="",C76=""),"",SUMPRODUCT(('Training Detail'!$A$5:$A$5000=A76)*('Training Detail'!$M$5:$M$5000=Standards!A8)*('Training Detail'!$G$5:$G$5000&gt;=D76)*('Training Detail'!$G$5:$G$5000&lt;=E76)*('Training Detail'!$P$5:$P$5000)))</f>
        <v>0</v>
      </c>
      <c r="M76" s="16" t="n">
        <f aca="false">IF(OR(A76="",C76=""),"",SUMPRODUCT(('Training Detail'!$A$5:$A$5000=A76)*('Training Detail'!$M$5:$M$5000=Standards!A9)*('Training Detail'!$G$5:$G$5000&gt;=D76)*('Training Detail'!$G$5:$G$5000&lt;=E76)*('Training Detail'!$P$5:$P$5000)))</f>
        <v>0</v>
      </c>
      <c r="N76" s="17" t="str">
        <f aca="false">IF(A76="","",IF(C76="","Set exp date",IF(AND(F76&gt;=Requirements!B5,G76&gt;=Requirements!B6,H76&gt;=Requirements!B7,I76&gt;=Requirements!B8,J76&gt;=Requirements!B9,K76&gt;=Requirements!B10,L76&gt;=Requirements!B11,M76&gt;=Requirements!B12),"Met","Short")))</f>
        <v>Short</v>
      </c>
      <c r="O76" s="18" t="str">
        <f aca="false">IF(OR(A76="",C76=""),"",IF(N76="Met","",IF(F76&lt;Requirements!B5,Requirements!A5&amp;" "&amp;TEXT(Requirements!B5-F76,"0.##")&amp;"; ","")&amp;IF(G76&lt;Requirements!B6,Requirements!A6&amp;" "&amp;TEXT(Requirements!B6-G76,"0.##")&amp;"; ","")&amp;IF(H76&lt;Requirements!B7,Requirements!A7&amp;" "&amp;TEXT(Requirements!B7-H76,"0.##")&amp;"; ","")&amp;IF(I76&lt;Requirements!B8,Requirements!A8&amp;" "&amp;TEXT(Requirements!B8-I76,"0.##")&amp;"; ","")&amp;IF(J76&lt;Requirements!B9,Requirements!A9&amp;" "&amp;TEXT(Requirements!B9-J76,"0.##")&amp;"; ","")&amp;IF(K76&lt;Requirements!B10,Requirements!A10&amp;" "&amp;TEXT(Requirements!B10-K76,"0.##")&amp;"; ","")&amp;IF(L76&lt;Requirements!B11,Requirements!A11&amp;" "&amp;TEXT(Requirements!B11-L76,"0.##")&amp;"; ","")&amp;IF(M76&lt;Requirements!B12,Requirements!A12&amp;" "&amp;TEXT(Requirements!B12-M76,"0.##")&amp;"; ","")))</f>
        <v>Airway 4; Cardiovascular 5; Trauma 3; Medical 5; Operations 1; PAHT 1; SVAT 1; CPR/AED 1; </v>
      </c>
    </row>
    <row r="77" customFormat="false" ht="15" hidden="false" customHeight="true" outlineLevel="0" collapsed="false">
      <c r="A77" s="19" t="s">
        <v>143</v>
      </c>
      <c r="B77" s="20" t="s">
        <v>144</v>
      </c>
      <c r="C77" s="13" t="n">
        <v>46387</v>
      </c>
      <c r="D77" s="21" t="n">
        <f aca="false">IF(C77="","",DATE(YEAR(C77)-1,1,1))</f>
        <v>45658</v>
      </c>
      <c r="E77" s="21" t="n">
        <f aca="false">IF(C77="","",DATE(YEAR(C77),12,31))</f>
        <v>46387</v>
      </c>
      <c r="F77" s="15" t="n">
        <f aca="false">IF(OR(A77="",C77=""),"",SUMPRODUCT(('Training Detail'!$A$5:$A$5000=A77)*('Training Detail'!$M$5:$M$5000=Standards!A2)*('Training Detail'!$G$5:$G$5000&gt;=D77)*('Training Detail'!$G$5:$G$5000&lt;=E77)*('Training Detail'!$P$5:$P$5000)))</f>
        <v>2.5</v>
      </c>
      <c r="G77" s="15" t="n">
        <f aca="false">IF(OR(A77="",C77=""),"",SUMPRODUCT(('Training Detail'!$A$5:$A$5000=A77)*('Training Detail'!$M$5:$M$5000=Standards!A3)*('Training Detail'!$G$5:$G$5000&gt;=D77)*('Training Detail'!$G$5:$G$5000&lt;=E77)*('Training Detail'!$P$5:$P$5000)))</f>
        <v>1</v>
      </c>
      <c r="H77" s="15" t="n">
        <f aca="false">IF(OR(A77="",C77=""),"",SUMPRODUCT(('Training Detail'!$A$5:$A$5000=A77)*('Training Detail'!$M$5:$M$5000=Standards!A4)*('Training Detail'!$G$5:$G$5000&gt;=D77)*('Training Detail'!$G$5:$G$5000&lt;=E77)*('Training Detail'!$P$5:$P$5000)))</f>
        <v>3</v>
      </c>
      <c r="I77" s="15" t="n">
        <f aca="false">IF(OR(A77="",C77=""),"",SUMPRODUCT(('Training Detail'!$A$5:$A$5000=A77)*('Training Detail'!$M$5:$M$5000=Standards!A5)*('Training Detail'!$G$5:$G$5000&gt;=D77)*('Training Detail'!$G$5:$G$5000&lt;=E77)*('Training Detail'!$P$5:$P$5000)))</f>
        <v>2.5</v>
      </c>
      <c r="J77" s="15" t="n">
        <f aca="false">IF(OR(A77="",C77=""),"",SUMPRODUCT(('Training Detail'!$A$5:$A$5000=A77)*('Training Detail'!$M$5:$M$5000=Standards!A6)*('Training Detail'!$G$5:$G$5000&gt;=D77)*('Training Detail'!$G$5:$G$5000&lt;=E77)*('Training Detail'!$P$5:$P$5000)))</f>
        <v>4.5</v>
      </c>
      <c r="K77" s="15" t="n">
        <f aca="false">IF(OR(A77="",C77=""),"",SUMPRODUCT(('Training Detail'!$A$5:$A$5000=A77)*('Training Detail'!$M$5:$M$5000=Standards!A7)*('Training Detail'!$G$5:$G$5000&gt;=D77)*('Training Detail'!$G$5:$G$5000&lt;=E77)*('Training Detail'!$P$5:$P$5000)))</f>
        <v>1</v>
      </c>
      <c r="L77" s="15" t="n">
        <f aca="false">IF(OR(A77="",C77=""),"",SUMPRODUCT(('Training Detail'!$A$5:$A$5000=A77)*('Training Detail'!$M$5:$M$5000=Standards!A8)*('Training Detail'!$G$5:$G$5000&gt;=D77)*('Training Detail'!$G$5:$G$5000&lt;=E77)*('Training Detail'!$P$5:$P$5000)))</f>
        <v>1</v>
      </c>
      <c r="M77" s="16" t="n">
        <f aca="false">IF(OR(A77="",C77=""),"",SUMPRODUCT(('Training Detail'!$A$5:$A$5000=A77)*('Training Detail'!$M$5:$M$5000=Standards!A9)*('Training Detail'!$G$5:$G$5000&gt;=D77)*('Training Detail'!$G$5:$G$5000&lt;=E77)*('Training Detail'!$P$5:$P$5000)))</f>
        <v>0</v>
      </c>
      <c r="N77" s="17" t="str">
        <f aca="false">IF(A77="","",IF(C77="","Set exp date",IF(AND(F77&gt;=Requirements!B5,G77&gt;=Requirements!B6,H77&gt;=Requirements!B7,I77&gt;=Requirements!B8,J77&gt;=Requirements!B9,K77&gt;=Requirements!B10,L77&gt;=Requirements!B11,M77&gt;=Requirements!B12),"Met","Short")))</f>
        <v>Short</v>
      </c>
      <c r="O77" s="18" t="str">
        <f aca="false">IF(OR(A77="",C77=""),"",IF(N77="Met","",IF(F77&lt;Requirements!B5,Requirements!A5&amp;" "&amp;TEXT(Requirements!B5-F77,"0.##")&amp;"; ","")&amp;IF(G77&lt;Requirements!B6,Requirements!A6&amp;" "&amp;TEXT(Requirements!B6-G77,"0.##")&amp;"; ","")&amp;IF(H77&lt;Requirements!B7,Requirements!A7&amp;" "&amp;TEXT(Requirements!B7-H77,"0.##")&amp;"; ","")&amp;IF(I77&lt;Requirements!B8,Requirements!A8&amp;" "&amp;TEXT(Requirements!B8-I77,"0.##")&amp;"; ","")&amp;IF(J77&lt;Requirements!B9,Requirements!A9&amp;" "&amp;TEXT(Requirements!B9-J77,"0.##")&amp;"; ","")&amp;IF(K77&lt;Requirements!B10,Requirements!A10&amp;" "&amp;TEXT(Requirements!B10-K77,"0.##")&amp;"; ","")&amp;IF(L77&lt;Requirements!B11,Requirements!A11&amp;" "&amp;TEXT(Requirements!B11-L77,"0.##")&amp;"; ","")&amp;IF(M77&lt;Requirements!B12,Requirements!A12&amp;" "&amp;TEXT(Requirements!B12-M77,"0.##")&amp;"; ","")))</f>
        <v>Airway 1.5; Cardiovascular 4; Medical 3.5; CPR/AED 1; </v>
      </c>
    </row>
    <row r="78" customFormat="false" ht="15" hidden="false" customHeight="true" outlineLevel="0" collapsed="false">
      <c r="A78" s="11" t="s">
        <v>145</v>
      </c>
      <c r="B78" s="12" t="s">
        <v>146</v>
      </c>
      <c r="C78" s="13" t="n">
        <v>46752</v>
      </c>
      <c r="D78" s="14" t="n">
        <f aca="false">IF(C78="","",DATE(YEAR(C78)-1,1,1))</f>
        <v>46023</v>
      </c>
      <c r="E78" s="14" t="n">
        <f aca="false">IF(C78="","",DATE(YEAR(C78),12,31))</f>
        <v>46752</v>
      </c>
      <c r="F78" s="15" t="n">
        <f aca="false">IF(OR(A78="",C78=""),"",SUMPRODUCT(('Training Detail'!$A$5:$A$5000=A78)*('Training Detail'!$M$5:$M$5000=Standards!A2)*('Training Detail'!$G$5:$G$5000&gt;=D78)*('Training Detail'!$G$5:$G$5000&lt;=E78)*('Training Detail'!$P$5:$P$5000)))</f>
        <v>0</v>
      </c>
      <c r="G78" s="15" t="n">
        <f aca="false">IF(OR(A78="",C78=""),"",SUMPRODUCT(('Training Detail'!$A$5:$A$5000=A78)*('Training Detail'!$M$5:$M$5000=Standards!A3)*('Training Detail'!$G$5:$G$5000&gt;=D78)*('Training Detail'!$G$5:$G$5000&lt;=E78)*('Training Detail'!$P$5:$P$5000)))</f>
        <v>0</v>
      </c>
      <c r="H78" s="15" t="n">
        <f aca="false">IF(OR(A78="",C78=""),"",SUMPRODUCT(('Training Detail'!$A$5:$A$5000=A78)*('Training Detail'!$M$5:$M$5000=Standards!A4)*('Training Detail'!$G$5:$G$5000&gt;=D78)*('Training Detail'!$G$5:$G$5000&lt;=E78)*('Training Detail'!$P$5:$P$5000)))</f>
        <v>6</v>
      </c>
      <c r="I78" s="15" t="n">
        <f aca="false">IF(OR(A78="",C78=""),"",SUMPRODUCT(('Training Detail'!$A$5:$A$5000=A78)*('Training Detail'!$M$5:$M$5000=Standards!A5)*('Training Detail'!$G$5:$G$5000&gt;=D78)*('Training Detail'!$G$5:$G$5000&lt;=E78)*('Training Detail'!$P$5:$P$5000)))</f>
        <v>1</v>
      </c>
      <c r="J78" s="15" t="n">
        <f aca="false">IF(OR(A78="",C78=""),"",SUMPRODUCT(('Training Detail'!$A$5:$A$5000=A78)*('Training Detail'!$M$5:$M$5000=Standards!A6)*('Training Detail'!$G$5:$G$5000&gt;=D78)*('Training Detail'!$G$5:$G$5000&lt;=E78)*('Training Detail'!$P$5:$P$5000)))</f>
        <v>3</v>
      </c>
      <c r="K78" s="15" t="n">
        <f aca="false">IF(OR(A78="",C78=""),"",SUMPRODUCT(('Training Detail'!$A$5:$A$5000=A78)*('Training Detail'!$M$5:$M$5000=Standards!A7)*('Training Detail'!$G$5:$G$5000&gt;=D78)*('Training Detail'!$G$5:$G$5000&lt;=E78)*('Training Detail'!$P$5:$P$5000)))</f>
        <v>0</v>
      </c>
      <c r="L78" s="15" t="n">
        <f aca="false">IF(OR(A78="",C78=""),"",SUMPRODUCT(('Training Detail'!$A$5:$A$5000=A78)*('Training Detail'!$M$5:$M$5000=Standards!A8)*('Training Detail'!$G$5:$G$5000&gt;=D78)*('Training Detail'!$G$5:$G$5000&lt;=E78)*('Training Detail'!$P$5:$P$5000)))</f>
        <v>0</v>
      </c>
      <c r="M78" s="16" t="n">
        <f aca="false">IF(OR(A78="",C78=""),"",SUMPRODUCT(('Training Detail'!$A$5:$A$5000=A78)*('Training Detail'!$M$5:$M$5000=Standards!A9)*('Training Detail'!$G$5:$G$5000&gt;=D78)*('Training Detail'!$G$5:$G$5000&lt;=E78)*('Training Detail'!$P$5:$P$5000)))</f>
        <v>1</v>
      </c>
      <c r="N78" s="17" t="str">
        <f aca="false">IF(A78="","",IF(C78="","Set exp date",IF(AND(F78&gt;=Requirements!B5,G78&gt;=Requirements!B6,H78&gt;=Requirements!B7,I78&gt;=Requirements!B8,J78&gt;=Requirements!B9,K78&gt;=Requirements!B10,L78&gt;=Requirements!B11,M78&gt;=Requirements!B12),"Met","Short")))</f>
        <v>Short</v>
      </c>
      <c r="O78" s="18" t="str">
        <f aca="false">IF(OR(A78="",C78=""),"",IF(N78="Met","",IF(F78&lt;Requirements!B5,Requirements!A5&amp;" "&amp;TEXT(Requirements!B5-F78,"0.##")&amp;"; ","")&amp;IF(G78&lt;Requirements!B6,Requirements!A6&amp;" "&amp;TEXT(Requirements!B6-G78,"0.##")&amp;"; ","")&amp;IF(H78&lt;Requirements!B7,Requirements!A7&amp;" "&amp;TEXT(Requirements!B7-H78,"0.##")&amp;"; ","")&amp;IF(I78&lt;Requirements!B8,Requirements!A8&amp;" "&amp;TEXT(Requirements!B8-I78,"0.##")&amp;"; ","")&amp;IF(J78&lt;Requirements!B9,Requirements!A9&amp;" "&amp;TEXT(Requirements!B9-J78,"0.##")&amp;"; ","")&amp;IF(K78&lt;Requirements!B10,Requirements!A10&amp;" "&amp;TEXT(Requirements!B10-K78,"0.##")&amp;"; ","")&amp;IF(L78&lt;Requirements!B11,Requirements!A11&amp;" "&amp;TEXT(Requirements!B11-L78,"0.##")&amp;"; ","")&amp;IF(M78&lt;Requirements!B12,Requirements!A12&amp;" "&amp;TEXT(Requirements!B12-M78,"0.##")&amp;"; ","")))</f>
        <v>Airway 4; Cardiovascular 5; Medical 5; PAHT 1; SVAT 1; </v>
      </c>
    </row>
    <row r="79" customFormat="false" ht="15" hidden="false" customHeight="true" outlineLevel="0" collapsed="false">
      <c r="A79" s="19" t="s">
        <v>147</v>
      </c>
      <c r="B79" s="20" t="s">
        <v>148</v>
      </c>
      <c r="C79" s="13" t="n">
        <v>46387</v>
      </c>
      <c r="D79" s="21" t="n">
        <f aca="false">IF(C79="","",DATE(YEAR(C79)-1,1,1))</f>
        <v>45658</v>
      </c>
      <c r="E79" s="21" t="n">
        <f aca="false">IF(C79="","",DATE(YEAR(C79),12,31))</f>
        <v>46387</v>
      </c>
      <c r="F79" s="15" t="n">
        <f aca="false">IF(OR(A79="",C79=""),"",SUMPRODUCT(('Training Detail'!$A$5:$A$5000=A79)*('Training Detail'!$M$5:$M$5000=Standards!A2)*('Training Detail'!$G$5:$G$5000&gt;=D79)*('Training Detail'!$G$5:$G$5000&lt;=E79)*('Training Detail'!$P$5:$P$5000)))</f>
        <v>1</v>
      </c>
      <c r="G79" s="15" t="n">
        <f aca="false">IF(OR(A79="",C79=""),"",SUMPRODUCT(('Training Detail'!$A$5:$A$5000=A79)*('Training Detail'!$M$5:$M$5000=Standards!A3)*('Training Detail'!$G$5:$G$5000&gt;=D79)*('Training Detail'!$G$5:$G$5000&lt;=E79)*('Training Detail'!$P$5:$P$5000)))</f>
        <v>0.5</v>
      </c>
      <c r="H79" s="15" t="n">
        <f aca="false">IF(OR(A79="",C79=""),"",SUMPRODUCT(('Training Detail'!$A$5:$A$5000=A79)*('Training Detail'!$M$5:$M$5000=Standards!A4)*('Training Detail'!$G$5:$G$5000&gt;=D79)*('Training Detail'!$G$5:$G$5000&lt;=E79)*('Training Detail'!$P$5:$P$5000)))</f>
        <v>5</v>
      </c>
      <c r="I79" s="15" t="n">
        <f aca="false">IF(OR(A79="",C79=""),"",SUMPRODUCT(('Training Detail'!$A$5:$A$5000=A79)*('Training Detail'!$M$5:$M$5000=Standards!A5)*('Training Detail'!$G$5:$G$5000&gt;=D79)*('Training Detail'!$G$5:$G$5000&lt;=E79)*('Training Detail'!$P$5:$P$5000)))</f>
        <v>5</v>
      </c>
      <c r="J79" s="15" t="n">
        <f aca="false">IF(OR(A79="",C79=""),"",SUMPRODUCT(('Training Detail'!$A$5:$A$5000=A79)*('Training Detail'!$M$5:$M$5000=Standards!A6)*('Training Detail'!$G$5:$G$5000&gt;=D79)*('Training Detail'!$G$5:$G$5000&lt;=E79)*('Training Detail'!$P$5:$P$5000)))</f>
        <v>1</v>
      </c>
      <c r="K79" s="15" t="n">
        <f aca="false">IF(OR(A79="",C79=""),"",SUMPRODUCT(('Training Detail'!$A$5:$A$5000=A79)*('Training Detail'!$M$5:$M$5000=Standards!A7)*('Training Detail'!$G$5:$G$5000&gt;=D79)*('Training Detail'!$G$5:$G$5000&lt;=E79)*('Training Detail'!$P$5:$P$5000)))</f>
        <v>0</v>
      </c>
      <c r="L79" s="15" t="n">
        <f aca="false">IF(OR(A79="",C79=""),"",SUMPRODUCT(('Training Detail'!$A$5:$A$5000=A79)*('Training Detail'!$M$5:$M$5000=Standards!A8)*('Training Detail'!$G$5:$G$5000&gt;=D79)*('Training Detail'!$G$5:$G$5000&lt;=E79)*('Training Detail'!$P$5:$P$5000)))</f>
        <v>0</v>
      </c>
      <c r="M79" s="16" t="n">
        <f aca="false">IF(OR(A79="",C79=""),"",SUMPRODUCT(('Training Detail'!$A$5:$A$5000=A79)*('Training Detail'!$M$5:$M$5000=Standards!A9)*('Training Detail'!$G$5:$G$5000&gt;=D79)*('Training Detail'!$G$5:$G$5000&lt;=E79)*('Training Detail'!$P$5:$P$5000)))</f>
        <v>0</v>
      </c>
      <c r="N79" s="17" t="str">
        <f aca="false">IF(A79="","",IF(C79="","Set exp date",IF(AND(F79&gt;=Requirements!B5,G79&gt;=Requirements!B6,H79&gt;=Requirements!B7,I79&gt;=Requirements!B8,J79&gt;=Requirements!B9,K79&gt;=Requirements!B10,L79&gt;=Requirements!B11,M79&gt;=Requirements!B12),"Met","Short")))</f>
        <v>Short</v>
      </c>
      <c r="O79" s="18" t="str">
        <f aca="false">IF(OR(A79="",C79=""),"",IF(N79="Met","",IF(F79&lt;Requirements!B5,Requirements!A5&amp;" "&amp;TEXT(Requirements!B5-F79,"0.##")&amp;"; ","")&amp;IF(G79&lt;Requirements!B6,Requirements!A6&amp;" "&amp;TEXT(Requirements!B6-G79,"0.##")&amp;"; ","")&amp;IF(H79&lt;Requirements!B7,Requirements!A7&amp;" "&amp;TEXT(Requirements!B7-H79,"0.##")&amp;"; ","")&amp;IF(I79&lt;Requirements!B8,Requirements!A8&amp;" "&amp;TEXT(Requirements!B8-I79,"0.##")&amp;"; ","")&amp;IF(J79&lt;Requirements!B9,Requirements!A9&amp;" "&amp;TEXT(Requirements!B9-J79,"0.##")&amp;"; ","")&amp;IF(K79&lt;Requirements!B10,Requirements!A10&amp;" "&amp;TEXT(Requirements!B10-K79,"0.##")&amp;"; ","")&amp;IF(L79&lt;Requirements!B11,Requirements!A11&amp;" "&amp;TEXT(Requirements!B11-L79,"0.##")&amp;"; ","")&amp;IF(M79&lt;Requirements!B12,Requirements!A12&amp;" "&amp;TEXT(Requirements!B12-M79,"0.##")&amp;"; ","")))</f>
        <v>Airway 3; Cardiovascular 4.5; Medical 1; Operations 1; PAHT 1; SVAT 1; CPR/AED 1; </v>
      </c>
    </row>
    <row r="80" customFormat="false" ht="15" hidden="false" customHeight="true" outlineLevel="0" collapsed="false">
      <c r="A80" s="11" t="s">
        <v>149</v>
      </c>
      <c r="B80" s="12"/>
      <c r="C80" s="13"/>
      <c r="D80" s="14" t="str">
        <f aca="false">IF(C80="","",DATE(YEAR(C80)-1,1,1))</f>
        <v/>
      </c>
      <c r="E80" s="14" t="str">
        <f aca="false">IF(C80="","",DATE(YEAR(C80),12,31))</f>
        <v/>
      </c>
      <c r="F80" s="15" t="str">
        <f aca="false">IF(OR(A80="",C80=""),"",SUMPRODUCT(('Training Detail'!$A$5:$A$5000=A80)*('Training Detail'!$M$5:$M$5000=Standards!A2)*('Training Detail'!$G$5:$G$5000&gt;=D80)*('Training Detail'!$G$5:$G$5000&lt;=E80)*('Training Detail'!$P$5:$P$5000)))</f>
        <v/>
      </c>
      <c r="G80" s="15" t="str">
        <f aca="false">IF(OR(A80="",C80=""),"",SUMPRODUCT(('Training Detail'!$A$5:$A$5000=A80)*('Training Detail'!$M$5:$M$5000=Standards!A3)*('Training Detail'!$G$5:$G$5000&gt;=D80)*('Training Detail'!$G$5:$G$5000&lt;=E80)*('Training Detail'!$P$5:$P$5000)))</f>
        <v/>
      </c>
      <c r="H80" s="15" t="str">
        <f aca="false">IF(OR(A80="",C80=""),"",SUMPRODUCT(('Training Detail'!$A$5:$A$5000=A80)*('Training Detail'!$M$5:$M$5000=Standards!A4)*('Training Detail'!$G$5:$G$5000&gt;=D80)*('Training Detail'!$G$5:$G$5000&lt;=E80)*('Training Detail'!$P$5:$P$5000)))</f>
        <v/>
      </c>
      <c r="I80" s="15" t="str">
        <f aca="false">IF(OR(A80="",C80=""),"",SUMPRODUCT(('Training Detail'!$A$5:$A$5000=A80)*('Training Detail'!$M$5:$M$5000=Standards!A5)*('Training Detail'!$G$5:$G$5000&gt;=D80)*('Training Detail'!$G$5:$G$5000&lt;=E80)*('Training Detail'!$P$5:$P$5000)))</f>
        <v/>
      </c>
      <c r="J80" s="15" t="str">
        <f aca="false">IF(OR(A80="",C80=""),"",SUMPRODUCT(('Training Detail'!$A$5:$A$5000=A80)*('Training Detail'!$M$5:$M$5000=Standards!A6)*('Training Detail'!$G$5:$G$5000&gt;=D80)*('Training Detail'!$G$5:$G$5000&lt;=E80)*('Training Detail'!$P$5:$P$5000)))</f>
        <v/>
      </c>
      <c r="K80" s="15" t="str">
        <f aca="false">IF(OR(A80="",C80=""),"",SUMPRODUCT(('Training Detail'!$A$5:$A$5000=A80)*('Training Detail'!$M$5:$M$5000=Standards!A7)*('Training Detail'!$G$5:$G$5000&gt;=D80)*('Training Detail'!$G$5:$G$5000&lt;=E80)*('Training Detail'!$P$5:$P$5000)))</f>
        <v/>
      </c>
      <c r="L80" s="15" t="str">
        <f aca="false">IF(OR(A80="",C80=""),"",SUMPRODUCT(('Training Detail'!$A$5:$A$5000=A80)*('Training Detail'!$M$5:$M$5000=Standards!A8)*('Training Detail'!$G$5:$G$5000&gt;=D80)*('Training Detail'!$G$5:$G$5000&lt;=E80)*('Training Detail'!$P$5:$P$5000)))</f>
        <v/>
      </c>
      <c r="M80" s="16" t="str">
        <f aca="false">IF(OR(A80="",C80=""),"",SUMPRODUCT(('Training Detail'!$A$5:$A$5000=A80)*('Training Detail'!$M$5:$M$5000=Standards!A9)*('Training Detail'!$G$5:$G$5000&gt;=D80)*('Training Detail'!$G$5:$G$5000&lt;=E80)*('Training Detail'!$P$5:$P$5000)))</f>
        <v/>
      </c>
      <c r="N80" s="17" t="str">
        <f aca="false">IF(A80="","",IF(C80="","Set exp date",IF(AND(F80&gt;=Requirements!B5,G80&gt;=Requirements!B6,H80&gt;=Requirements!B7,I80&gt;=Requirements!B8,J80&gt;=Requirements!B9,K80&gt;=Requirements!B10,L80&gt;=Requirements!B11,M80&gt;=Requirements!B12),"Met","Short")))</f>
        <v>Set exp date</v>
      </c>
      <c r="O80" s="18" t="str">
        <f aca="false">IF(OR(A80="",C80=""),"",IF(N80="Met","",IF(F80&lt;Requirements!B5,Requirements!A5&amp;" "&amp;TEXT(Requirements!B5-F80,"0.##")&amp;"; ","")&amp;IF(G80&lt;Requirements!B6,Requirements!A6&amp;" "&amp;TEXT(Requirements!B6-G80,"0.##")&amp;"; ","")&amp;IF(H80&lt;Requirements!B7,Requirements!A7&amp;" "&amp;TEXT(Requirements!B7-H80,"0.##")&amp;"; ","")&amp;IF(I80&lt;Requirements!B8,Requirements!A8&amp;" "&amp;TEXT(Requirements!B8-I80,"0.##")&amp;"; ","")&amp;IF(J80&lt;Requirements!B9,Requirements!A9&amp;" "&amp;TEXT(Requirements!B9-J80,"0.##")&amp;"; ","")&amp;IF(K80&lt;Requirements!B10,Requirements!A10&amp;" "&amp;TEXT(Requirements!B10-K80,"0.##")&amp;"; ","")&amp;IF(L80&lt;Requirements!B11,Requirements!A11&amp;" "&amp;TEXT(Requirements!B11-L80,"0.##")&amp;"; ","")&amp;IF(M80&lt;Requirements!B12,Requirements!A12&amp;" "&amp;TEXT(Requirements!B12-M80,"0.##")&amp;"; ","")))</f>
        <v/>
      </c>
    </row>
    <row r="81" customFormat="false" ht="15" hidden="false" customHeight="true" outlineLevel="0" collapsed="false">
      <c r="A81" s="19" t="s">
        <v>150</v>
      </c>
      <c r="B81" s="20" t="s">
        <v>151</v>
      </c>
      <c r="C81" s="13" t="n">
        <v>46387</v>
      </c>
      <c r="D81" s="21" t="n">
        <f aca="false">IF(C81="","",DATE(YEAR(C81)-1,1,1))</f>
        <v>45658</v>
      </c>
      <c r="E81" s="21" t="n">
        <f aca="false">IF(C81="","",DATE(YEAR(C81),12,31))</f>
        <v>46387</v>
      </c>
      <c r="F81" s="15" t="n">
        <f aca="false">IF(OR(A81="",C81=""),"",SUMPRODUCT(('Training Detail'!$A$5:$A$5000=A81)*('Training Detail'!$M$5:$M$5000=Standards!A2)*('Training Detail'!$G$5:$G$5000&gt;=D81)*('Training Detail'!$G$5:$G$5000&lt;=E81)*('Training Detail'!$P$5:$P$5000)))</f>
        <v>2</v>
      </c>
      <c r="G81" s="15" t="n">
        <f aca="false">IF(OR(A81="",C81=""),"",SUMPRODUCT(('Training Detail'!$A$5:$A$5000=A81)*('Training Detail'!$M$5:$M$5000=Standards!A3)*('Training Detail'!$G$5:$G$5000&gt;=D81)*('Training Detail'!$G$5:$G$5000&lt;=E81)*('Training Detail'!$P$5:$P$5000)))</f>
        <v>1</v>
      </c>
      <c r="H81" s="15" t="n">
        <f aca="false">IF(OR(A81="",C81=""),"",SUMPRODUCT(('Training Detail'!$A$5:$A$5000=A81)*('Training Detail'!$M$5:$M$5000=Standards!A4)*('Training Detail'!$G$5:$G$5000&gt;=D81)*('Training Detail'!$G$5:$G$5000&lt;=E81)*('Training Detail'!$P$5:$P$5000)))</f>
        <v>5.5</v>
      </c>
      <c r="I81" s="15" t="n">
        <f aca="false">IF(OR(A81="",C81=""),"",SUMPRODUCT(('Training Detail'!$A$5:$A$5000=A81)*('Training Detail'!$M$5:$M$5000=Standards!A5)*('Training Detail'!$G$5:$G$5000&gt;=D81)*('Training Detail'!$G$5:$G$5000&lt;=E81)*('Training Detail'!$P$5:$P$5000)))</f>
        <v>8</v>
      </c>
      <c r="J81" s="15" t="n">
        <f aca="false">IF(OR(A81="",C81=""),"",SUMPRODUCT(('Training Detail'!$A$5:$A$5000=A81)*('Training Detail'!$M$5:$M$5000=Standards!A6)*('Training Detail'!$G$5:$G$5000&gt;=D81)*('Training Detail'!$G$5:$G$5000&lt;=E81)*('Training Detail'!$P$5:$P$5000)))</f>
        <v>3</v>
      </c>
      <c r="K81" s="15" t="n">
        <f aca="false">IF(OR(A81="",C81=""),"",SUMPRODUCT(('Training Detail'!$A$5:$A$5000=A81)*('Training Detail'!$M$5:$M$5000=Standards!A7)*('Training Detail'!$G$5:$G$5000&gt;=D81)*('Training Detail'!$G$5:$G$5000&lt;=E81)*('Training Detail'!$P$5:$P$5000)))</f>
        <v>0</v>
      </c>
      <c r="L81" s="15" t="n">
        <f aca="false">IF(OR(A81="",C81=""),"",SUMPRODUCT(('Training Detail'!$A$5:$A$5000=A81)*('Training Detail'!$M$5:$M$5000=Standards!A8)*('Training Detail'!$G$5:$G$5000&gt;=D81)*('Training Detail'!$G$5:$G$5000&lt;=E81)*('Training Detail'!$P$5:$P$5000)))</f>
        <v>0</v>
      </c>
      <c r="M81" s="16" t="n">
        <f aca="false">IF(OR(A81="",C81=""),"",SUMPRODUCT(('Training Detail'!$A$5:$A$5000=A81)*('Training Detail'!$M$5:$M$5000=Standards!A9)*('Training Detail'!$G$5:$G$5000&gt;=D81)*('Training Detail'!$G$5:$G$5000&lt;=E81)*('Training Detail'!$P$5:$P$5000)))</f>
        <v>2</v>
      </c>
      <c r="N81" s="17" t="str">
        <f aca="false">IF(A81="","",IF(C81="","Set exp date",IF(AND(F81&gt;=Requirements!B5,G81&gt;=Requirements!B6,H81&gt;=Requirements!B7,I81&gt;=Requirements!B8,J81&gt;=Requirements!B9,K81&gt;=Requirements!B10,L81&gt;=Requirements!B11,M81&gt;=Requirements!B12),"Met","Short")))</f>
        <v>Short</v>
      </c>
      <c r="O81" s="18" t="str">
        <f aca="false">IF(OR(A81="",C81=""),"",IF(N81="Met","",IF(F81&lt;Requirements!B5,Requirements!A5&amp;" "&amp;TEXT(Requirements!B5-F81,"0.##")&amp;"; ","")&amp;IF(G81&lt;Requirements!B6,Requirements!A6&amp;" "&amp;TEXT(Requirements!B6-G81,"0.##")&amp;"; ","")&amp;IF(H81&lt;Requirements!B7,Requirements!A7&amp;" "&amp;TEXT(Requirements!B7-H81,"0.##")&amp;"; ","")&amp;IF(I81&lt;Requirements!B8,Requirements!A8&amp;" "&amp;TEXT(Requirements!B8-I81,"0.##")&amp;"; ","")&amp;IF(J81&lt;Requirements!B9,Requirements!A9&amp;" "&amp;TEXT(Requirements!B9-J81,"0.##")&amp;"; ","")&amp;IF(K81&lt;Requirements!B10,Requirements!A10&amp;" "&amp;TEXT(Requirements!B10-K81,"0.##")&amp;"; ","")&amp;IF(L81&lt;Requirements!B11,Requirements!A11&amp;" "&amp;TEXT(Requirements!B11-L81,"0.##")&amp;"; ","")&amp;IF(M81&lt;Requirements!B12,Requirements!A12&amp;" "&amp;TEXT(Requirements!B12-M81,"0.##")&amp;"; ","")))</f>
        <v>Airway 2; Cardiovascular 4; PAHT 1; SVAT 1; </v>
      </c>
    </row>
    <row r="82" customFormat="false" ht="15" hidden="false" customHeight="true" outlineLevel="0" collapsed="false">
      <c r="A82" s="11" t="s">
        <v>152</v>
      </c>
      <c r="B82" s="12" t="s">
        <v>153</v>
      </c>
      <c r="C82" s="13" t="n">
        <v>46752</v>
      </c>
      <c r="D82" s="14" t="n">
        <f aca="false">IF(C82="","",DATE(YEAR(C82)-1,1,1))</f>
        <v>46023</v>
      </c>
      <c r="E82" s="14" t="n">
        <f aca="false">IF(C82="","",DATE(YEAR(C82),12,31))</f>
        <v>46752</v>
      </c>
      <c r="F82" s="15" t="n">
        <f aca="false">IF(OR(A82="",C82=""),"",SUMPRODUCT(('Training Detail'!$A$5:$A$5000=A82)*('Training Detail'!$M$5:$M$5000=Standards!A2)*('Training Detail'!$G$5:$G$5000&gt;=D82)*('Training Detail'!$G$5:$G$5000&lt;=E82)*('Training Detail'!$P$5:$P$5000)))</f>
        <v>0</v>
      </c>
      <c r="G82" s="15" t="n">
        <f aca="false">IF(OR(A82="",C82=""),"",SUMPRODUCT(('Training Detail'!$A$5:$A$5000=A82)*('Training Detail'!$M$5:$M$5000=Standards!A3)*('Training Detail'!$G$5:$G$5000&gt;=D82)*('Training Detail'!$G$5:$G$5000&lt;=E82)*('Training Detail'!$P$5:$P$5000)))</f>
        <v>0</v>
      </c>
      <c r="H82" s="15" t="n">
        <f aca="false">IF(OR(A82="",C82=""),"",SUMPRODUCT(('Training Detail'!$A$5:$A$5000=A82)*('Training Detail'!$M$5:$M$5000=Standards!A4)*('Training Detail'!$G$5:$G$5000&gt;=D82)*('Training Detail'!$G$5:$G$5000&lt;=E82)*('Training Detail'!$P$5:$P$5000)))</f>
        <v>2</v>
      </c>
      <c r="I82" s="15" t="n">
        <f aca="false">IF(OR(A82="",C82=""),"",SUMPRODUCT(('Training Detail'!$A$5:$A$5000=A82)*('Training Detail'!$M$5:$M$5000=Standards!A5)*('Training Detail'!$G$5:$G$5000&gt;=D82)*('Training Detail'!$G$5:$G$5000&lt;=E82)*('Training Detail'!$P$5:$P$5000)))</f>
        <v>1</v>
      </c>
      <c r="J82" s="15" t="n">
        <f aca="false">IF(OR(A82="",C82=""),"",SUMPRODUCT(('Training Detail'!$A$5:$A$5000=A82)*('Training Detail'!$M$5:$M$5000=Standards!A6)*('Training Detail'!$G$5:$G$5000&gt;=D82)*('Training Detail'!$G$5:$G$5000&lt;=E82)*('Training Detail'!$P$5:$P$5000)))</f>
        <v>4</v>
      </c>
      <c r="K82" s="15" t="n">
        <f aca="false">IF(OR(A82="",C82=""),"",SUMPRODUCT(('Training Detail'!$A$5:$A$5000=A82)*('Training Detail'!$M$5:$M$5000=Standards!A7)*('Training Detail'!$G$5:$G$5000&gt;=D82)*('Training Detail'!$G$5:$G$5000&lt;=E82)*('Training Detail'!$P$5:$P$5000)))</f>
        <v>0</v>
      </c>
      <c r="L82" s="15" t="n">
        <f aca="false">IF(OR(A82="",C82=""),"",SUMPRODUCT(('Training Detail'!$A$5:$A$5000=A82)*('Training Detail'!$M$5:$M$5000=Standards!A8)*('Training Detail'!$G$5:$G$5000&gt;=D82)*('Training Detail'!$G$5:$G$5000&lt;=E82)*('Training Detail'!$P$5:$P$5000)))</f>
        <v>0</v>
      </c>
      <c r="M82" s="16" t="n">
        <f aca="false">IF(OR(A82="",C82=""),"",SUMPRODUCT(('Training Detail'!$A$5:$A$5000=A82)*('Training Detail'!$M$5:$M$5000=Standards!A9)*('Training Detail'!$G$5:$G$5000&gt;=D82)*('Training Detail'!$G$5:$G$5000&lt;=E82)*('Training Detail'!$P$5:$P$5000)))</f>
        <v>0</v>
      </c>
      <c r="N82" s="17" t="str">
        <f aca="false">IF(A82="","",IF(C82="","Set exp date",IF(AND(F82&gt;=Requirements!B5,G82&gt;=Requirements!B6,H82&gt;=Requirements!B7,I82&gt;=Requirements!B8,J82&gt;=Requirements!B9,K82&gt;=Requirements!B10,L82&gt;=Requirements!B11,M82&gt;=Requirements!B12),"Met","Short")))</f>
        <v>Short</v>
      </c>
      <c r="O82" s="18" t="str">
        <f aca="false">IF(OR(A82="",C82=""),"",IF(N82="Met","",IF(F82&lt;Requirements!B5,Requirements!A5&amp;" "&amp;TEXT(Requirements!B5-F82,"0.##")&amp;"; ","")&amp;IF(G82&lt;Requirements!B6,Requirements!A6&amp;" "&amp;TEXT(Requirements!B6-G82,"0.##")&amp;"; ","")&amp;IF(H82&lt;Requirements!B7,Requirements!A7&amp;" "&amp;TEXT(Requirements!B7-H82,"0.##")&amp;"; ","")&amp;IF(I82&lt;Requirements!B8,Requirements!A8&amp;" "&amp;TEXT(Requirements!B8-I82,"0.##")&amp;"; ","")&amp;IF(J82&lt;Requirements!B9,Requirements!A9&amp;" "&amp;TEXT(Requirements!B9-J82,"0.##")&amp;"; ","")&amp;IF(K82&lt;Requirements!B10,Requirements!A10&amp;" "&amp;TEXT(Requirements!B10-K82,"0.##")&amp;"; ","")&amp;IF(L82&lt;Requirements!B11,Requirements!A11&amp;" "&amp;TEXT(Requirements!B11-L82,"0.##")&amp;"; ","")&amp;IF(M82&lt;Requirements!B12,Requirements!A12&amp;" "&amp;TEXT(Requirements!B12-M82,"0.##")&amp;"; ","")))</f>
        <v>Airway 4; Cardiovascular 5; Trauma 1; Medical 5; PAHT 1; SVAT 1; CPR/AED 1; </v>
      </c>
    </row>
    <row r="83" customFormat="false" ht="15" hidden="false" customHeight="true" outlineLevel="0" collapsed="false">
      <c r="A83" s="19" t="s">
        <v>154</v>
      </c>
      <c r="B83" s="20" t="s">
        <v>155</v>
      </c>
      <c r="C83" s="13" t="n">
        <v>46387</v>
      </c>
      <c r="D83" s="21" t="n">
        <f aca="false">IF(C83="","",DATE(YEAR(C83)-1,1,1))</f>
        <v>45658</v>
      </c>
      <c r="E83" s="21" t="n">
        <f aca="false">IF(C83="","",DATE(YEAR(C83),12,31))</f>
        <v>46387</v>
      </c>
      <c r="F83" s="15" t="n">
        <f aca="false">IF(OR(A83="",C83=""),"",SUMPRODUCT(('Training Detail'!$A$5:$A$5000=A83)*('Training Detail'!$M$5:$M$5000=Standards!A2)*('Training Detail'!$G$5:$G$5000&gt;=D83)*('Training Detail'!$G$5:$G$5000&lt;=E83)*('Training Detail'!$P$5:$P$5000)))</f>
        <v>0.5</v>
      </c>
      <c r="G83" s="15" t="n">
        <f aca="false">IF(OR(A83="",C83=""),"",SUMPRODUCT(('Training Detail'!$A$5:$A$5000=A83)*('Training Detail'!$M$5:$M$5000=Standards!A3)*('Training Detail'!$G$5:$G$5000&gt;=D83)*('Training Detail'!$G$5:$G$5000&lt;=E83)*('Training Detail'!$P$5:$P$5000)))</f>
        <v>4.5</v>
      </c>
      <c r="H83" s="15" t="n">
        <f aca="false">IF(OR(A83="",C83=""),"",SUMPRODUCT(('Training Detail'!$A$5:$A$5000=A83)*('Training Detail'!$M$5:$M$5000=Standards!A4)*('Training Detail'!$G$5:$G$5000&gt;=D83)*('Training Detail'!$G$5:$G$5000&lt;=E83)*('Training Detail'!$P$5:$P$5000)))</f>
        <v>12</v>
      </c>
      <c r="I83" s="15" t="n">
        <f aca="false">IF(OR(A83="",C83=""),"",SUMPRODUCT(('Training Detail'!$A$5:$A$5000=A83)*('Training Detail'!$M$5:$M$5000=Standards!A5)*('Training Detail'!$G$5:$G$5000&gt;=D83)*('Training Detail'!$G$5:$G$5000&lt;=E83)*('Training Detail'!$P$5:$P$5000)))</f>
        <v>7.5</v>
      </c>
      <c r="J83" s="15" t="n">
        <f aca="false">IF(OR(A83="",C83=""),"",SUMPRODUCT(('Training Detail'!$A$5:$A$5000=A83)*('Training Detail'!$M$5:$M$5000=Standards!A6)*('Training Detail'!$G$5:$G$5000&gt;=D83)*('Training Detail'!$G$5:$G$5000&lt;=E83)*('Training Detail'!$P$5:$P$5000)))</f>
        <v>4.5</v>
      </c>
      <c r="K83" s="15" t="n">
        <f aca="false">IF(OR(A83="",C83=""),"",SUMPRODUCT(('Training Detail'!$A$5:$A$5000=A83)*('Training Detail'!$M$5:$M$5000=Standards!A7)*('Training Detail'!$G$5:$G$5000&gt;=D83)*('Training Detail'!$G$5:$G$5000&lt;=E83)*('Training Detail'!$P$5:$P$5000)))</f>
        <v>1</v>
      </c>
      <c r="L83" s="15" t="n">
        <f aca="false">IF(OR(A83="",C83=""),"",SUMPRODUCT(('Training Detail'!$A$5:$A$5000=A83)*('Training Detail'!$M$5:$M$5000=Standards!A8)*('Training Detail'!$G$5:$G$5000&gt;=D83)*('Training Detail'!$G$5:$G$5000&lt;=E83)*('Training Detail'!$P$5:$P$5000)))</f>
        <v>0</v>
      </c>
      <c r="M83" s="16" t="n">
        <f aca="false">IF(OR(A83="",C83=""),"",SUMPRODUCT(('Training Detail'!$A$5:$A$5000=A83)*('Training Detail'!$M$5:$M$5000=Standards!A9)*('Training Detail'!$G$5:$G$5000&gt;=D83)*('Training Detail'!$G$5:$G$5000&lt;=E83)*('Training Detail'!$P$5:$P$5000)))</f>
        <v>2</v>
      </c>
      <c r="N83" s="17" t="str">
        <f aca="false">IF(A83="","",IF(C83="","Set exp date",IF(AND(F83&gt;=Requirements!B5,G83&gt;=Requirements!B6,H83&gt;=Requirements!B7,I83&gt;=Requirements!B8,J83&gt;=Requirements!B9,K83&gt;=Requirements!B10,L83&gt;=Requirements!B11,M83&gt;=Requirements!B12),"Met","Short")))</f>
        <v>Short</v>
      </c>
      <c r="O83" s="18" t="str">
        <f aca="false">IF(OR(A83="",C83=""),"",IF(N83="Met","",IF(F83&lt;Requirements!B5,Requirements!A5&amp;" "&amp;TEXT(Requirements!B5-F83,"0.##")&amp;"; ","")&amp;IF(G83&lt;Requirements!B6,Requirements!A6&amp;" "&amp;TEXT(Requirements!B6-G83,"0.##")&amp;"; ","")&amp;IF(H83&lt;Requirements!B7,Requirements!A7&amp;" "&amp;TEXT(Requirements!B7-H83,"0.##")&amp;"; ","")&amp;IF(I83&lt;Requirements!B8,Requirements!A8&amp;" "&amp;TEXT(Requirements!B8-I83,"0.##")&amp;"; ","")&amp;IF(J83&lt;Requirements!B9,Requirements!A9&amp;" "&amp;TEXT(Requirements!B9-J83,"0.##")&amp;"; ","")&amp;IF(K83&lt;Requirements!B10,Requirements!A10&amp;" "&amp;TEXT(Requirements!B10-K83,"0.##")&amp;"; ","")&amp;IF(L83&lt;Requirements!B11,Requirements!A11&amp;" "&amp;TEXT(Requirements!B11-L83,"0.##")&amp;"; ","")&amp;IF(M83&lt;Requirements!B12,Requirements!A12&amp;" "&amp;TEXT(Requirements!B12-M83,"0.##")&amp;"; ","")))</f>
        <v>Airway 3.5; Cardiovascular 0.5; SVAT 1; </v>
      </c>
    </row>
    <row r="84" customFormat="false" ht="15" hidden="false" customHeight="true" outlineLevel="0" collapsed="false">
      <c r="A84" s="11" t="s">
        <v>156</v>
      </c>
      <c r="B84" s="12" t="s">
        <v>157</v>
      </c>
      <c r="C84" s="13" t="n">
        <v>46387</v>
      </c>
      <c r="D84" s="14" t="n">
        <f aca="false">IF(C84="","",DATE(YEAR(C84)-1,1,1))</f>
        <v>45658</v>
      </c>
      <c r="E84" s="14" t="n">
        <f aca="false">IF(C84="","",DATE(YEAR(C84),12,31))</f>
        <v>46387</v>
      </c>
      <c r="F84" s="15" t="n">
        <f aca="false">IF(OR(A84="",C84=""),"",SUMPRODUCT(('Training Detail'!$A$5:$A$5000=A84)*('Training Detail'!$M$5:$M$5000=Standards!A2)*('Training Detail'!$G$5:$G$5000&gt;=D84)*('Training Detail'!$G$5:$G$5000&lt;=E84)*('Training Detail'!$P$5:$P$5000)))</f>
        <v>0</v>
      </c>
      <c r="G84" s="15" t="n">
        <f aca="false">IF(OR(A84="",C84=""),"",SUMPRODUCT(('Training Detail'!$A$5:$A$5000=A84)*('Training Detail'!$M$5:$M$5000=Standards!A3)*('Training Detail'!$G$5:$G$5000&gt;=D84)*('Training Detail'!$G$5:$G$5000&lt;=E84)*('Training Detail'!$P$5:$P$5000)))</f>
        <v>2</v>
      </c>
      <c r="H84" s="15" t="n">
        <f aca="false">IF(OR(A84="",C84=""),"",SUMPRODUCT(('Training Detail'!$A$5:$A$5000=A84)*('Training Detail'!$M$5:$M$5000=Standards!A4)*('Training Detail'!$G$5:$G$5000&gt;=D84)*('Training Detail'!$G$5:$G$5000&lt;=E84)*('Training Detail'!$P$5:$P$5000)))</f>
        <v>6</v>
      </c>
      <c r="I84" s="15" t="n">
        <f aca="false">IF(OR(A84="",C84=""),"",SUMPRODUCT(('Training Detail'!$A$5:$A$5000=A84)*('Training Detail'!$M$5:$M$5000=Standards!A5)*('Training Detail'!$G$5:$G$5000&gt;=D84)*('Training Detail'!$G$5:$G$5000&lt;=E84)*('Training Detail'!$P$5:$P$5000)))</f>
        <v>11</v>
      </c>
      <c r="J84" s="15" t="n">
        <f aca="false">IF(OR(A84="",C84=""),"",SUMPRODUCT(('Training Detail'!$A$5:$A$5000=A84)*('Training Detail'!$M$5:$M$5000=Standards!A6)*('Training Detail'!$G$5:$G$5000&gt;=D84)*('Training Detail'!$G$5:$G$5000&lt;=E84)*('Training Detail'!$P$5:$P$5000)))</f>
        <v>3</v>
      </c>
      <c r="K84" s="15" t="n">
        <f aca="false">IF(OR(A84="",C84=""),"",SUMPRODUCT(('Training Detail'!$A$5:$A$5000=A84)*('Training Detail'!$M$5:$M$5000=Standards!A7)*('Training Detail'!$G$5:$G$5000&gt;=D84)*('Training Detail'!$G$5:$G$5000&lt;=E84)*('Training Detail'!$P$5:$P$5000)))</f>
        <v>0</v>
      </c>
      <c r="L84" s="15" t="n">
        <f aca="false">IF(OR(A84="",C84=""),"",SUMPRODUCT(('Training Detail'!$A$5:$A$5000=A84)*('Training Detail'!$M$5:$M$5000=Standards!A8)*('Training Detail'!$G$5:$G$5000&gt;=D84)*('Training Detail'!$G$5:$G$5000&lt;=E84)*('Training Detail'!$P$5:$P$5000)))</f>
        <v>0</v>
      </c>
      <c r="M84" s="16" t="n">
        <f aca="false">IF(OR(A84="",C84=""),"",SUMPRODUCT(('Training Detail'!$A$5:$A$5000=A84)*('Training Detail'!$M$5:$M$5000=Standards!A9)*('Training Detail'!$G$5:$G$5000&gt;=D84)*('Training Detail'!$G$5:$G$5000&lt;=E84)*('Training Detail'!$P$5:$P$5000)))</f>
        <v>2</v>
      </c>
      <c r="N84" s="17" t="str">
        <f aca="false">IF(A84="","",IF(C84="","Set exp date",IF(AND(F84&gt;=Requirements!B5,G84&gt;=Requirements!B6,H84&gt;=Requirements!B7,I84&gt;=Requirements!B8,J84&gt;=Requirements!B9,K84&gt;=Requirements!B10,L84&gt;=Requirements!B11,M84&gt;=Requirements!B12),"Met","Short")))</f>
        <v>Short</v>
      </c>
      <c r="O84" s="18" t="str">
        <f aca="false">IF(OR(A84="",C84=""),"",IF(N84="Met","",IF(F84&lt;Requirements!B5,Requirements!A5&amp;" "&amp;TEXT(Requirements!B5-F84,"0.##")&amp;"; ","")&amp;IF(G84&lt;Requirements!B6,Requirements!A6&amp;" "&amp;TEXT(Requirements!B6-G84,"0.##")&amp;"; ","")&amp;IF(H84&lt;Requirements!B7,Requirements!A7&amp;" "&amp;TEXT(Requirements!B7-H84,"0.##")&amp;"; ","")&amp;IF(I84&lt;Requirements!B8,Requirements!A8&amp;" "&amp;TEXT(Requirements!B8-I84,"0.##")&amp;"; ","")&amp;IF(J84&lt;Requirements!B9,Requirements!A9&amp;" "&amp;TEXT(Requirements!B9-J84,"0.##")&amp;"; ","")&amp;IF(K84&lt;Requirements!B10,Requirements!A10&amp;" "&amp;TEXT(Requirements!B10-K84,"0.##")&amp;"; ","")&amp;IF(L84&lt;Requirements!B11,Requirements!A11&amp;" "&amp;TEXT(Requirements!B11-L84,"0.##")&amp;"; ","")&amp;IF(M84&lt;Requirements!B12,Requirements!A12&amp;" "&amp;TEXT(Requirements!B12-M84,"0.##")&amp;"; ","")))</f>
        <v>Airway 4; Cardiovascular 3; PAHT 1; SVAT 1; </v>
      </c>
    </row>
    <row r="85" customFormat="false" ht="15" hidden="false" customHeight="true" outlineLevel="0" collapsed="false">
      <c r="A85" s="19" t="s">
        <v>158</v>
      </c>
      <c r="B85" s="20" t="s">
        <v>159</v>
      </c>
      <c r="C85" s="13" t="n">
        <v>46387</v>
      </c>
      <c r="D85" s="21" t="n">
        <f aca="false">IF(C85="","",DATE(YEAR(C85)-1,1,1))</f>
        <v>45658</v>
      </c>
      <c r="E85" s="21" t="n">
        <f aca="false">IF(C85="","",DATE(YEAR(C85),12,31))</f>
        <v>46387</v>
      </c>
      <c r="F85" s="15" t="n">
        <f aca="false">IF(OR(A85="",C85=""),"",SUMPRODUCT(('Training Detail'!$A$5:$A$5000=A85)*('Training Detail'!$M$5:$M$5000=Standards!A2)*('Training Detail'!$G$5:$G$5000&gt;=D85)*('Training Detail'!$G$5:$G$5000&lt;=E85)*('Training Detail'!$P$5:$P$5000)))</f>
        <v>5</v>
      </c>
      <c r="G85" s="15" t="n">
        <f aca="false">IF(OR(A85="",C85=""),"",SUMPRODUCT(('Training Detail'!$A$5:$A$5000=A85)*('Training Detail'!$M$5:$M$5000=Standards!A3)*('Training Detail'!$G$5:$G$5000&gt;=D85)*('Training Detail'!$G$5:$G$5000&lt;=E85)*('Training Detail'!$P$5:$P$5000)))</f>
        <v>7</v>
      </c>
      <c r="H85" s="15" t="n">
        <f aca="false">IF(OR(A85="",C85=""),"",SUMPRODUCT(('Training Detail'!$A$5:$A$5000=A85)*('Training Detail'!$M$5:$M$5000=Standards!A4)*('Training Detail'!$G$5:$G$5000&gt;=D85)*('Training Detail'!$G$5:$G$5000&lt;=E85)*('Training Detail'!$P$5:$P$5000)))</f>
        <v>8.5</v>
      </c>
      <c r="I85" s="15" t="n">
        <f aca="false">IF(OR(A85="",C85=""),"",SUMPRODUCT(('Training Detail'!$A$5:$A$5000=A85)*('Training Detail'!$M$5:$M$5000=Standards!A5)*('Training Detail'!$G$5:$G$5000&gt;=D85)*('Training Detail'!$G$5:$G$5000&lt;=E85)*('Training Detail'!$P$5:$P$5000)))</f>
        <v>9</v>
      </c>
      <c r="J85" s="15" t="n">
        <f aca="false">IF(OR(A85="",C85=""),"",SUMPRODUCT(('Training Detail'!$A$5:$A$5000=A85)*('Training Detail'!$M$5:$M$5000=Standards!A6)*('Training Detail'!$G$5:$G$5000&gt;=D85)*('Training Detail'!$G$5:$G$5000&lt;=E85)*('Training Detail'!$P$5:$P$5000)))</f>
        <v>3</v>
      </c>
      <c r="K85" s="15" t="n">
        <f aca="false">IF(OR(A85="",C85=""),"",SUMPRODUCT(('Training Detail'!$A$5:$A$5000=A85)*('Training Detail'!$M$5:$M$5000=Standards!A7)*('Training Detail'!$G$5:$G$5000&gt;=D85)*('Training Detail'!$G$5:$G$5000&lt;=E85)*('Training Detail'!$P$5:$P$5000)))</f>
        <v>1</v>
      </c>
      <c r="L85" s="15" t="n">
        <f aca="false">IF(OR(A85="",C85=""),"",SUMPRODUCT(('Training Detail'!$A$5:$A$5000=A85)*('Training Detail'!$M$5:$M$5000=Standards!A8)*('Training Detail'!$G$5:$G$5000&gt;=D85)*('Training Detail'!$G$5:$G$5000&lt;=E85)*('Training Detail'!$P$5:$P$5000)))</f>
        <v>1</v>
      </c>
      <c r="M85" s="16" t="n">
        <f aca="false">IF(OR(A85="",C85=""),"",SUMPRODUCT(('Training Detail'!$A$5:$A$5000=A85)*('Training Detail'!$M$5:$M$5000=Standards!A9)*('Training Detail'!$G$5:$G$5000&gt;=D85)*('Training Detail'!$G$5:$G$5000&lt;=E85)*('Training Detail'!$P$5:$P$5000)))</f>
        <v>0</v>
      </c>
      <c r="N85" s="17" t="str">
        <f aca="false">IF(A85="","",IF(C85="","Set exp date",IF(AND(F85&gt;=Requirements!B5,G85&gt;=Requirements!B6,H85&gt;=Requirements!B7,I85&gt;=Requirements!B8,J85&gt;=Requirements!B9,K85&gt;=Requirements!B10,L85&gt;=Requirements!B11,M85&gt;=Requirements!B12),"Met","Short")))</f>
        <v>Short</v>
      </c>
      <c r="O85" s="18" t="str">
        <f aca="false">IF(OR(A85="",C85=""),"",IF(N85="Met","",IF(F85&lt;Requirements!B5,Requirements!A5&amp;" "&amp;TEXT(Requirements!B5-F85,"0.##")&amp;"; ","")&amp;IF(G85&lt;Requirements!B6,Requirements!A6&amp;" "&amp;TEXT(Requirements!B6-G85,"0.##")&amp;"; ","")&amp;IF(H85&lt;Requirements!B7,Requirements!A7&amp;" "&amp;TEXT(Requirements!B7-H85,"0.##")&amp;"; ","")&amp;IF(I85&lt;Requirements!B8,Requirements!A8&amp;" "&amp;TEXT(Requirements!B8-I85,"0.##")&amp;"; ","")&amp;IF(J85&lt;Requirements!B9,Requirements!A9&amp;" "&amp;TEXT(Requirements!B9-J85,"0.##")&amp;"; ","")&amp;IF(K85&lt;Requirements!B10,Requirements!A10&amp;" "&amp;TEXT(Requirements!B10-K85,"0.##")&amp;"; ","")&amp;IF(L85&lt;Requirements!B11,Requirements!A11&amp;" "&amp;TEXT(Requirements!B11-L85,"0.##")&amp;"; ","")&amp;IF(M85&lt;Requirements!B12,Requirements!A12&amp;" "&amp;TEXT(Requirements!B12-M85,"0.##")&amp;"; ","")))</f>
        <v>CPR/AED 1; </v>
      </c>
    </row>
    <row r="86" customFormat="false" ht="15" hidden="false" customHeight="true" outlineLevel="0" collapsed="false">
      <c r="A86" s="11" t="s">
        <v>160</v>
      </c>
      <c r="B86" s="12"/>
      <c r="C86" s="13"/>
      <c r="D86" s="14" t="str">
        <f aca="false">IF(C86="","",DATE(YEAR(C86)-1,1,1))</f>
        <v/>
      </c>
      <c r="E86" s="14" t="str">
        <f aca="false">IF(C86="","",DATE(YEAR(C86),12,31))</f>
        <v/>
      </c>
      <c r="F86" s="15" t="str">
        <f aca="false">IF(OR(A86="",C86=""),"",SUMPRODUCT(('Training Detail'!$A$5:$A$5000=A86)*('Training Detail'!$M$5:$M$5000=Standards!A2)*('Training Detail'!$G$5:$G$5000&gt;=D86)*('Training Detail'!$G$5:$G$5000&lt;=E86)*('Training Detail'!$P$5:$P$5000)))</f>
        <v/>
      </c>
      <c r="G86" s="15" t="str">
        <f aca="false">IF(OR(A86="",C86=""),"",SUMPRODUCT(('Training Detail'!$A$5:$A$5000=A86)*('Training Detail'!$M$5:$M$5000=Standards!A3)*('Training Detail'!$G$5:$G$5000&gt;=D86)*('Training Detail'!$G$5:$G$5000&lt;=E86)*('Training Detail'!$P$5:$P$5000)))</f>
        <v/>
      </c>
      <c r="H86" s="15" t="str">
        <f aca="false">IF(OR(A86="",C86=""),"",SUMPRODUCT(('Training Detail'!$A$5:$A$5000=A86)*('Training Detail'!$M$5:$M$5000=Standards!A4)*('Training Detail'!$G$5:$G$5000&gt;=D86)*('Training Detail'!$G$5:$G$5000&lt;=E86)*('Training Detail'!$P$5:$P$5000)))</f>
        <v/>
      </c>
      <c r="I86" s="15" t="str">
        <f aca="false">IF(OR(A86="",C86=""),"",SUMPRODUCT(('Training Detail'!$A$5:$A$5000=A86)*('Training Detail'!$M$5:$M$5000=Standards!A5)*('Training Detail'!$G$5:$G$5000&gt;=D86)*('Training Detail'!$G$5:$G$5000&lt;=E86)*('Training Detail'!$P$5:$P$5000)))</f>
        <v/>
      </c>
      <c r="J86" s="15" t="str">
        <f aca="false">IF(OR(A86="",C86=""),"",SUMPRODUCT(('Training Detail'!$A$5:$A$5000=A86)*('Training Detail'!$M$5:$M$5000=Standards!A6)*('Training Detail'!$G$5:$G$5000&gt;=D86)*('Training Detail'!$G$5:$G$5000&lt;=E86)*('Training Detail'!$P$5:$P$5000)))</f>
        <v/>
      </c>
      <c r="K86" s="15" t="str">
        <f aca="false">IF(OR(A86="",C86=""),"",SUMPRODUCT(('Training Detail'!$A$5:$A$5000=A86)*('Training Detail'!$M$5:$M$5000=Standards!A7)*('Training Detail'!$G$5:$G$5000&gt;=D86)*('Training Detail'!$G$5:$G$5000&lt;=E86)*('Training Detail'!$P$5:$P$5000)))</f>
        <v/>
      </c>
      <c r="L86" s="15" t="str">
        <f aca="false">IF(OR(A86="",C86=""),"",SUMPRODUCT(('Training Detail'!$A$5:$A$5000=A86)*('Training Detail'!$M$5:$M$5000=Standards!A8)*('Training Detail'!$G$5:$G$5000&gt;=D86)*('Training Detail'!$G$5:$G$5000&lt;=E86)*('Training Detail'!$P$5:$P$5000)))</f>
        <v/>
      </c>
      <c r="M86" s="16" t="str">
        <f aca="false">IF(OR(A86="",C86=""),"",SUMPRODUCT(('Training Detail'!$A$5:$A$5000=A86)*('Training Detail'!$M$5:$M$5000=Standards!A9)*('Training Detail'!$G$5:$G$5000&gt;=D86)*('Training Detail'!$G$5:$G$5000&lt;=E86)*('Training Detail'!$P$5:$P$5000)))</f>
        <v/>
      </c>
      <c r="N86" s="17" t="str">
        <f aca="false">IF(A86="","",IF(C86="","Set exp date",IF(AND(F86&gt;=Requirements!B5,G86&gt;=Requirements!B6,H86&gt;=Requirements!B7,I86&gt;=Requirements!B8,J86&gt;=Requirements!B9,K86&gt;=Requirements!B10,L86&gt;=Requirements!B11,M86&gt;=Requirements!B12),"Met","Short")))</f>
        <v>Set exp date</v>
      </c>
      <c r="O86" s="18" t="str">
        <f aca="false">IF(OR(A86="",C86=""),"",IF(N86="Met","",IF(F86&lt;Requirements!B5,Requirements!A5&amp;" "&amp;TEXT(Requirements!B5-F86,"0.##")&amp;"; ","")&amp;IF(G86&lt;Requirements!B6,Requirements!A6&amp;" "&amp;TEXT(Requirements!B6-G86,"0.##")&amp;"; ","")&amp;IF(H86&lt;Requirements!B7,Requirements!A7&amp;" "&amp;TEXT(Requirements!B7-H86,"0.##")&amp;"; ","")&amp;IF(I86&lt;Requirements!B8,Requirements!A8&amp;" "&amp;TEXT(Requirements!B8-I86,"0.##")&amp;"; ","")&amp;IF(J86&lt;Requirements!B9,Requirements!A9&amp;" "&amp;TEXT(Requirements!B9-J86,"0.##")&amp;"; ","")&amp;IF(K86&lt;Requirements!B10,Requirements!A10&amp;" "&amp;TEXT(Requirements!B10-K86,"0.##")&amp;"; ","")&amp;IF(L86&lt;Requirements!B11,Requirements!A11&amp;" "&amp;TEXT(Requirements!B11-L86,"0.##")&amp;"; ","")&amp;IF(M86&lt;Requirements!B12,Requirements!A12&amp;" "&amp;TEXT(Requirements!B12-M86,"0.##")&amp;"; ","")))</f>
        <v/>
      </c>
    </row>
    <row r="87" customFormat="false" ht="15" hidden="false" customHeight="true" outlineLevel="0" collapsed="false">
      <c r="A87" s="19" t="s">
        <v>161</v>
      </c>
      <c r="B87" s="20"/>
      <c r="C87" s="13"/>
      <c r="D87" s="21" t="str">
        <f aca="false">IF(C87="","",DATE(YEAR(C87)-1,1,1))</f>
        <v/>
      </c>
      <c r="E87" s="21" t="str">
        <f aca="false">IF(C87="","",DATE(YEAR(C87),12,31))</f>
        <v/>
      </c>
      <c r="F87" s="15" t="str">
        <f aca="false">IF(OR(A87="",C87=""),"",SUMPRODUCT(('Training Detail'!$A$5:$A$5000=A87)*('Training Detail'!$M$5:$M$5000=Standards!A2)*('Training Detail'!$G$5:$G$5000&gt;=D87)*('Training Detail'!$G$5:$G$5000&lt;=E87)*('Training Detail'!$P$5:$P$5000)))</f>
        <v/>
      </c>
      <c r="G87" s="15" t="str">
        <f aca="false">IF(OR(A87="",C87=""),"",SUMPRODUCT(('Training Detail'!$A$5:$A$5000=A87)*('Training Detail'!$M$5:$M$5000=Standards!A3)*('Training Detail'!$G$5:$G$5000&gt;=D87)*('Training Detail'!$G$5:$G$5000&lt;=E87)*('Training Detail'!$P$5:$P$5000)))</f>
        <v/>
      </c>
      <c r="H87" s="15" t="str">
        <f aca="false">IF(OR(A87="",C87=""),"",SUMPRODUCT(('Training Detail'!$A$5:$A$5000=A87)*('Training Detail'!$M$5:$M$5000=Standards!A4)*('Training Detail'!$G$5:$G$5000&gt;=D87)*('Training Detail'!$G$5:$G$5000&lt;=E87)*('Training Detail'!$P$5:$P$5000)))</f>
        <v/>
      </c>
      <c r="I87" s="15" t="str">
        <f aca="false">IF(OR(A87="",C87=""),"",SUMPRODUCT(('Training Detail'!$A$5:$A$5000=A87)*('Training Detail'!$M$5:$M$5000=Standards!A5)*('Training Detail'!$G$5:$G$5000&gt;=D87)*('Training Detail'!$G$5:$G$5000&lt;=E87)*('Training Detail'!$P$5:$P$5000)))</f>
        <v/>
      </c>
      <c r="J87" s="15" t="str">
        <f aca="false">IF(OR(A87="",C87=""),"",SUMPRODUCT(('Training Detail'!$A$5:$A$5000=A87)*('Training Detail'!$M$5:$M$5000=Standards!A6)*('Training Detail'!$G$5:$G$5000&gt;=D87)*('Training Detail'!$G$5:$G$5000&lt;=E87)*('Training Detail'!$P$5:$P$5000)))</f>
        <v/>
      </c>
      <c r="K87" s="15" t="str">
        <f aca="false">IF(OR(A87="",C87=""),"",SUMPRODUCT(('Training Detail'!$A$5:$A$5000=A87)*('Training Detail'!$M$5:$M$5000=Standards!A7)*('Training Detail'!$G$5:$G$5000&gt;=D87)*('Training Detail'!$G$5:$G$5000&lt;=E87)*('Training Detail'!$P$5:$P$5000)))</f>
        <v/>
      </c>
      <c r="L87" s="15" t="str">
        <f aca="false">IF(OR(A87="",C87=""),"",SUMPRODUCT(('Training Detail'!$A$5:$A$5000=A87)*('Training Detail'!$M$5:$M$5000=Standards!A8)*('Training Detail'!$G$5:$G$5000&gt;=D87)*('Training Detail'!$G$5:$G$5000&lt;=E87)*('Training Detail'!$P$5:$P$5000)))</f>
        <v/>
      </c>
      <c r="M87" s="16" t="str">
        <f aca="false">IF(OR(A87="",C87=""),"",SUMPRODUCT(('Training Detail'!$A$5:$A$5000=A87)*('Training Detail'!$M$5:$M$5000=Standards!A9)*('Training Detail'!$G$5:$G$5000&gt;=D87)*('Training Detail'!$G$5:$G$5000&lt;=E87)*('Training Detail'!$P$5:$P$5000)))</f>
        <v/>
      </c>
      <c r="N87" s="17" t="str">
        <f aca="false">IF(A87="","",IF(C87="","Set exp date",IF(AND(F87&gt;=Requirements!B5,G87&gt;=Requirements!B6,H87&gt;=Requirements!B7,I87&gt;=Requirements!B8,J87&gt;=Requirements!B9,K87&gt;=Requirements!B10,L87&gt;=Requirements!B11,M87&gt;=Requirements!B12),"Met","Short")))</f>
        <v>Set exp date</v>
      </c>
      <c r="O87" s="18" t="str">
        <f aca="false">IF(OR(A87="",C87=""),"",IF(N87="Met","",IF(F87&lt;Requirements!B5,Requirements!A5&amp;" "&amp;TEXT(Requirements!B5-F87,"0.##")&amp;"; ","")&amp;IF(G87&lt;Requirements!B6,Requirements!A6&amp;" "&amp;TEXT(Requirements!B6-G87,"0.##")&amp;"; ","")&amp;IF(H87&lt;Requirements!B7,Requirements!A7&amp;" "&amp;TEXT(Requirements!B7-H87,"0.##")&amp;"; ","")&amp;IF(I87&lt;Requirements!B8,Requirements!A8&amp;" "&amp;TEXT(Requirements!B8-I87,"0.##")&amp;"; ","")&amp;IF(J87&lt;Requirements!B9,Requirements!A9&amp;" "&amp;TEXT(Requirements!B9-J87,"0.##")&amp;"; ","")&amp;IF(K87&lt;Requirements!B10,Requirements!A10&amp;" "&amp;TEXT(Requirements!B10-K87,"0.##")&amp;"; ","")&amp;IF(L87&lt;Requirements!B11,Requirements!A11&amp;" "&amp;TEXT(Requirements!B11-L87,"0.##")&amp;"; ","")&amp;IF(M87&lt;Requirements!B12,Requirements!A12&amp;" "&amp;TEXT(Requirements!B12-M87,"0.##")&amp;"; ","")))</f>
        <v/>
      </c>
    </row>
    <row r="88" customFormat="false" ht="15" hidden="false" customHeight="true" outlineLevel="0" collapsed="false">
      <c r="A88" s="11" t="s">
        <v>162</v>
      </c>
      <c r="B88" s="12" t="s">
        <v>163</v>
      </c>
      <c r="C88" s="13" t="n">
        <v>46752</v>
      </c>
      <c r="D88" s="14" t="n">
        <f aca="false">IF(C88="","",DATE(YEAR(C88)-1,1,1))</f>
        <v>46023</v>
      </c>
      <c r="E88" s="14" t="n">
        <f aca="false">IF(C88="","",DATE(YEAR(C88),12,31))</f>
        <v>46752</v>
      </c>
      <c r="F88" s="15" t="n">
        <f aca="false">IF(OR(A88="",C88=""),"",SUMPRODUCT(('Training Detail'!$A$5:$A$5000=A88)*('Training Detail'!$M$5:$M$5000=Standards!A2)*('Training Detail'!$G$5:$G$5000&gt;=D88)*('Training Detail'!$G$5:$G$5000&lt;=E88)*('Training Detail'!$P$5:$P$5000)))</f>
        <v>0</v>
      </c>
      <c r="G88" s="15" t="n">
        <f aca="false">IF(OR(A88="",C88=""),"",SUMPRODUCT(('Training Detail'!$A$5:$A$5000=A88)*('Training Detail'!$M$5:$M$5000=Standards!A3)*('Training Detail'!$G$5:$G$5000&gt;=D88)*('Training Detail'!$G$5:$G$5000&lt;=E88)*('Training Detail'!$P$5:$P$5000)))</f>
        <v>0</v>
      </c>
      <c r="H88" s="15" t="n">
        <f aca="false">IF(OR(A88="",C88=""),"",SUMPRODUCT(('Training Detail'!$A$5:$A$5000=A88)*('Training Detail'!$M$5:$M$5000=Standards!A4)*('Training Detail'!$G$5:$G$5000&gt;=D88)*('Training Detail'!$G$5:$G$5000&lt;=E88)*('Training Detail'!$P$5:$P$5000)))</f>
        <v>3</v>
      </c>
      <c r="I88" s="15" t="n">
        <f aca="false">IF(OR(A88="",C88=""),"",SUMPRODUCT(('Training Detail'!$A$5:$A$5000=A88)*('Training Detail'!$M$5:$M$5000=Standards!A5)*('Training Detail'!$G$5:$G$5000&gt;=D88)*('Training Detail'!$G$5:$G$5000&lt;=E88)*('Training Detail'!$P$5:$P$5000)))</f>
        <v>1.5</v>
      </c>
      <c r="J88" s="15" t="n">
        <f aca="false">IF(OR(A88="",C88=""),"",SUMPRODUCT(('Training Detail'!$A$5:$A$5000=A88)*('Training Detail'!$M$5:$M$5000=Standards!A6)*('Training Detail'!$G$5:$G$5000&gt;=D88)*('Training Detail'!$G$5:$G$5000&lt;=E88)*('Training Detail'!$P$5:$P$5000)))</f>
        <v>1.5</v>
      </c>
      <c r="K88" s="15" t="n">
        <f aca="false">IF(OR(A88="",C88=""),"",SUMPRODUCT(('Training Detail'!$A$5:$A$5000=A88)*('Training Detail'!$M$5:$M$5000=Standards!A7)*('Training Detail'!$G$5:$G$5000&gt;=D88)*('Training Detail'!$G$5:$G$5000&lt;=E88)*('Training Detail'!$P$5:$P$5000)))</f>
        <v>0</v>
      </c>
      <c r="L88" s="15" t="n">
        <f aca="false">IF(OR(A88="",C88=""),"",SUMPRODUCT(('Training Detail'!$A$5:$A$5000=A88)*('Training Detail'!$M$5:$M$5000=Standards!A8)*('Training Detail'!$G$5:$G$5000&gt;=D88)*('Training Detail'!$G$5:$G$5000&lt;=E88)*('Training Detail'!$P$5:$P$5000)))</f>
        <v>0</v>
      </c>
      <c r="M88" s="16" t="n">
        <f aca="false">IF(OR(A88="",C88=""),"",SUMPRODUCT(('Training Detail'!$A$5:$A$5000=A88)*('Training Detail'!$M$5:$M$5000=Standards!A9)*('Training Detail'!$G$5:$G$5000&gt;=D88)*('Training Detail'!$G$5:$G$5000&lt;=E88)*('Training Detail'!$P$5:$P$5000)))</f>
        <v>0</v>
      </c>
      <c r="N88" s="17" t="str">
        <f aca="false">IF(A88="","",IF(C88="","Set exp date",IF(AND(F88&gt;=Requirements!B5,G88&gt;=Requirements!B6,H88&gt;=Requirements!B7,I88&gt;=Requirements!B8,J88&gt;=Requirements!B9,K88&gt;=Requirements!B10,L88&gt;=Requirements!B11,M88&gt;=Requirements!B12),"Met","Short")))</f>
        <v>Short</v>
      </c>
      <c r="O88" s="18" t="str">
        <f aca="false">IF(OR(A88="",C88=""),"",IF(N88="Met","",IF(F88&lt;Requirements!B5,Requirements!A5&amp;" "&amp;TEXT(Requirements!B5-F88,"0.##")&amp;"; ","")&amp;IF(G88&lt;Requirements!B6,Requirements!A6&amp;" "&amp;TEXT(Requirements!B6-G88,"0.##")&amp;"; ","")&amp;IF(H88&lt;Requirements!B7,Requirements!A7&amp;" "&amp;TEXT(Requirements!B7-H88,"0.##")&amp;"; ","")&amp;IF(I88&lt;Requirements!B8,Requirements!A8&amp;" "&amp;TEXT(Requirements!B8-I88,"0.##")&amp;"; ","")&amp;IF(J88&lt;Requirements!B9,Requirements!A9&amp;" "&amp;TEXT(Requirements!B9-J88,"0.##")&amp;"; ","")&amp;IF(K88&lt;Requirements!B10,Requirements!A10&amp;" "&amp;TEXT(Requirements!B10-K88,"0.##")&amp;"; ","")&amp;IF(L88&lt;Requirements!B11,Requirements!A11&amp;" "&amp;TEXT(Requirements!B11-L88,"0.##")&amp;"; ","")&amp;IF(M88&lt;Requirements!B12,Requirements!A12&amp;" "&amp;TEXT(Requirements!B12-M88,"0.##")&amp;"; ","")))</f>
        <v>Airway 4; Cardiovascular 5; Medical 4.5; Operations 0.5; PAHT 1; SVAT 1; CPR/AED 1; </v>
      </c>
    </row>
    <row r="89" customFormat="false" ht="15" hidden="false" customHeight="true" outlineLevel="0" collapsed="false">
      <c r="A89" s="19" t="s">
        <v>164</v>
      </c>
      <c r="B89" s="20" t="s">
        <v>165</v>
      </c>
      <c r="C89" s="13" t="n">
        <v>46387</v>
      </c>
      <c r="D89" s="21" t="n">
        <f aca="false">IF(C89="","",DATE(YEAR(C89)-1,1,1))</f>
        <v>45658</v>
      </c>
      <c r="E89" s="21" t="n">
        <f aca="false">IF(C89="","",DATE(YEAR(C89),12,31))</f>
        <v>46387</v>
      </c>
      <c r="F89" s="15" t="n">
        <f aca="false">IF(OR(A89="",C89=""),"",SUMPRODUCT(('Training Detail'!$A$5:$A$5000=A89)*('Training Detail'!$M$5:$M$5000=Standards!A2)*('Training Detail'!$G$5:$G$5000&gt;=D89)*('Training Detail'!$G$5:$G$5000&lt;=E89)*('Training Detail'!$P$5:$P$5000)))</f>
        <v>1</v>
      </c>
      <c r="G89" s="15" t="n">
        <f aca="false">IF(OR(A89="",C89=""),"",SUMPRODUCT(('Training Detail'!$A$5:$A$5000=A89)*('Training Detail'!$M$5:$M$5000=Standards!A3)*('Training Detail'!$G$5:$G$5000&gt;=D89)*('Training Detail'!$G$5:$G$5000&lt;=E89)*('Training Detail'!$P$5:$P$5000)))</f>
        <v>0</v>
      </c>
      <c r="H89" s="15" t="n">
        <f aca="false">IF(OR(A89="",C89=""),"",SUMPRODUCT(('Training Detail'!$A$5:$A$5000=A89)*('Training Detail'!$M$5:$M$5000=Standards!A4)*('Training Detail'!$G$5:$G$5000&gt;=D89)*('Training Detail'!$G$5:$G$5000&lt;=E89)*('Training Detail'!$P$5:$P$5000)))</f>
        <v>11</v>
      </c>
      <c r="I89" s="15" t="n">
        <f aca="false">IF(OR(A89="",C89=""),"",SUMPRODUCT(('Training Detail'!$A$5:$A$5000=A89)*('Training Detail'!$M$5:$M$5000=Standards!A5)*('Training Detail'!$G$5:$G$5000&gt;=D89)*('Training Detail'!$G$5:$G$5000&lt;=E89)*('Training Detail'!$P$5:$P$5000)))</f>
        <v>7.5</v>
      </c>
      <c r="J89" s="15" t="n">
        <f aca="false">IF(OR(A89="",C89=""),"",SUMPRODUCT(('Training Detail'!$A$5:$A$5000=A89)*('Training Detail'!$M$5:$M$5000=Standards!A6)*('Training Detail'!$G$5:$G$5000&gt;=D89)*('Training Detail'!$G$5:$G$5000&lt;=E89)*('Training Detail'!$P$5:$P$5000)))</f>
        <v>2</v>
      </c>
      <c r="K89" s="15" t="n">
        <f aca="false">IF(OR(A89="",C89=""),"",SUMPRODUCT(('Training Detail'!$A$5:$A$5000=A89)*('Training Detail'!$M$5:$M$5000=Standards!A7)*('Training Detail'!$G$5:$G$5000&gt;=D89)*('Training Detail'!$G$5:$G$5000&lt;=E89)*('Training Detail'!$P$5:$P$5000)))</f>
        <v>0</v>
      </c>
      <c r="L89" s="15" t="n">
        <f aca="false">IF(OR(A89="",C89=""),"",SUMPRODUCT(('Training Detail'!$A$5:$A$5000=A89)*('Training Detail'!$M$5:$M$5000=Standards!A8)*('Training Detail'!$G$5:$G$5000&gt;=D89)*('Training Detail'!$G$5:$G$5000&lt;=E89)*('Training Detail'!$P$5:$P$5000)))</f>
        <v>0</v>
      </c>
      <c r="M89" s="16" t="n">
        <f aca="false">IF(OR(A89="",C89=""),"",SUMPRODUCT(('Training Detail'!$A$5:$A$5000=A89)*('Training Detail'!$M$5:$M$5000=Standards!A9)*('Training Detail'!$G$5:$G$5000&gt;=D89)*('Training Detail'!$G$5:$G$5000&lt;=E89)*('Training Detail'!$P$5:$P$5000)))</f>
        <v>0</v>
      </c>
      <c r="N89" s="17" t="str">
        <f aca="false">IF(A89="","",IF(C89="","Set exp date",IF(AND(F89&gt;=Requirements!B5,G89&gt;=Requirements!B6,H89&gt;=Requirements!B7,I89&gt;=Requirements!B8,J89&gt;=Requirements!B9,K89&gt;=Requirements!B10,L89&gt;=Requirements!B11,M89&gt;=Requirements!B12),"Met","Short")))</f>
        <v>Short</v>
      </c>
      <c r="O89" s="18" t="str">
        <f aca="false">IF(OR(A89="",C89=""),"",IF(N89="Met","",IF(F89&lt;Requirements!B5,Requirements!A5&amp;" "&amp;TEXT(Requirements!B5-F89,"0.##")&amp;"; ","")&amp;IF(G89&lt;Requirements!B6,Requirements!A6&amp;" "&amp;TEXT(Requirements!B6-G89,"0.##")&amp;"; ","")&amp;IF(H89&lt;Requirements!B7,Requirements!A7&amp;" "&amp;TEXT(Requirements!B7-H89,"0.##")&amp;"; ","")&amp;IF(I89&lt;Requirements!B8,Requirements!A8&amp;" "&amp;TEXT(Requirements!B8-I89,"0.##")&amp;"; ","")&amp;IF(J89&lt;Requirements!B9,Requirements!A9&amp;" "&amp;TEXT(Requirements!B9-J89,"0.##")&amp;"; ","")&amp;IF(K89&lt;Requirements!B10,Requirements!A10&amp;" "&amp;TEXT(Requirements!B10-K89,"0.##")&amp;"; ","")&amp;IF(L89&lt;Requirements!B11,Requirements!A11&amp;" "&amp;TEXT(Requirements!B11-L89,"0.##")&amp;"; ","")&amp;IF(M89&lt;Requirements!B12,Requirements!A12&amp;" "&amp;TEXT(Requirements!B12-M89,"0.##")&amp;"; ","")))</f>
        <v>Airway 3; Cardiovascular 5; PAHT 1; SVAT 1; CPR/AED 1; </v>
      </c>
    </row>
    <row r="90" customFormat="false" ht="15" hidden="false" customHeight="true" outlineLevel="0" collapsed="false">
      <c r="A90" s="11" t="s">
        <v>166</v>
      </c>
      <c r="B90" s="12" t="s">
        <v>167</v>
      </c>
      <c r="C90" s="13" t="n">
        <v>46752</v>
      </c>
      <c r="D90" s="14" t="n">
        <f aca="false">IF(C90="","",DATE(YEAR(C90)-1,1,1))</f>
        <v>46023</v>
      </c>
      <c r="E90" s="14" t="n">
        <f aca="false">IF(C90="","",DATE(YEAR(C90),12,31))</f>
        <v>46752</v>
      </c>
      <c r="F90" s="15" t="n">
        <f aca="false">IF(OR(A90="",C90=""),"",SUMPRODUCT(('Training Detail'!$A$5:$A$5000=A90)*('Training Detail'!$M$5:$M$5000=Standards!A2)*('Training Detail'!$G$5:$G$5000&gt;=D90)*('Training Detail'!$G$5:$G$5000&lt;=E90)*('Training Detail'!$P$5:$P$5000)))</f>
        <v>1.5</v>
      </c>
      <c r="G90" s="15" t="n">
        <f aca="false">IF(OR(A90="",C90=""),"",SUMPRODUCT(('Training Detail'!$A$5:$A$5000=A90)*('Training Detail'!$M$5:$M$5000=Standards!A3)*('Training Detail'!$G$5:$G$5000&gt;=D90)*('Training Detail'!$G$5:$G$5000&lt;=E90)*('Training Detail'!$P$5:$P$5000)))</f>
        <v>0</v>
      </c>
      <c r="H90" s="15" t="n">
        <f aca="false">IF(OR(A90="",C90=""),"",SUMPRODUCT(('Training Detail'!$A$5:$A$5000=A90)*('Training Detail'!$M$5:$M$5000=Standards!A4)*('Training Detail'!$G$5:$G$5000&gt;=D90)*('Training Detail'!$G$5:$G$5000&lt;=E90)*('Training Detail'!$P$5:$P$5000)))</f>
        <v>3</v>
      </c>
      <c r="I90" s="15" t="n">
        <f aca="false">IF(OR(A90="",C90=""),"",SUMPRODUCT(('Training Detail'!$A$5:$A$5000=A90)*('Training Detail'!$M$5:$M$5000=Standards!A5)*('Training Detail'!$G$5:$G$5000&gt;=D90)*('Training Detail'!$G$5:$G$5000&lt;=E90)*('Training Detail'!$P$5:$P$5000)))</f>
        <v>1</v>
      </c>
      <c r="J90" s="15" t="n">
        <f aca="false">IF(OR(A90="",C90=""),"",SUMPRODUCT(('Training Detail'!$A$5:$A$5000=A90)*('Training Detail'!$M$5:$M$5000=Standards!A6)*('Training Detail'!$G$5:$G$5000&gt;=D90)*('Training Detail'!$G$5:$G$5000&lt;=E90)*('Training Detail'!$P$5:$P$5000)))</f>
        <v>4.5</v>
      </c>
      <c r="K90" s="15" t="n">
        <f aca="false">IF(OR(A90="",C90=""),"",SUMPRODUCT(('Training Detail'!$A$5:$A$5000=A90)*('Training Detail'!$M$5:$M$5000=Standards!A7)*('Training Detail'!$G$5:$G$5000&gt;=D90)*('Training Detail'!$G$5:$G$5000&lt;=E90)*('Training Detail'!$P$5:$P$5000)))</f>
        <v>0</v>
      </c>
      <c r="L90" s="15" t="n">
        <f aca="false">IF(OR(A90="",C90=""),"",SUMPRODUCT(('Training Detail'!$A$5:$A$5000=A90)*('Training Detail'!$M$5:$M$5000=Standards!A8)*('Training Detail'!$G$5:$G$5000&gt;=D90)*('Training Detail'!$G$5:$G$5000&lt;=E90)*('Training Detail'!$P$5:$P$5000)))</f>
        <v>0</v>
      </c>
      <c r="M90" s="16" t="n">
        <f aca="false">IF(OR(A90="",C90=""),"",SUMPRODUCT(('Training Detail'!$A$5:$A$5000=A90)*('Training Detail'!$M$5:$M$5000=Standards!A9)*('Training Detail'!$G$5:$G$5000&gt;=D90)*('Training Detail'!$G$5:$G$5000&lt;=E90)*('Training Detail'!$P$5:$P$5000)))</f>
        <v>0</v>
      </c>
      <c r="N90" s="17" t="str">
        <f aca="false">IF(A90="","",IF(C90="","Set exp date",IF(AND(F90&gt;=Requirements!B5,G90&gt;=Requirements!B6,H90&gt;=Requirements!B7,I90&gt;=Requirements!B8,J90&gt;=Requirements!B9,K90&gt;=Requirements!B10,L90&gt;=Requirements!B11,M90&gt;=Requirements!B12),"Met","Short")))</f>
        <v>Short</v>
      </c>
      <c r="O90" s="18" t="str">
        <f aca="false">IF(OR(A90="",C90=""),"",IF(N90="Met","",IF(F90&lt;Requirements!B5,Requirements!A5&amp;" "&amp;TEXT(Requirements!B5-F90,"0.##")&amp;"; ","")&amp;IF(G90&lt;Requirements!B6,Requirements!A6&amp;" "&amp;TEXT(Requirements!B6-G90,"0.##")&amp;"; ","")&amp;IF(H90&lt;Requirements!B7,Requirements!A7&amp;" "&amp;TEXT(Requirements!B7-H90,"0.##")&amp;"; ","")&amp;IF(I90&lt;Requirements!B8,Requirements!A8&amp;" "&amp;TEXT(Requirements!B8-I90,"0.##")&amp;"; ","")&amp;IF(J90&lt;Requirements!B9,Requirements!A9&amp;" "&amp;TEXT(Requirements!B9-J90,"0.##")&amp;"; ","")&amp;IF(K90&lt;Requirements!B10,Requirements!A10&amp;" "&amp;TEXT(Requirements!B10-K90,"0.##")&amp;"; ","")&amp;IF(L90&lt;Requirements!B11,Requirements!A11&amp;" "&amp;TEXT(Requirements!B11-L90,"0.##")&amp;"; ","")&amp;IF(M90&lt;Requirements!B12,Requirements!A12&amp;" "&amp;TEXT(Requirements!B12-M90,"0.##")&amp;"; ","")))</f>
        <v>Airway 2.5; Cardiovascular 5; Medical 5; PAHT 1; SVAT 1; CPR/AED 1; </v>
      </c>
    </row>
    <row r="91" customFormat="false" ht="15" hidden="false" customHeight="true" outlineLevel="0" collapsed="false">
      <c r="A91" s="19" t="s">
        <v>168</v>
      </c>
      <c r="B91" s="20" t="s">
        <v>169</v>
      </c>
      <c r="C91" s="13" t="n">
        <v>46387</v>
      </c>
      <c r="D91" s="21" t="n">
        <f aca="false">IF(C91="","",DATE(YEAR(C91)-1,1,1))</f>
        <v>45658</v>
      </c>
      <c r="E91" s="21" t="n">
        <f aca="false">IF(C91="","",DATE(YEAR(C91),12,31))</f>
        <v>46387</v>
      </c>
      <c r="F91" s="15" t="n">
        <f aca="false">IF(OR(A91="",C91=""),"",SUMPRODUCT(('Training Detail'!$A$5:$A$5000=A91)*('Training Detail'!$M$5:$M$5000=Standards!A2)*('Training Detail'!$G$5:$G$5000&gt;=D91)*('Training Detail'!$G$5:$G$5000&lt;=E91)*('Training Detail'!$P$5:$P$5000)))</f>
        <v>3</v>
      </c>
      <c r="G91" s="15" t="n">
        <f aca="false">IF(OR(A91="",C91=""),"",SUMPRODUCT(('Training Detail'!$A$5:$A$5000=A91)*('Training Detail'!$M$5:$M$5000=Standards!A3)*('Training Detail'!$G$5:$G$5000&gt;=D91)*('Training Detail'!$G$5:$G$5000&lt;=E91)*('Training Detail'!$P$5:$P$5000)))</f>
        <v>5</v>
      </c>
      <c r="H91" s="15" t="n">
        <f aca="false">IF(OR(A91="",C91=""),"",SUMPRODUCT(('Training Detail'!$A$5:$A$5000=A91)*('Training Detail'!$M$5:$M$5000=Standards!A4)*('Training Detail'!$G$5:$G$5000&gt;=D91)*('Training Detail'!$G$5:$G$5000&lt;=E91)*('Training Detail'!$P$5:$P$5000)))</f>
        <v>8</v>
      </c>
      <c r="I91" s="15" t="n">
        <f aca="false">IF(OR(A91="",C91=""),"",SUMPRODUCT(('Training Detail'!$A$5:$A$5000=A91)*('Training Detail'!$M$5:$M$5000=Standards!A5)*('Training Detail'!$G$5:$G$5000&gt;=D91)*('Training Detail'!$G$5:$G$5000&lt;=E91)*('Training Detail'!$P$5:$P$5000)))</f>
        <v>5.5</v>
      </c>
      <c r="J91" s="15" t="n">
        <f aca="false">IF(OR(A91="",C91=""),"",SUMPRODUCT(('Training Detail'!$A$5:$A$5000=A91)*('Training Detail'!$M$5:$M$5000=Standards!A6)*('Training Detail'!$G$5:$G$5000&gt;=D91)*('Training Detail'!$G$5:$G$5000&lt;=E91)*('Training Detail'!$P$5:$P$5000)))</f>
        <v>2</v>
      </c>
      <c r="K91" s="15" t="n">
        <f aca="false">IF(OR(A91="",C91=""),"",SUMPRODUCT(('Training Detail'!$A$5:$A$5000=A91)*('Training Detail'!$M$5:$M$5000=Standards!A7)*('Training Detail'!$G$5:$G$5000&gt;=D91)*('Training Detail'!$G$5:$G$5000&lt;=E91)*('Training Detail'!$P$5:$P$5000)))</f>
        <v>1</v>
      </c>
      <c r="L91" s="15" t="n">
        <f aca="false">IF(OR(A91="",C91=""),"",SUMPRODUCT(('Training Detail'!$A$5:$A$5000=A91)*('Training Detail'!$M$5:$M$5000=Standards!A8)*('Training Detail'!$G$5:$G$5000&gt;=D91)*('Training Detail'!$G$5:$G$5000&lt;=E91)*('Training Detail'!$P$5:$P$5000)))</f>
        <v>1</v>
      </c>
      <c r="M91" s="16" t="n">
        <f aca="false">IF(OR(A91="",C91=""),"",SUMPRODUCT(('Training Detail'!$A$5:$A$5000=A91)*('Training Detail'!$M$5:$M$5000=Standards!A9)*('Training Detail'!$G$5:$G$5000&gt;=D91)*('Training Detail'!$G$5:$G$5000&lt;=E91)*('Training Detail'!$P$5:$P$5000)))</f>
        <v>0</v>
      </c>
      <c r="N91" s="17" t="str">
        <f aca="false">IF(A91="","",IF(C91="","Set exp date",IF(AND(F91&gt;=Requirements!B5,G91&gt;=Requirements!B6,H91&gt;=Requirements!B7,I91&gt;=Requirements!B8,J91&gt;=Requirements!B9,K91&gt;=Requirements!B10,L91&gt;=Requirements!B11,M91&gt;=Requirements!B12),"Met","Short")))</f>
        <v>Short</v>
      </c>
      <c r="O91" s="18" t="str">
        <f aca="false">IF(OR(A91="",C91=""),"",IF(N91="Met","",IF(F91&lt;Requirements!B5,Requirements!A5&amp;" "&amp;TEXT(Requirements!B5-F91,"0.##")&amp;"; ","")&amp;IF(G91&lt;Requirements!B6,Requirements!A6&amp;" "&amp;TEXT(Requirements!B6-G91,"0.##")&amp;"; ","")&amp;IF(H91&lt;Requirements!B7,Requirements!A7&amp;" "&amp;TEXT(Requirements!B7-H91,"0.##")&amp;"; ","")&amp;IF(I91&lt;Requirements!B8,Requirements!A8&amp;" "&amp;TEXT(Requirements!B8-I91,"0.##")&amp;"; ","")&amp;IF(J91&lt;Requirements!B9,Requirements!A9&amp;" "&amp;TEXT(Requirements!B9-J91,"0.##")&amp;"; ","")&amp;IF(K91&lt;Requirements!B10,Requirements!A10&amp;" "&amp;TEXT(Requirements!B10-K91,"0.##")&amp;"; ","")&amp;IF(L91&lt;Requirements!B11,Requirements!A11&amp;" "&amp;TEXT(Requirements!B11-L91,"0.##")&amp;"; ","")&amp;IF(M91&lt;Requirements!B12,Requirements!A12&amp;" "&amp;TEXT(Requirements!B12-M91,"0.##")&amp;"; ","")))</f>
        <v>Airway 1; Medical 0.5; CPR/AED 1; </v>
      </c>
    </row>
    <row r="92" customFormat="false" ht="15" hidden="false" customHeight="true" outlineLevel="0" collapsed="false">
      <c r="A92" s="11" t="s">
        <v>170</v>
      </c>
      <c r="B92" s="12" t="s">
        <v>171</v>
      </c>
      <c r="C92" s="13" t="n">
        <v>46387</v>
      </c>
      <c r="D92" s="14" t="n">
        <f aca="false">IF(C92="","",DATE(YEAR(C92)-1,1,1))</f>
        <v>45658</v>
      </c>
      <c r="E92" s="14" t="n">
        <f aca="false">IF(C92="","",DATE(YEAR(C92),12,31))</f>
        <v>46387</v>
      </c>
      <c r="F92" s="15" t="n">
        <f aca="false">IF(OR(A92="",C92=""),"",SUMPRODUCT(('Training Detail'!$A$5:$A$5000=A92)*('Training Detail'!$M$5:$M$5000=Standards!A2)*('Training Detail'!$G$5:$G$5000&gt;=D92)*('Training Detail'!$G$5:$G$5000&lt;=E92)*('Training Detail'!$P$5:$P$5000)))</f>
        <v>0</v>
      </c>
      <c r="G92" s="15" t="n">
        <f aca="false">IF(OR(A92="",C92=""),"",SUMPRODUCT(('Training Detail'!$A$5:$A$5000=A92)*('Training Detail'!$M$5:$M$5000=Standards!A3)*('Training Detail'!$G$5:$G$5000&gt;=D92)*('Training Detail'!$G$5:$G$5000&lt;=E92)*('Training Detail'!$P$5:$P$5000)))</f>
        <v>2</v>
      </c>
      <c r="H92" s="15" t="n">
        <f aca="false">IF(OR(A92="",C92=""),"",SUMPRODUCT(('Training Detail'!$A$5:$A$5000=A92)*('Training Detail'!$M$5:$M$5000=Standards!A4)*('Training Detail'!$G$5:$G$5000&gt;=D92)*('Training Detail'!$G$5:$G$5000&lt;=E92)*('Training Detail'!$P$5:$P$5000)))</f>
        <v>7</v>
      </c>
      <c r="I92" s="15" t="n">
        <f aca="false">IF(OR(A92="",C92=""),"",SUMPRODUCT(('Training Detail'!$A$5:$A$5000=A92)*('Training Detail'!$M$5:$M$5000=Standards!A5)*('Training Detail'!$G$5:$G$5000&gt;=D92)*('Training Detail'!$G$5:$G$5000&lt;=E92)*('Training Detail'!$P$5:$P$5000)))</f>
        <v>7.5</v>
      </c>
      <c r="J92" s="15" t="n">
        <f aca="false">IF(OR(A92="",C92=""),"",SUMPRODUCT(('Training Detail'!$A$5:$A$5000=A92)*('Training Detail'!$M$5:$M$5000=Standards!A6)*('Training Detail'!$G$5:$G$5000&gt;=D92)*('Training Detail'!$G$5:$G$5000&lt;=E92)*('Training Detail'!$P$5:$P$5000)))</f>
        <v>2</v>
      </c>
      <c r="K92" s="15" t="n">
        <f aca="false">IF(OR(A92="",C92=""),"",SUMPRODUCT(('Training Detail'!$A$5:$A$5000=A92)*('Training Detail'!$M$5:$M$5000=Standards!A7)*('Training Detail'!$G$5:$G$5000&gt;=D92)*('Training Detail'!$G$5:$G$5000&lt;=E92)*('Training Detail'!$P$5:$P$5000)))</f>
        <v>0</v>
      </c>
      <c r="L92" s="15" t="n">
        <f aca="false">IF(OR(A92="",C92=""),"",SUMPRODUCT(('Training Detail'!$A$5:$A$5000=A92)*('Training Detail'!$M$5:$M$5000=Standards!A8)*('Training Detail'!$G$5:$G$5000&gt;=D92)*('Training Detail'!$G$5:$G$5000&lt;=E92)*('Training Detail'!$P$5:$P$5000)))</f>
        <v>0</v>
      </c>
      <c r="M92" s="16" t="n">
        <f aca="false">IF(OR(A92="",C92=""),"",SUMPRODUCT(('Training Detail'!$A$5:$A$5000=A92)*('Training Detail'!$M$5:$M$5000=Standards!A9)*('Training Detail'!$G$5:$G$5000&gt;=D92)*('Training Detail'!$G$5:$G$5000&lt;=E92)*('Training Detail'!$P$5:$P$5000)))</f>
        <v>0</v>
      </c>
      <c r="N92" s="17" t="str">
        <f aca="false">IF(A92="","",IF(C92="","Set exp date",IF(AND(F92&gt;=Requirements!B5,G92&gt;=Requirements!B6,H92&gt;=Requirements!B7,I92&gt;=Requirements!B8,J92&gt;=Requirements!B9,K92&gt;=Requirements!B10,L92&gt;=Requirements!B11,M92&gt;=Requirements!B12),"Met","Short")))</f>
        <v>Short</v>
      </c>
      <c r="O92" s="18" t="str">
        <f aca="false">IF(OR(A92="",C92=""),"",IF(N92="Met","",IF(F92&lt;Requirements!B5,Requirements!A5&amp;" "&amp;TEXT(Requirements!B5-F92,"0.##")&amp;"; ","")&amp;IF(G92&lt;Requirements!B6,Requirements!A6&amp;" "&amp;TEXT(Requirements!B6-G92,"0.##")&amp;"; ","")&amp;IF(H92&lt;Requirements!B7,Requirements!A7&amp;" "&amp;TEXT(Requirements!B7-H92,"0.##")&amp;"; ","")&amp;IF(I92&lt;Requirements!B8,Requirements!A8&amp;" "&amp;TEXT(Requirements!B8-I92,"0.##")&amp;"; ","")&amp;IF(J92&lt;Requirements!B9,Requirements!A9&amp;" "&amp;TEXT(Requirements!B9-J92,"0.##")&amp;"; ","")&amp;IF(K92&lt;Requirements!B10,Requirements!A10&amp;" "&amp;TEXT(Requirements!B10-K92,"0.##")&amp;"; ","")&amp;IF(L92&lt;Requirements!B11,Requirements!A11&amp;" "&amp;TEXT(Requirements!B11-L92,"0.##")&amp;"; ","")&amp;IF(M92&lt;Requirements!B12,Requirements!A12&amp;" "&amp;TEXT(Requirements!B12-M92,"0.##")&amp;"; ","")))</f>
        <v>Airway 4; Cardiovascular 3; PAHT 1; SVAT 1; CPR/AED 1; </v>
      </c>
    </row>
    <row r="93" customFormat="false" ht="15" hidden="false" customHeight="true" outlineLevel="0" collapsed="false">
      <c r="A93" s="19" t="s">
        <v>172</v>
      </c>
      <c r="B93" s="20" t="s">
        <v>173</v>
      </c>
      <c r="C93" s="13" t="n">
        <v>46752</v>
      </c>
      <c r="D93" s="21" t="n">
        <f aca="false">IF(C93="","",DATE(YEAR(C93)-1,1,1))</f>
        <v>46023</v>
      </c>
      <c r="E93" s="21" t="n">
        <f aca="false">IF(C93="","",DATE(YEAR(C93),12,31))</f>
        <v>46752</v>
      </c>
      <c r="F93" s="15" t="n">
        <f aca="false">IF(OR(A93="",C93=""),"",SUMPRODUCT(('Training Detail'!$A$5:$A$5000=A93)*('Training Detail'!$M$5:$M$5000=Standards!A2)*('Training Detail'!$G$5:$G$5000&gt;=D93)*('Training Detail'!$G$5:$G$5000&lt;=E93)*('Training Detail'!$P$5:$P$5000)))</f>
        <v>1.5</v>
      </c>
      <c r="G93" s="15" t="n">
        <f aca="false">IF(OR(A93="",C93=""),"",SUMPRODUCT(('Training Detail'!$A$5:$A$5000=A93)*('Training Detail'!$M$5:$M$5000=Standards!A3)*('Training Detail'!$G$5:$G$5000&gt;=D93)*('Training Detail'!$G$5:$G$5000&lt;=E93)*('Training Detail'!$P$5:$P$5000)))</f>
        <v>0</v>
      </c>
      <c r="H93" s="15" t="n">
        <f aca="false">IF(OR(A93="",C93=""),"",SUMPRODUCT(('Training Detail'!$A$5:$A$5000=A93)*('Training Detail'!$M$5:$M$5000=Standards!A4)*('Training Detail'!$G$5:$G$5000&gt;=D93)*('Training Detail'!$G$5:$G$5000&lt;=E93)*('Training Detail'!$P$5:$P$5000)))</f>
        <v>4</v>
      </c>
      <c r="I93" s="15" t="n">
        <f aca="false">IF(OR(A93="",C93=""),"",SUMPRODUCT(('Training Detail'!$A$5:$A$5000=A93)*('Training Detail'!$M$5:$M$5000=Standards!A5)*('Training Detail'!$G$5:$G$5000&gt;=D93)*('Training Detail'!$G$5:$G$5000&lt;=E93)*('Training Detail'!$P$5:$P$5000)))</f>
        <v>1</v>
      </c>
      <c r="J93" s="15" t="n">
        <f aca="false">IF(OR(A93="",C93=""),"",SUMPRODUCT(('Training Detail'!$A$5:$A$5000=A93)*('Training Detail'!$M$5:$M$5000=Standards!A6)*('Training Detail'!$G$5:$G$5000&gt;=D93)*('Training Detail'!$G$5:$G$5000&lt;=E93)*('Training Detail'!$P$5:$P$5000)))</f>
        <v>6.5</v>
      </c>
      <c r="K93" s="15" t="n">
        <f aca="false">IF(OR(A93="",C93=""),"",SUMPRODUCT(('Training Detail'!$A$5:$A$5000=A93)*('Training Detail'!$M$5:$M$5000=Standards!A7)*('Training Detail'!$G$5:$G$5000&gt;=D93)*('Training Detail'!$G$5:$G$5000&lt;=E93)*('Training Detail'!$P$5:$P$5000)))</f>
        <v>0</v>
      </c>
      <c r="L93" s="15" t="n">
        <f aca="false">IF(OR(A93="",C93=""),"",SUMPRODUCT(('Training Detail'!$A$5:$A$5000=A93)*('Training Detail'!$M$5:$M$5000=Standards!A8)*('Training Detail'!$G$5:$G$5000&gt;=D93)*('Training Detail'!$G$5:$G$5000&lt;=E93)*('Training Detail'!$P$5:$P$5000)))</f>
        <v>0</v>
      </c>
      <c r="M93" s="16" t="n">
        <f aca="false">IF(OR(A93="",C93=""),"",SUMPRODUCT(('Training Detail'!$A$5:$A$5000=A93)*('Training Detail'!$M$5:$M$5000=Standards!A9)*('Training Detail'!$G$5:$G$5000&gt;=D93)*('Training Detail'!$G$5:$G$5000&lt;=E93)*('Training Detail'!$P$5:$P$5000)))</f>
        <v>0</v>
      </c>
      <c r="N93" s="17" t="str">
        <f aca="false">IF(A93="","",IF(C93="","Set exp date",IF(AND(F93&gt;=Requirements!B5,G93&gt;=Requirements!B6,H93&gt;=Requirements!B7,I93&gt;=Requirements!B8,J93&gt;=Requirements!B9,K93&gt;=Requirements!B10,L93&gt;=Requirements!B11,M93&gt;=Requirements!B12),"Met","Short")))</f>
        <v>Short</v>
      </c>
      <c r="O93" s="18" t="str">
        <f aca="false">IF(OR(A93="",C93=""),"",IF(N93="Met","",IF(F93&lt;Requirements!B5,Requirements!A5&amp;" "&amp;TEXT(Requirements!B5-F93,"0.##")&amp;"; ","")&amp;IF(G93&lt;Requirements!B6,Requirements!A6&amp;" "&amp;TEXT(Requirements!B6-G93,"0.##")&amp;"; ","")&amp;IF(H93&lt;Requirements!B7,Requirements!A7&amp;" "&amp;TEXT(Requirements!B7-H93,"0.##")&amp;"; ","")&amp;IF(I93&lt;Requirements!B8,Requirements!A8&amp;" "&amp;TEXT(Requirements!B8-I93,"0.##")&amp;"; ","")&amp;IF(J93&lt;Requirements!B9,Requirements!A9&amp;" "&amp;TEXT(Requirements!B9-J93,"0.##")&amp;"; ","")&amp;IF(K93&lt;Requirements!B10,Requirements!A10&amp;" "&amp;TEXT(Requirements!B10-K93,"0.##")&amp;"; ","")&amp;IF(L93&lt;Requirements!B11,Requirements!A11&amp;" "&amp;TEXT(Requirements!B11-L93,"0.##")&amp;"; ","")&amp;IF(M93&lt;Requirements!B12,Requirements!A12&amp;" "&amp;TEXT(Requirements!B12-M93,"0.##")&amp;"; ","")))</f>
        <v>Airway 2.5; Cardiovascular 5; Medical 5; PAHT 1; SVAT 1; CPR/AED 1; </v>
      </c>
    </row>
    <row r="94" customFormat="false" ht="15" hidden="false" customHeight="true" outlineLevel="0" collapsed="false">
      <c r="A94" s="11" t="s">
        <v>174</v>
      </c>
      <c r="B94" s="12" t="s">
        <v>175</v>
      </c>
      <c r="C94" s="13" t="n">
        <v>46387</v>
      </c>
      <c r="D94" s="14" t="n">
        <f aca="false">IF(C94="","",DATE(YEAR(C94)-1,1,1))</f>
        <v>45658</v>
      </c>
      <c r="E94" s="14" t="n">
        <f aca="false">IF(C94="","",DATE(YEAR(C94),12,31))</f>
        <v>46387</v>
      </c>
      <c r="F94" s="15" t="n">
        <f aca="false">IF(OR(A94="",C94=""),"",SUMPRODUCT(('Training Detail'!$A$5:$A$5000=A94)*('Training Detail'!$M$5:$M$5000=Standards!A2)*('Training Detail'!$G$5:$G$5000&gt;=D94)*('Training Detail'!$G$5:$G$5000&lt;=E94)*('Training Detail'!$P$5:$P$5000)))</f>
        <v>0</v>
      </c>
      <c r="G94" s="15" t="n">
        <f aca="false">IF(OR(A94="",C94=""),"",SUMPRODUCT(('Training Detail'!$A$5:$A$5000=A94)*('Training Detail'!$M$5:$M$5000=Standards!A3)*('Training Detail'!$G$5:$G$5000&gt;=D94)*('Training Detail'!$G$5:$G$5000&lt;=E94)*('Training Detail'!$P$5:$P$5000)))</f>
        <v>1</v>
      </c>
      <c r="H94" s="15" t="n">
        <f aca="false">IF(OR(A94="",C94=""),"",SUMPRODUCT(('Training Detail'!$A$5:$A$5000=A94)*('Training Detail'!$M$5:$M$5000=Standards!A4)*('Training Detail'!$G$5:$G$5000&gt;=D94)*('Training Detail'!$G$5:$G$5000&lt;=E94)*('Training Detail'!$P$5:$P$5000)))</f>
        <v>6</v>
      </c>
      <c r="I94" s="15" t="n">
        <f aca="false">IF(OR(A94="",C94=""),"",SUMPRODUCT(('Training Detail'!$A$5:$A$5000=A94)*('Training Detail'!$M$5:$M$5000=Standards!A5)*('Training Detail'!$G$5:$G$5000&gt;=D94)*('Training Detail'!$G$5:$G$5000&lt;=E94)*('Training Detail'!$P$5:$P$5000)))</f>
        <v>6</v>
      </c>
      <c r="J94" s="15" t="n">
        <f aca="false">IF(OR(A94="",C94=""),"",SUMPRODUCT(('Training Detail'!$A$5:$A$5000=A94)*('Training Detail'!$M$5:$M$5000=Standards!A6)*('Training Detail'!$G$5:$G$5000&gt;=D94)*('Training Detail'!$G$5:$G$5000&lt;=E94)*('Training Detail'!$P$5:$P$5000)))</f>
        <v>1</v>
      </c>
      <c r="K94" s="15" t="n">
        <f aca="false">IF(OR(A94="",C94=""),"",SUMPRODUCT(('Training Detail'!$A$5:$A$5000=A94)*('Training Detail'!$M$5:$M$5000=Standards!A7)*('Training Detail'!$G$5:$G$5000&gt;=D94)*('Training Detail'!$G$5:$G$5000&lt;=E94)*('Training Detail'!$P$5:$P$5000)))</f>
        <v>0</v>
      </c>
      <c r="L94" s="15" t="n">
        <f aca="false">IF(OR(A94="",C94=""),"",SUMPRODUCT(('Training Detail'!$A$5:$A$5000=A94)*('Training Detail'!$M$5:$M$5000=Standards!A8)*('Training Detail'!$G$5:$G$5000&gt;=D94)*('Training Detail'!$G$5:$G$5000&lt;=E94)*('Training Detail'!$P$5:$P$5000)))</f>
        <v>0</v>
      </c>
      <c r="M94" s="16" t="n">
        <f aca="false">IF(OR(A94="",C94=""),"",SUMPRODUCT(('Training Detail'!$A$5:$A$5000=A94)*('Training Detail'!$M$5:$M$5000=Standards!A9)*('Training Detail'!$G$5:$G$5000&gt;=D94)*('Training Detail'!$G$5:$G$5000&lt;=E94)*('Training Detail'!$P$5:$P$5000)))</f>
        <v>0.5</v>
      </c>
      <c r="N94" s="17" t="str">
        <f aca="false">IF(A94="","",IF(C94="","Set exp date",IF(AND(F94&gt;=Requirements!B5,G94&gt;=Requirements!B6,H94&gt;=Requirements!B7,I94&gt;=Requirements!B8,J94&gt;=Requirements!B9,K94&gt;=Requirements!B10,L94&gt;=Requirements!B11,M94&gt;=Requirements!B12),"Met","Short")))</f>
        <v>Short</v>
      </c>
      <c r="O94" s="18" t="str">
        <f aca="false">IF(OR(A94="",C94=""),"",IF(N94="Met","",IF(F94&lt;Requirements!B5,Requirements!A5&amp;" "&amp;TEXT(Requirements!B5-F94,"0.##")&amp;"; ","")&amp;IF(G94&lt;Requirements!B6,Requirements!A6&amp;" "&amp;TEXT(Requirements!B6-G94,"0.##")&amp;"; ","")&amp;IF(H94&lt;Requirements!B7,Requirements!A7&amp;" "&amp;TEXT(Requirements!B7-H94,"0.##")&amp;"; ","")&amp;IF(I94&lt;Requirements!B8,Requirements!A8&amp;" "&amp;TEXT(Requirements!B8-I94,"0.##")&amp;"; ","")&amp;IF(J94&lt;Requirements!B9,Requirements!A9&amp;" "&amp;TEXT(Requirements!B9-J94,"0.##")&amp;"; ","")&amp;IF(K94&lt;Requirements!B10,Requirements!A10&amp;" "&amp;TEXT(Requirements!B10-K94,"0.##")&amp;"; ","")&amp;IF(L94&lt;Requirements!B11,Requirements!A11&amp;" "&amp;TEXT(Requirements!B11-L94,"0.##")&amp;"; ","")&amp;IF(M94&lt;Requirements!B12,Requirements!A12&amp;" "&amp;TEXT(Requirements!B12-M94,"0.##")&amp;"; ","")))</f>
        <v>Airway 4; Cardiovascular 4; Operations 1; PAHT 1; SVAT 1; CPR/AED 0.5; </v>
      </c>
    </row>
    <row r="95" customFormat="false" ht="15" hidden="false" customHeight="true" outlineLevel="0" collapsed="false">
      <c r="A95" s="19" t="s">
        <v>176</v>
      </c>
      <c r="B95" s="20"/>
      <c r="C95" s="13"/>
      <c r="D95" s="21" t="str">
        <f aca="false">IF(C95="","",DATE(YEAR(C95)-1,1,1))</f>
        <v/>
      </c>
      <c r="E95" s="21" t="str">
        <f aca="false">IF(C95="","",DATE(YEAR(C95),12,31))</f>
        <v/>
      </c>
      <c r="F95" s="15" t="str">
        <f aca="false">IF(OR(A95="",C95=""),"",SUMPRODUCT(('Training Detail'!$A$5:$A$5000=A95)*('Training Detail'!$M$5:$M$5000=Standards!A2)*('Training Detail'!$G$5:$G$5000&gt;=D95)*('Training Detail'!$G$5:$G$5000&lt;=E95)*('Training Detail'!$P$5:$P$5000)))</f>
        <v/>
      </c>
      <c r="G95" s="15" t="str">
        <f aca="false">IF(OR(A95="",C95=""),"",SUMPRODUCT(('Training Detail'!$A$5:$A$5000=A95)*('Training Detail'!$M$5:$M$5000=Standards!A3)*('Training Detail'!$G$5:$G$5000&gt;=D95)*('Training Detail'!$G$5:$G$5000&lt;=E95)*('Training Detail'!$P$5:$P$5000)))</f>
        <v/>
      </c>
      <c r="H95" s="15" t="str">
        <f aca="false">IF(OR(A95="",C95=""),"",SUMPRODUCT(('Training Detail'!$A$5:$A$5000=A95)*('Training Detail'!$M$5:$M$5000=Standards!A4)*('Training Detail'!$G$5:$G$5000&gt;=D95)*('Training Detail'!$G$5:$G$5000&lt;=E95)*('Training Detail'!$P$5:$P$5000)))</f>
        <v/>
      </c>
      <c r="I95" s="15" t="str">
        <f aca="false">IF(OR(A95="",C95=""),"",SUMPRODUCT(('Training Detail'!$A$5:$A$5000=A95)*('Training Detail'!$M$5:$M$5000=Standards!A5)*('Training Detail'!$G$5:$G$5000&gt;=D95)*('Training Detail'!$G$5:$G$5000&lt;=E95)*('Training Detail'!$P$5:$P$5000)))</f>
        <v/>
      </c>
      <c r="J95" s="15" t="str">
        <f aca="false">IF(OR(A95="",C95=""),"",SUMPRODUCT(('Training Detail'!$A$5:$A$5000=A95)*('Training Detail'!$M$5:$M$5000=Standards!A6)*('Training Detail'!$G$5:$G$5000&gt;=D95)*('Training Detail'!$G$5:$G$5000&lt;=E95)*('Training Detail'!$P$5:$P$5000)))</f>
        <v/>
      </c>
      <c r="K95" s="15" t="str">
        <f aca="false">IF(OR(A95="",C95=""),"",SUMPRODUCT(('Training Detail'!$A$5:$A$5000=A95)*('Training Detail'!$M$5:$M$5000=Standards!A7)*('Training Detail'!$G$5:$G$5000&gt;=D95)*('Training Detail'!$G$5:$G$5000&lt;=E95)*('Training Detail'!$P$5:$P$5000)))</f>
        <v/>
      </c>
      <c r="L95" s="15" t="str">
        <f aca="false">IF(OR(A95="",C95=""),"",SUMPRODUCT(('Training Detail'!$A$5:$A$5000=A95)*('Training Detail'!$M$5:$M$5000=Standards!A8)*('Training Detail'!$G$5:$G$5000&gt;=D95)*('Training Detail'!$G$5:$G$5000&lt;=E95)*('Training Detail'!$P$5:$P$5000)))</f>
        <v/>
      </c>
      <c r="M95" s="16" t="str">
        <f aca="false">IF(OR(A95="",C95=""),"",SUMPRODUCT(('Training Detail'!$A$5:$A$5000=A95)*('Training Detail'!$M$5:$M$5000=Standards!A9)*('Training Detail'!$G$5:$G$5000&gt;=D95)*('Training Detail'!$G$5:$G$5000&lt;=E95)*('Training Detail'!$P$5:$P$5000)))</f>
        <v/>
      </c>
      <c r="N95" s="17" t="str">
        <f aca="false">IF(A95="","",IF(C95="","Set exp date",IF(AND(F95&gt;=Requirements!B5,G95&gt;=Requirements!B6,H95&gt;=Requirements!B7,I95&gt;=Requirements!B8,J95&gt;=Requirements!B9,K95&gt;=Requirements!B10,L95&gt;=Requirements!B11,M95&gt;=Requirements!B12),"Met","Short")))</f>
        <v>Set exp date</v>
      </c>
      <c r="O95" s="18" t="str">
        <f aca="false">IF(OR(A95="",C95=""),"",IF(N95="Met","",IF(F95&lt;Requirements!B5,Requirements!A5&amp;" "&amp;TEXT(Requirements!B5-F95,"0.##")&amp;"; ","")&amp;IF(G95&lt;Requirements!B6,Requirements!A6&amp;" "&amp;TEXT(Requirements!B6-G95,"0.##")&amp;"; ","")&amp;IF(H95&lt;Requirements!B7,Requirements!A7&amp;" "&amp;TEXT(Requirements!B7-H95,"0.##")&amp;"; ","")&amp;IF(I95&lt;Requirements!B8,Requirements!A8&amp;" "&amp;TEXT(Requirements!B8-I95,"0.##")&amp;"; ","")&amp;IF(J95&lt;Requirements!B9,Requirements!A9&amp;" "&amp;TEXT(Requirements!B9-J95,"0.##")&amp;"; ","")&amp;IF(K95&lt;Requirements!B10,Requirements!A10&amp;" "&amp;TEXT(Requirements!B10-K95,"0.##")&amp;"; ","")&amp;IF(L95&lt;Requirements!B11,Requirements!A11&amp;" "&amp;TEXT(Requirements!B11-L95,"0.##")&amp;"; ","")&amp;IF(M95&lt;Requirements!B12,Requirements!A12&amp;" "&amp;TEXT(Requirements!B12-M95,"0.##")&amp;"; ","")))</f>
        <v/>
      </c>
    </row>
    <row r="96" customFormat="false" ht="15" hidden="false" customHeight="true" outlineLevel="0" collapsed="false">
      <c r="A96" s="11" t="s">
        <v>177</v>
      </c>
      <c r="B96" s="12" t="s">
        <v>178</v>
      </c>
      <c r="C96" s="13" t="n">
        <v>46387</v>
      </c>
      <c r="D96" s="14" t="n">
        <f aca="false">IF(C96="","",DATE(YEAR(C96)-1,1,1))</f>
        <v>45658</v>
      </c>
      <c r="E96" s="14" t="n">
        <f aca="false">IF(C96="","",DATE(YEAR(C96),12,31))</f>
        <v>46387</v>
      </c>
      <c r="F96" s="15" t="n">
        <f aca="false">IF(OR(A96="",C96=""),"",SUMPRODUCT(('Training Detail'!$A$5:$A$5000=A96)*('Training Detail'!$M$5:$M$5000=Standards!A2)*('Training Detail'!$G$5:$G$5000&gt;=D96)*('Training Detail'!$G$5:$G$5000&lt;=E96)*('Training Detail'!$P$5:$P$5000)))</f>
        <v>5</v>
      </c>
      <c r="G96" s="15" t="n">
        <f aca="false">IF(OR(A96="",C96=""),"",SUMPRODUCT(('Training Detail'!$A$5:$A$5000=A96)*('Training Detail'!$M$5:$M$5000=Standards!A3)*('Training Detail'!$G$5:$G$5000&gt;=D96)*('Training Detail'!$G$5:$G$5000&lt;=E96)*('Training Detail'!$P$5:$P$5000)))</f>
        <v>2</v>
      </c>
      <c r="H96" s="15" t="n">
        <f aca="false">IF(OR(A96="",C96=""),"",SUMPRODUCT(('Training Detail'!$A$5:$A$5000=A96)*('Training Detail'!$M$5:$M$5000=Standards!A4)*('Training Detail'!$G$5:$G$5000&gt;=D96)*('Training Detail'!$G$5:$G$5000&lt;=E96)*('Training Detail'!$P$5:$P$5000)))</f>
        <v>3</v>
      </c>
      <c r="I96" s="15" t="n">
        <f aca="false">IF(OR(A96="",C96=""),"",SUMPRODUCT(('Training Detail'!$A$5:$A$5000=A96)*('Training Detail'!$M$5:$M$5000=Standards!A5)*('Training Detail'!$G$5:$G$5000&gt;=D96)*('Training Detail'!$G$5:$G$5000&lt;=E96)*('Training Detail'!$P$5:$P$5000)))</f>
        <v>6.5</v>
      </c>
      <c r="J96" s="15" t="n">
        <f aca="false">IF(OR(A96="",C96=""),"",SUMPRODUCT(('Training Detail'!$A$5:$A$5000=A96)*('Training Detail'!$M$5:$M$5000=Standards!A6)*('Training Detail'!$G$5:$G$5000&gt;=D96)*('Training Detail'!$G$5:$G$5000&lt;=E96)*('Training Detail'!$P$5:$P$5000)))</f>
        <v>1</v>
      </c>
      <c r="K96" s="15" t="n">
        <f aca="false">IF(OR(A96="",C96=""),"",SUMPRODUCT(('Training Detail'!$A$5:$A$5000=A96)*('Training Detail'!$M$5:$M$5000=Standards!A7)*('Training Detail'!$G$5:$G$5000&gt;=D96)*('Training Detail'!$G$5:$G$5000&lt;=E96)*('Training Detail'!$P$5:$P$5000)))</f>
        <v>0</v>
      </c>
      <c r="L96" s="15" t="n">
        <f aca="false">IF(OR(A96="",C96=""),"",SUMPRODUCT(('Training Detail'!$A$5:$A$5000=A96)*('Training Detail'!$M$5:$M$5000=Standards!A8)*('Training Detail'!$G$5:$G$5000&gt;=D96)*('Training Detail'!$G$5:$G$5000&lt;=E96)*('Training Detail'!$P$5:$P$5000)))</f>
        <v>0</v>
      </c>
      <c r="M96" s="16" t="n">
        <f aca="false">IF(OR(A96="",C96=""),"",SUMPRODUCT(('Training Detail'!$A$5:$A$5000=A96)*('Training Detail'!$M$5:$M$5000=Standards!A9)*('Training Detail'!$G$5:$G$5000&gt;=D96)*('Training Detail'!$G$5:$G$5000&lt;=E96)*('Training Detail'!$P$5:$P$5000)))</f>
        <v>4</v>
      </c>
      <c r="N96" s="17" t="str">
        <f aca="false">IF(A96="","",IF(C96="","Set exp date",IF(AND(F96&gt;=Requirements!B5,G96&gt;=Requirements!B6,H96&gt;=Requirements!B7,I96&gt;=Requirements!B8,J96&gt;=Requirements!B9,K96&gt;=Requirements!B10,L96&gt;=Requirements!B11,M96&gt;=Requirements!B12),"Met","Short")))</f>
        <v>Short</v>
      </c>
      <c r="O96" s="18" t="str">
        <f aca="false">IF(OR(A96="",C96=""),"",IF(N96="Met","",IF(F96&lt;Requirements!B5,Requirements!A5&amp;" "&amp;TEXT(Requirements!B5-F96,"0.##")&amp;"; ","")&amp;IF(G96&lt;Requirements!B6,Requirements!A6&amp;" "&amp;TEXT(Requirements!B6-G96,"0.##")&amp;"; ","")&amp;IF(H96&lt;Requirements!B7,Requirements!A7&amp;" "&amp;TEXT(Requirements!B7-H96,"0.##")&amp;"; ","")&amp;IF(I96&lt;Requirements!B8,Requirements!A8&amp;" "&amp;TEXT(Requirements!B8-I96,"0.##")&amp;"; ","")&amp;IF(J96&lt;Requirements!B9,Requirements!A9&amp;" "&amp;TEXT(Requirements!B9-J96,"0.##")&amp;"; ","")&amp;IF(K96&lt;Requirements!B10,Requirements!A10&amp;" "&amp;TEXT(Requirements!B10-K96,"0.##")&amp;"; ","")&amp;IF(L96&lt;Requirements!B11,Requirements!A11&amp;" "&amp;TEXT(Requirements!B11-L96,"0.##")&amp;"; ","")&amp;IF(M96&lt;Requirements!B12,Requirements!A12&amp;" "&amp;TEXT(Requirements!B12-M96,"0.##")&amp;"; ","")))</f>
        <v>Cardiovascular 3; Operations 1; PAHT 1; SVAT 1; </v>
      </c>
    </row>
    <row r="97" customFormat="false" ht="15" hidden="false" customHeight="true" outlineLevel="0" collapsed="false">
      <c r="A97" s="19" t="s">
        <v>179</v>
      </c>
      <c r="B97" s="20" t="s">
        <v>180</v>
      </c>
      <c r="C97" s="13" t="n">
        <v>46752</v>
      </c>
      <c r="D97" s="21" t="n">
        <f aca="false">IF(C97="","",DATE(YEAR(C97)-1,1,1))</f>
        <v>46023</v>
      </c>
      <c r="E97" s="21" t="n">
        <f aca="false">IF(C97="","",DATE(YEAR(C97),12,31))</f>
        <v>46752</v>
      </c>
      <c r="F97" s="15" t="n">
        <f aca="false">IF(OR(A97="",C97=""),"",SUMPRODUCT(('Training Detail'!$A$5:$A$5000=A97)*('Training Detail'!$M$5:$M$5000=Standards!A2)*('Training Detail'!$G$5:$G$5000&gt;=D97)*('Training Detail'!$G$5:$G$5000&lt;=E97)*('Training Detail'!$P$5:$P$5000)))</f>
        <v>1.5</v>
      </c>
      <c r="G97" s="15" t="n">
        <f aca="false">IF(OR(A97="",C97=""),"",SUMPRODUCT(('Training Detail'!$A$5:$A$5000=A97)*('Training Detail'!$M$5:$M$5000=Standards!A3)*('Training Detail'!$G$5:$G$5000&gt;=D97)*('Training Detail'!$G$5:$G$5000&lt;=E97)*('Training Detail'!$P$5:$P$5000)))</f>
        <v>0</v>
      </c>
      <c r="H97" s="15" t="n">
        <f aca="false">IF(OR(A97="",C97=""),"",SUMPRODUCT(('Training Detail'!$A$5:$A$5000=A97)*('Training Detail'!$M$5:$M$5000=Standards!A4)*('Training Detail'!$G$5:$G$5000&gt;=D97)*('Training Detail'!$G$5:$G$5000&lt;=E97)*('Training Detail'!$P$5:$P$5000)))</f>
        <v>4</v>
      </c>
      <c r="I97" s="15" t="n">
        <f aca="false">IF(OR(A97="",C97=""),"",SUMPRODUCT(('Training Detail'!$A$5:$A$5000=A97)*('Training Detail'!$M$5:$M$5000=Standards!A5)*('Training Detail'!$G$5:$G$5000&gt;=D97)*('Training Detail'!$G$5:$G$5000&lt;=E97)*('Training Detail'!$P$5:$P$5000)))</f>
        <v>1</v>
      </c>
      <c r="J97" s="15" t="n">
        <f aca="false">IF(OR(A97="",C97=""),"",SUMPRODUCT(('Training Detail'!$A$5:$A$5000=A97)*('Training Detail'!$M$5:$M$5000=Standards!A6)*('Training Detail'!$G$5:$G$5000&gt;=D97)*('Training Detail'!$G$5:$G$5000&lt;=E97)*('Training Detail'!$P$5:$P$5000)))</f>
        <v>6.5</v>
      </c>
      <c r="K97" s="15" t="n">
        <f aca="false">IF(OR(A97="",C97=""),"",SUMPRODUCT(('Training Detail'!$A$5:$A$5000=A97)*('Training Detail'!$M$5:$M$5000=Standards!A7)*('Training Detail'!$G$5:$G$5000&gt;=D97)*('Training Detail'!$G$5:$G$5000&lt;=E97)*('Training Detail'!$P$5:$P$5000)))</f>
        <v>0</v>
      </c>
      <c r="L97" s="15" t="n">
        <f aca="false">IF(OR(A97="",C97=""),"",SUMPRODUCT(('Training Detail'!$A$5:$A$5000=A97)*('Training Detail'!$M$5:$M$5000=Standards!A8)*('Training Detail'!$G$5:$G$5000&gt;=D97)*('Training Detail'!$G$5:$G$5000&lt;=E97)*('Training Detail'!$P$5:$P$5000)))</f>
        <v>0</v>
      </c>
      <c r="M97" s="16" t="n">
        <f aca="false">IF(OR(A97="",C97=""),"",SUMPRODUCT(('Training Detail'!$A$5:$A$5000=A97)*('Training Detail'!$M$5:$M$5000=Standards!A9)*('Training Detail'!$G$5:$G$5000&gt;=D97)*('Training Detail'!$G$5:$G$5000&lt;=E97)*('Training Detail'!$P$5:$P$5000)))</f>
        <v>0</v>
      </c>
      <c r="N97" s="17" t="str">
        <f aca="false">IF(A97="","",IF(C97="","Set exp date",IF(AND(F97&gt;=Requirements!B5,G97&gt;=Requirements!B6,H97&gt;=Requirements!B7,I97&gt;=Requirements!B8,J97&gt;=Requirements!B9,K97&gt;=Requirements!B10,L97&gt;=Requirements!B11,M97&gt;=Requirements!B12),"Met","Short")))</f>
        <v>Short</v>
      </c>
      <c r="O97" s="18" t="str">
        <f aca="false">IF(OR(A97="",C97=""),"",IF(N97="Met","",IF(F97&lt;Requirements!B5,Requirements!A5&amp;" "&amp;TEXT(Requirements!B5-F97,"0.##")&amp;"; ","")&amp;IF(G97&lt;Requirements!B6,Requirements!A6&amp;" "&amp;TEXT(Requirements!B6-G97,"0.##")&amp;"; ","")&amp;IF(H97&lt;Requirements!B7,Requirements!A7&amp;" "&amp;TEXT(Requirements!B7-H97,"0.##")&amp;"; ","")&amp;IF(I97&lt;Requirements!B8,Requirements!A8&amp;" "&amp;TEXT(Requirements!B8-I97,"0.##")&amp;"; ","")&amp;IF(J97&lt;Requirements!B9,Requirements!A9&amp;" "&amp;TEXT(Requirements!B9-J97,"0.##")&amp;"; ","")&amp;IF(K97&lt;Requirements!B10,Requirements!A10&amp;" "&amp;TEXT(Requirements!B10-K97,"0.##")&amp;"; ","")&amp;IF(L97&lt;Requirements!B11,Requirements!A11&amp;" "&amp;TEXT(Requirements!B11-L97,"0.##")&amp;"; ","")&amp;IF(M97&lt;Requirements!B12,Requirements!A12&amp;" "&amp;TEXT(Requirements!B12-M97,"0.##")&amp;"; ","")))</f>
        <v>Airway 2.5; Cardiovascular 5; Medical 5; PAHT 1; SVAT 1; CPR/AED 1; </v>
      </c>
    </row>
    <row r="98" customFormat="false" ht="15" hidden="false" customHeight="true" outlineLevel="0" collapsed="false">
      <c r="A98" s="11" t="s">
        <v>181</v>
      </c>
      <c r="B98" s="12" t="s">
        <v>182</v>
      </c>
      <c r="C98" s="13" t="n">
        <v>46752</v>
      </c>
      <c r="D98" s="14" t="n">
        <f aca="false">IF(C98="","",DATE(YEAR(C98)-1,1,1))</f>
        <v>46023</v>
      </c>
      <c r="E98" s="14" t="n">
        <f aca="false">IF(C98="","",DATE(YEAR(C98),12,31))</f>
        <v>46752</v>
      </c>
      <c r="F98" s="15" t="n">
        <f aca="false">IF(OR(A98="",C98=""),"",SUMPRODUCT(('Training Detail'!$A$5:$A$5000=A98)*('Training Detail'!$M$5:$M$5000=Standards!A2)*('Training Detail'!$G$5:$G$5000&gt;=D98)*('Training Detail'!$G$5:$G$5000&lt;=E98)*('Training Detail'!$P$5:$P$5000)))</f>
        <v>0</v>
      </c>
      <c r="G98" s="15" t="n">
        <f aca="false">IF(OR(A98="",C98=""),"",SUMPRODUCT(('Training Detail'!$A$5:$A$5000=A98)*('Training Detail'!$M$5:$M$5000=Standards!A3)*('Training Detail'!$G$5:$G$5000&gt;=D98)*('Training Detail'!$G$5:$G$5000&lt;=E98)*('Training Detail'!$P$5:$P$5000)))</f>
        <v>0</v>
      </c>
      <c r="H98" s="15" t="n">
        <f aca="false">IF(OR(A98="",C98=""),"",SUMPRODUCT(('Training Detail'!$A$5:$A$5000=A98)*('Training Detail'!$M$5:$M$5000=Standards!A4)*('Training Detail'!$G$5:$G$5000&gt;=D98)*('Training Detail'!$G$5:$G$5000&lt;=E98)*('Training Detail'!$P$5:$P$5000)))</f>
        <v>9</v>
      </c>
      <c r="I98" s="15" t="n">
        <f aca="false">IF(OR(A98="",C98=""),"",SUMPRODUCT(('Training Detail'!$A$5:$A$5000=A98)*('Training Detail'!$M$5:$M$5000=Standards!A5)*('Training Detail'!$G$5:$G$5000&gt;=D98)*('Training Detail'!$G$5:$G$5000&lt;=E98)*('Training Detail'!$P$5:$P$5000)))</f>
        <v>0</v>
      </c>
      <c r="J98" s="15" t="n">
        <f aca="false">IF(OR(A98="",C98=""),"",SUMPRODUCT(('Training Detail'!$A$5:$A$5000=A98)*('Training Detail'!$M$5:$M$5000=Standards!A6)*('Training Detail'!$G$5:$G$5000&gt;=D98)*('Training Detail'!$G$5:$G$5000&lt;=E98)*('Training Detail'!$P$5:$P$5000)))</f>
        <v>0</v>
      </c>
      <c r="K98" s="15" t="n">
        <f aca="false">IF(OR(A98="",C98=""),"",SUMPRODUCT(('Training Detail'!$A$5:$A$5000=A98)*('Training Detail'!$M$5:$M$5000=Standards!A7)*('Training Detail'!$G$5:$G$5000&gt;=D98)*('Training Detail'!$G$5:$G$5000&lt;=E98)*('Training Detail'!$P$5:$P$5000)))</f>
        <v>0</v>
      </c>
      <c r="L98" s="15" t="n">
        <f aca="false">IF(OR(A98="",C98=""),"",SUMPRODUCT(('Training Detail'!$A$5:$A$5000=A98)*('Training Detail'!$M$5:$M$5000=Standards!A8)*('Training Detail'!$G$5:$G$5000&gt;=D98)*('Training Detail'!$G$5:$G$5000&lt;=E98)*('Training Detail'!$P$5:$P$5000)))</f>
        <v>0</v>
      </c>
      <c r="M98" s="16" t="n">
        <f aca="false">IF(OR(A98="",C98=""),"",SUMPRODUCT(('Training Detail'!$A$5:$A$5000=A98)*('Training Detail'!$M$5:$M$5000=Standards!A9)*('Training Detail'!$G$5:$G$5000&gt;=D98)*('Training Detail'!$G$5:$G$5000&lt;=E98)*('Training Detail'!$P$5:$P$5000)))</f>
        <v>0</v>
      </c>
      <c r="N98" s="17" t="str">
        <f aca="false">IF(A98="","",IF(C98="","Set exp date",IF(AND(F98&gt;=Requirements!B5,G98&gt;=Requirements!B6,H98&gt;=Requirements!B7,I98&gt;=Requirements!B8,J98&gt;=Requirements!B9,K98&gt;=Requirements!B10,L98&gt;=Requirements!B11,M98&gt;=Requirements!B12),"Met","Short")))</f>
        <v>Short</v>
      </c>
      <c r="O98" s="18" t="str">
        <f aca="false">IF(OR(A98="",C98=""),"",IF(N98="Met","",IF(F98&lt;Requirements!B5,Requirements!A5&amp;" "&amp;TEXT(Requirements!B5-F98,"0.##")&amp;"; ","")&amp;IF(G98&lt;Requirements!B6,Requirements!A6&amp;" "&amp;TEXT(Requirements!B6-G98,"0.##")&amp;"; ","")&amp;IF(H98&lt;Requirements!B7,Requirements!A7&amp;" "&amp;TEXT(Requirements!B7-H98,"0.##")&amp;"; ","")&amp;IF(I98&lt;Requirements!B8,Requirements!A8&amp;" "&amp;TEXT(Requirements!B8-I98,"0.##")&amp;"; ","")&amp;IF(J98&lt;Requirements!B9,Requirements!A9&amp;" "&amp;TEXT(Requirements!B9-J98,"0.##")&amp;"; ","")&amp;IF(K98&lt;Requirements!B10,Requirements!A10&amp;" "&amp;TEXT(Requirements!B10-K98,"0.##")&amp;"; ","")&amp;IF(L98&lt;Requirements!B11,Requirements!A11&amp;" "&amp;TEXT(Requirements!B11-L98,"0.##")&amp;"; ","")&amp;IF(M98&lt;Requirements!B12,Requirements!A12&amp;" "&amp;TEXT(Requirements!B12-M98,"0.##")&amp;"; ","")))</f>
        <v>Airway 4; Cardiovascular 5; Medical 6; Operations 2; PAHT 1; SVAT 1; CPR/AED 1; </v>
      </c>
    </row>
    <row r="99" customFormat="false" ht="15" hidden="false" customHeight="true" outlineLevel="0" collapsed="false">
      <c r="A99" s="19" t="s">
        <v>183</v>
      </c>
      <c r="B99" s="20" t="s">
        <v>184</v>
      </c>
      <c r="C99" s="13" t="n">
        <v>46752</v>
      </c>
      <c r="D99" s="21" t="n">
        <f aca="false">IF(C99="","",DATE(YEAR(C99)-1,1,1))</f>
        <v>46023</v>
      </c>
      <c r="E99" s="21" t="n">
        <f aca="false">IF(C99="","",DATE(YEAR(C99),12,31))</f>
        <v>46752</v>
      </c>
      <c r="F99" s="15" t="n">
        <f aca="false">IF(OR(A99="",C99=""),"",SUMPRODUCT(('Training Detail'!$A$5:$A$5000=A99)*('Training Detail'!$M$5:$M$5000=Standards!A2)*('Training Detail'!$G$5:$G$5000&gt;=D99)*('Training Detail'!$G$5:$G$5000&lt;=E99)*('Training Detail'!$P$5:$P$5000)))</f>
        <v>1</v>
      </c>
      <c r="G99" s="15" t="n">
        <f aca="false">IF(OR(A99="",C99=""),"",SUMPRODUCT(('Training Detail'!$A$5:$A$5000=A99)*('Training Detail'!$M$5:$M$5000=Standards!A3)*('Training Detail'!$G$5:$G$5000&gt;=D99)*('Training Detail'!$G$5:$G$5000&lt;=E99)*('Training Detail'!$P$5:$P$5000)))</f>
        <v>0</v>
      </c>
      <c r="H99" s="15" t="n">
        <f aca="false">IF(OR(A99="",C99=""),"",SUMPRODUCT(('Training Detail'!$A$5:$A$5000=A99)*('Training Detail'!$M$5:$M$5000=Standards!A4)*('Training Detail'!$G$5:$G$5000&gt;=D99)*('Training Detail'!$G$5:$G$5000&lt;=E99)*('Training Detail'!$P$5:$P$5000)))</f>
        <v>4</v>
      </c>
      <c r="I99" s="15" t="n">
        <f aca="false">IF(OR(A99="",C99=""),"",SUMPRODUCT(('Training Detail'!$A$5:$A$5000=A99)*('Training Detail'!$M$5:$M$5000=Standards!A5)*('Training Detail'!$G$5:$G$5000&gt;=D99)*('Training Detail'!$G$5:$G$5000&lt;=E99)*('Training Detail'!$P$5:$P$5000)))</f>
        <v>0</v>
      </c>
      <c r="J99" s="15" t="n">
        <f aca="false">IF(OR(A99="",C99=""),"",SUMPRODUCT(('Training Detail'!$A$5:$A$5000=A99)*('Training Detail'!$M$5:$M$5000=Standards!A6)*('Training Detail'!$G$5:$G$5000&gt;=D99)*('Training Detail'!$G$5:$G$5000&lt;=E99)*('Training Detail'!$P$5:$P$5000)))</f>
        <v>1</v>
      </c>
      <c r="K99" s="15" t="n">
        <f aca="false">IF(OR(A99="",C99=""),"",SUMPRODUCT(('Training Detail'!$A$5:$A$5000=A99)*('Training Detail'!$M$5:$M$5000=Standards!A7)*('Training Detail'!$G$5:$G$5000&gt;=D99)*('Training Detail'!$G$5:$G$5000&lt;=E99)*('Training Detail'!$P$5:$P$5000)))</f>
        <v>0</v>
      </c>
      <c r="L99" s="15" t="n">
        <f aca="false">IF(OR(A99="",C99=""),"",SUMPRODUCT(('Training Detail'!$A$5:$A$5000=A99)*('Training Detail'!$M$5:$M$5000=Standards!A8)*('Training Detail'!$G$5:$G$5000&gt;=D99)*('Training Detail'!$G$5:$G$5000&lt;=E99)*('Training Detail'!$P$5:$P$5000)))</f>
        <v>0</v>
      </c>
      <c r="M99" s="16" t="n">
        <f aca="false">IF(OR(A99="",C99=""),"",SUMPRODUCT(('Training Detail'!$A$5:$A$5000=A99)*('Training Detail'!$M$5:$M$5000=Standards!A9)*('Training Detail'!$G$5:$G$5000&gt;=D99)*('Training Detail'!$G$5:$G$5000&lt;=E99)*('Training Detail'!$P$5:$P$5000)))</f>
        <v>1</v>
      </c>
      <c r="N99" s="17" t="str">
        <f aca="false">IF(A99="","",IF(C99="","Set exp date",IF(AND(F99&gt;=Requirements!B5,G99&gt;=Requirements!B6,H99&gt;=Requirements!B7,I99&gt;=Requirements!B8,J99&gt;=Requirements!B9,K99&gt;=Requirements!B10,L99&gt;=Requirements!B11,M99&gt;=Requirements!B12),"Met","Short")))</f>
        <v>Short</v>
      </c>
      <c r="O99" s="18" t="str">
        <f aca="false">IF(OR(A99="",C99=""),"",IF(N99="Met","",IF(F99&lt;Requirements!B5,Requirements!A5&amp;" "&amp;TEXT(Requirements!B5-F99,"0.##")&amp;"; ","")&amp;IF(G99&lt;Requirements!B6,Requirements!A6&amp;" "&amp;TEXT(Requirements!B6-G99,"0.##")&amp;"; ","")&amp;IF(H99&lt;Requirements!B7,Requirements!A7&amp;" "&amp;TEXT(Requirements!B7-H99,"0.##")&amp;"; ","")&amp;IF(I99&lt;Requirements!B8,Requirements!A8&amp;" "&amp;TEXT(Requirements!B8-I99,"0.##")&amp;"; ","")&amp;IF(J99&lt;Requirements!B9,Requirements!A9&amp;" "&amp;TEXT(Requirements!B9-J99,"0.##")&amp;"; ","")&amp;IF(K99&lt;Requirements!B10,Requirements!A10&amp;" "&amp;TEXT(Requirements!B10-K99,"0.##")&amp;"; ","")&amp;IF(L99&lt;Requirements!B11,Requirements!A11&amp;" "&amp;TEXT(Requirements!B11-L99,"0.##")&amp;"; ","")&amp;IF(M99&lt;Requirements!B12,Requirements!A12&amp;" "&amp;TEXT(Requirements!B12-M99,"0.##")&amp;"; ","")))</f>
        <v>Airway 3; Cardiovascular 5; Medical 6; Operations 1; PAHT 1; SVAT 1; </v>
      </c>
    </row>
    <row r="100" customFormat="false" ht="15" hidden="false" customHeight="true" outlineLevel="0" collapsed="false">
      <c r="A100" s="11" t="s">
        <v>185</v>
      </c>
      <c r="B100" s="12" t="s">
        <v>186</v>
      </c>
      <c r="C100" s="13" t="n">
        <v>46387</v>
      </c>
      <c r="D100" s="14" t="n">
        <f aca="false">IF(C100="","",DATE(YEAR(C100)-1,1,1))</f>
        <v>45658</v>
      </c>
      <c r="E100" s="14" t="n">
        <f aca="false">IF(C100="","",DATE(YEAR(C100),12,31))</f>
        <v>46387</v>
      </c>
      <c r="F100" s="15" t="n">
        <f aca="false">IF(OR(A100="",C100=""),"",SUMPRODUCT(('Training Detail'!$A$5:$A$5000=A100)*('Training Detail'!$M$5:$M$5000=Standards!A2)*('Training Detail'!$G$5:$G$5000&gt;=D100)*('Training Detail'!$G$5:$G$5000&lt;=E100)*('Training Detail'!$P$5:$P$5000)))</f>
        <v>3.5</v>
      </c>
      <c r="G100" s="15" t="n">
        <f aca="false">IF(OR(A100="",C100=""),"",SUMPRODUCT(('Training Detail'!$A$5:$A$5000=A100)*('Training Detail'!$M$5:$M$5000=Standards!A3)*('Training Detail'!$G$5:$G$5000&gt;=D100)*('Training Detail'!$G$5:$G$5000&lt;=E100)*('Training Detail'!$P$5:$P$5000)))</f>
        <v>5.5</v>
      </c>
      <c r="H100" s="15" t="n">
        <f aca="false">IF(OR(A100="",C100=""),"",SUMPRODUCT(('Training Detail'!$A$5:$A$5000=A100)*('Training Detail'!$M$5:$M$5000=Standards!A4)*('Training Detail'!$G$5:$G$5000&gt;=D100)*('Training Detail'!$G$5:$G$5000&lt;=E100)*('Training Detail'!$P$5:$P$5000)))</f>
        <v>11</v>
      </c>
      <c r="I100" s="15" t="n">
        <f aca="false">IF(OR(A100="",C100=""),"",SUMPRODUCT(('Training Detail'!$A$5:$A$5000=A100)*('Training Detail'!$M$5:$M$5000=Standards!A5)*('Training Detail'!$G$5:$G$5000&gt;=D100)*('Training Detail'!$G$5:$G$5000&lt;=E100)*('Training Detail'!$P$5:$P$5000)))</f>
        <v>15.25</v>
      </c>
      <c r="J100" s="15" t="n">
        <f aca="false">IF(OR(A100="",C100=""),"",SUMPRODUCT(('Training Detail'!$A$5:$A$5000=A100)*('Training Detail'!$M$5:$M$5000=Standards!A6)*('Training Detail'!$G$5:$G$5000&gt;=D100)*('Training Detail'!$G$5:$G$5000&lt;=E100)*('Training Detail'!$P$5:$P$5000)))</f>
        <v>4</v>
      </c>
      <c r="K100" s="15" t="n">
        <f aca="false">IF(OR(A100="",C100=""),"",SUMPRODUCT(('Training Detail'!$A$5:$A$5000=A100)*('Training Detail'!$M$5:$M$5000=Standards!A7)*('Training Detail'!$G$5:$G$5000&gt;=D100)*('Training Detail'!$G$5:$G$5000&lt;=E100)*('Training Detail'!$P$5:$P$5000)))</f>
        <v>1</v>
      </c>
      <c r="L100" s="15" t="n">
        <f aca="false">IF(OR(A100="",C100=""),"",SUMPRODUCT(('Training Detail'!$A$5:$A$5000=A100)*('Training Detail'!$M$5:$M$5000=Standards!A8)*('Training Detail'!$G$5:$G$5000&gt;=D100)*('Training Detail'!$G$5:$G$5000&lt;=E100)*('Training Detail'!$P$5:$P$5000)))</f>
        <v>0</v>
      </c>
      <c r="M100" s="16" t="n">
        <f aca="false">IF(OR(A100="",C100=""),"",SUMPRODUCT(('Training Detail'!$A$5:$A$5000=A100)*('Training Detail'!$M$5:$M$5000=Standards!A9)*('Training Detail'!$G$5:$G$5000&gt;=D100)*('Training Detail'!$G$5:$G$5000&lt;=E100)*('Training Detail'!$P$5:$P$5000)))</f>
        <v>1</v>
      </c>
      <c r="N100" s="17" t="str">
        <f aca="false">IF(A100="","",IF(C100="","Set exp date",IF(AND(F100&gt;=Requirements!B5,G100&gt;=Requirements!B6,H100&gt;=Requirements!B7,I100&gt;=Requirements!B8,J100&gt;=Requirements!B9,K100&gt;=Requirements!B10,L100&gt;=Requirements!B11,M100&gt;=Requirements!B12),"Met","Short")))</f>
        <v>Short</v>
      </c>
      <c r="O100" s="18" t="str">
        <f aca="false">IF(OR(A100="",C100=""),"",IF(N100="Met","",IF(F100&lt;Requirements!B5,Requirements!A5&amp;" "&amp;TEXT(Requirements!B5-F100,"0.##")&amp;"; ","")&amp;IF(G100&lt;Requirements!B6,Requirements!A6&amp;" "&amp;TEXT(Requirements!B6-G100,"0.##")&amp;"; ","")&amp;IF(H100&lt;Requirements!B7,Requirements!A7&amp;" "&amp;TEXT(Requirements!B7-H100,"0.##")&amp;"; ","")&amp;IF(I100&lt;Requirements!B8,Requirements!A8&amp;" "&amp;TEXT(Requirements!B8-I100,"0.##")&amp;"; ","")&amp;IF(J100&lt;Requirements!B9,Requirements!A9&amp;" "&amp;TEXT(Requirements!B9-J100,"0.##")&amp;"; ","")&amp;IF(K100&lt;Requirements!B10,Requirements!A10&amp;" "&amp;TEXT(Requirements!B10-K100,"0.##")&amp;"; ","")&amp;IF(L100&lt;Requirements!B11,Requirements!A11&amp;" "&amp;TEXT(Requirements!B11-L100,"0.##")&amp;"; ","")&amp;IF(M100&lt;Requirements!B12,Requirements!A12&amp;" "&amp;TEXT(Requirements!B12-M100,"0.##")&amp;"; ","")))</f>
        <v>Airway 0.5; SVAT 1; </v>
      </c>
    </row>
    <row r="101" customFormat="false" ht="15" hidden="false" customHeight="true" outlineLevel="0" collapsed="false">
      <c r="A101" s="19" t="s">
        <v>187</v>
      </c>
      <c r="B101" s="20" t="s">
        <v>188</v>
      </c>
      <c r="C101" s="13" t="n">
        <v>46387</v>
      </c>
      <c r="D101" s="21" t="n">
        <f aca="false">IF(C101="","",DATE(YEAR(C101)-1,1,1))</f>
        <v>45658</v>
      </c>
      <c r="E101" s="21" t="n">
        <f aca="false">IF(C101="","",DATE(YEAR(C101),12,31))</f>
        <v>46387</v>
      </c>
      <c r="F101" s="15" t="n">
        <f aca="false">IF(OR(A101="",C101=""),"",SUMPRODUCT(('Training Detail'!$A$5:$A$5000=A101)*('Training Detail'!$M$5:$M$5000=Standards!A2)*('Training Detail'!$G$5:$G$5000&gt;=D101)*('Training Detail'!$G$5:$G$5000&lt;=E101)*('Training Detail'!$P$5:$P$5000)))</f>
        <v>1</v>
      </c>
      <c r="G101" s="15" t="n">
        <f aca="false">IF(OR(A101="",C101=""),"",SUMPRODUCT(('Training Detail'!$A$5:$A$5000=A101)*('Training Detail'!$M$5:$M$5000=Standards!A3)*('Training Detail'!$G$5:$G$5000&gt;=D101)*('Training Detail'!$G$5:$G$5000&lt;=E101)*('Training Detail'!$P$5:$P$5000)))</f>
        <v>0</v>
      </c>
      <c r="H101" s="15" t="n">
        <f aca="false">IF(OR(A101="",C101=""),"",SUMPRODUCT(('Training Detail'!$A$5:$A$5000=A101)*('Training Detail'!$M$5:$M$5000=Standards!A4)*('Training Detail'!$G$5:$G$5000&gt;=D101)*('Training Detail'!$G$5:$G$5000&lt;=E101)*('Training Detail'!$P$5:$P$5000)))</f>
        <v>7</v>
      </c>
      <c r="I101" s="15" t="n">
        <f aca="false">IF(OR(A101="",C101=""),"",SUMPRODUCT(('Training Detail'!$A$5:$A$5000=A101)*('Training Detail'!$M$5:$M$5000=Standards!A5)*('Training Detail'!$G$5:$G$5000&gt;=D101)*('Training Detail'!$G$5:$G$5000&lt;=E101)*('Training Detail'!$P$5:$P$5000)))</f>
        <v>8.5</v>
      </c>
      <c r="J101" s="15" t="n">
        <f aca="false">IF(OR(A101="",C101=""),"",SUMPRODUCT(('Training Detail'!$A$5:$A$5000=A101)*('Training Detail'!$M$5:$M$5000=Standards!A6)*('Training Detail'!$G$5:$G$5000&gt;=D101)*('Training Detail'!$G$5:$G$5000&lt;=E101)*('Training Detail'!$P$5:$P$5000)))</f>
        <v>4</v>
      </c>
      <c r="K101" s="15" t="n">
        <f aca="false">IF(OR(A101="",C101=""),"",SUMPRODUCT(('Training Detail'!$A$5:$A$5000=A101)*('Training Detail'!$M$5:$M$5000=Standards!A7)*('Training Detail'!$G$5:$G$5000&gt;=D101)*('Training Detail'!$G$5:$G$5000&lt;=E101)*('Training Detail'!$P$5:$P$5000)))</f>
        <v>1</v>
      </c>
      <c r="L101" s="15" t="n">
        <f aca="false">IF(OR(A101="",C101=""),"",SUMPRODUCT(('Training Detail'!$A$5:$A$5000=A101)*('Training Detail'!$M$5:$M$5000=Standards!A8)*('Training Detail'!$G$5:$G$5000&gt;=D101)*('Training Detail'!$G$5:$G$5000&lt;=E101)*('Training Detail'!$P$5:$P$5000)))</f>
        <v>0</v>
      </c>
      <c r="M101" s="16" t="n">
        <f aca="false">IF(OR(A101="",C101=""),"",SUMPRODUCT(('Training Detail'!$A$5:$A$5000=A101)*('Training Detail'!$M$5:$M$5000=Standards!A9)*('Training Detail'!$G$5:$G$5000&gt;=D101)*('Training Detail'!$G$5:$G$5000&lt;=E101)*('Training Detail'!$P$5:$P$5000)))</f>
        <v>0</v>
      </c>
      <c r="N101" s="17" t="str">
        <f aca="false">IF(A101="","",IF(C101="","Set exp date",IF(AND(F101&gt;=Requirements!B5,G101&gt;=Requirements!B6,H101&gt;=Requirements!B7,I101&gt;=Requirements!B8,J101&gt;=Requirements!B9,K101&gt;=Requirements!B10,L101&gt;=Requirements!B11,M101&gt;=Requirements!B12),"Met","Short")))</f>
        <v>Short</v>
      </c>
      <c r="O101" s="18" t="str">
        <f aca="false">IF(OR(A101="",C101=""),"",IF(N101="Met","",IF(F101&lt;Requirements!B5,Requirements!A5&amp;" "&amp;TEXT(Requirements!B5-F101,"0.##")&amp;"; ","")&amp;IF(G101&lt;Requirements!B6,Requirements!A6&amp;" "&amp;TEXT(Requirements!B6-G101,"0.##")&amp;"; ","")&amp;IF(H101&lt;Requirements!B7,Requirements!A7&amp;" "&amp;TEXT(Requirements!B7-H101,"0.##")&amp;"; ","")&amp;IF(I101&lt;Requirements!B8,Requirements!A8&amp;" "&amp;TEXT(Requirements!B8-I101,"0.##")&amp;"; ","")&amp;IF(J101&lt;Requirements!B9,Requirements!A9&amp;" "&amp;TEXT(Requirements!B9-J101,"0.##")&amp;"; ","")&amp;IF(K101&lt;Requirements!B10,Requirements!A10&amp;" "&amp;TEXT(Requirements!B10-K101,"0.##")&amp;"; ","")&amp;IF(L101&lt;Requirements!B11,Requirements!A11&amp;" "&amp;TEXT(Requirements!B11-L101,"0.##")&amp;"; ","")&amp;IF(M101&lt;Requirements!B12,Requirements!A12&amp;" "&amp;TEXT(Requirements!B12-M101,"0.##")&amp;"; ","")))</f>
        <v>Airway 3; Cardiovascular 5; SVAT 1; CPR/AED 1; </v>
      </c>
    </row>
    <row r="102" customFormat="false" ht="15" hidden="false" customHeight="true" outlineLevel="0" collapsed="false">
      <c r="A102" s="11" t="s">
        <v>189</v>
      </c>
      <c r="B102" s="12" t="s">
        <v>190</v>
      </c>
      <c r="C102" s="13" t="n">
        <v>46387</v>
      </c>
      <c r="D102" s="14" t="n">
        <f aca="false">IF(C102="","",DATE(YEAR(C102)-1,1,1))</f>
        <v>45658</v>
      </c>
      <c r="E102" s="14" t="n">
        <f aca="false">IF(C102="","",DATE(YEAR(C102),12,31))</f>
        <v>46387</v>
      </c>
      <c r="F102" s="15" t="n">
        <f aca="false">IF(OR(A102="",C102=""),"",SUMPRODUCT(('Training Detail'!$A$5:$A$5000=A102)*('Training Detail'!$M$5:$M$5000=Standards!A2)*('Training Detail'!$G$5:$G$5000&gt;=D102)*('Training Detail'!$G$5:$G$5000&lt;=E102)*('Training Detail'!$P$5:$P$5000)))</f>
        <v>0</v>
      </c>
      <c r="G102" s="15" t="n">
        <f aca="false">IF(OR(A102="",C102=""),"",SUMPRODUCT(('Training Detail'!$A$5:$A$5000=A102)*('Training Detail'!$M$5:$M$5000=Standards!A3)*('Training Detail'!$G$5:$G$5000&gt;=D102)*('Training Detail'!$G$5:$G$5000&lt;=E102)*('Training Detail'!$P$5:$P$5000)))</f>
        <v>2</v>
      </c>
      <c r="H102" s="15" t="n">
        <f aca="false">IF(OR(A102="",C102=""),"",SUMPRODUCT(('Training Detail'!$A$5:$A$5000=A102)*('Training Detail'!$M$5:$M$5000=Standards!A4)*('Training Detail'!$G$5:$G$5000&gt;=D102)*('Training Detail'!$G$5:$G$5000&lt;=E102)*('Training Detail'!$P$5:$P$5000)))</f>
        <v>6</v>
      </c>
      <c r="I102" s="15" t="n">
        <f aca="false">IF(OR(A102="",C102=""),"",SUMPRODUCT(('Training Detail'!$A$5:$A$5000=A102)*('Training Detail'!$M$5:$M$5000=Standards!A5)*('Training Detail'!$G$5:$G$5000&gt;=D102)*('Training Detail'!$G$5:$G$5000&lt;=E102)*('Training Detail'!$P$5:$P$5000)))</f>
        <v>10</v>
      </c>
      <c r="J102" s="15" t="n">
        <f aca="false">IF(OR(A102="",C102=""),"",SUMPRODUCT(('Training Detail'!$A$5:$A$5000=A102)*('Training Detail'!$M$5:$M$5000=Standards!A6)*('Training Detail'!$G$5:$G$5000&gt;=D102)*('Training Detail'!$G$5:$G$5000&lt;=E102)*('Training Detail'!$P$5:$P$5000)))</f>
        <v>2.5</v>
      </c>
      <c r="K102" s="15" t="n">
        <f aca="false">IF(OR(A102="",C102=""),"",SUMPRODUCT(('Training Detail'!$A$5:$A$5000=A102)*('Training Detail'!$M$5:$M$5000=Standards!A7)*('Training Detail'!$G$5:$G$5000&gt;=D102)*('Training Detail'!$G$5:$G$5000&lt;=E102)*('Training Detail'!$P$5:$P$5000)))</f>
        <v>0</v>
      </c>
      <c r="L102" s="15" t="n">
        <f aca="false">IF(OR(A102="",C102=""),"",SUMPRODUCT(('Training Detail'!$A$5:$A$5000=A102)*('Training Detail'!$M$5:$M$5000=Standards!A8)*('Training Detail'!$G$5:$G$5000&gt;=D102)*('Training Detail'!$G$5:$G$5000&lt;=E102)*('Training Detail'!$P$5:$P$5000)))</f>
        <v>0</v>
      </c>
      <c r="M102" s="16" t="n">
        <f aca="false">IF(OR(A102="",C102=""),"",SUMPRODUCT(('Training Detail'!$A$5:$A$5000=A102)*('Training Detail'!$M$5:$M$5000=Standards!A9)*('Training Detail'!$G$5:$G$5000&gt;=D102)*('Training Detail'!$G$5:$G$5000&lt;=E102)*('Training Detail'!$P$5:$P$5000)))</f>
        <v>0</v>
      </c>
      <c r="N102" s="17" t="str">
        <f aca="false">IF(A102="","",IF(C102="","Set exp date",IF(AND(F102&gt;=Requirements!B5,G102&gt;=Requirements!B6,H102&gt;=Requirements!B7,I102&gt;=Requirements!B8,J102&gt;=Requirements!B9,K102&gt;=Requirements!B10,L102&gt;=Requirements!B11,M102&gt;=Requirements!B12),"Met","Short")))</f>
        <v>Short</v>
      </c>
      <c r="O102" s="18" t="str">
        <f aca="false">IF(OR(A102="",C102=""),"",IF(N102="Met","",IF(F102&lt;Requirements!B5,Requirements!A5&amp;" "&amp;TEXT(Requirements!B5-F102,"0.##")&amp;"; ","")&amp;IF(G102&lt;Requirements!B6,Requirements!A6&amp;" "&amp;TEXT(Requirements!B6-G102,"0.##")&amp;"; ","")&amp;IF(H102&lt;Requirements!B7,Requirements!A7&amp;" "&amp;TEXT(Requirements!B7-H102,"0.##")&amp;"; ","")&amp;IF(I102&lt;Requirements!B8,Requirements!A8&amp;" "&amp;TEXT(Requirements!B8-I102,"0.##")&amp;"; ","")&amp;IF(J102&lt;Requirements!B9,Requirements!A9&amp;" "&amp;TEXT(Requirements!B9-J102,"0.##")&amp;"; ","")&amp;IF(K102&lt;Requirements!B10,Requirements!A10&amp;" "&amp;TEXT(Requirements!B10-K102,"0.##")&amp;"; ","")&amp;IF(L102&lt;Requirements!B11,Requirements!A11&amp;" "&amp;TEXT(Requirements!B11-L102,"0.##")&amp;"; ","")&amp;IF(M102&lt;Requirements!B12,Requirements!A12&amp;" "&amp;TEXT(Requirements!B12-M102,"0.##")&amp;"; ","")))</f>
        <v>Airway 4; Cardiovascular 3; PAHT 1; SVAT 1; CPR/AED 1; </v>
      </c>
    </row>
    <row r="103" customFormat="false" ht="15" hidden="false" customHeight="true" outlineLevel="0" collapsed="false">
      <c r="A103" s="19" t="s">
        <v>191</v>
      </c>
      <c r="B103" s="20" t="s">
        <v>192</v>
      </c>
      <c r="C103" s="13" t="n">
        <v>46387</v>
      </c>
      <c r="D103" s="21" t="n">
        <f aca="false">IF(C103="","",DATE(YEAR(C103)-1,1,1))</f>
        <v>45658</v>
      </c>
      <c r="E103" s="21" t="n">
        <f aca="false">IF(C103="","",DATE(YEAR(C103),12,31))</f>
        <v>46387</v>
      </c>
      <c r="F103" s="15" t="n">
        <f aca="false">IF(OR(A103="",C103=""),"",SUMPRODUCT(('Training Detail'!$A$5:$A$5000=A103)*('Training Detail'!$M$5:$M$5000=Standards!A2)*('Training Detail'!$G$5:$G$5000&gt;=D103)*('Training Detail'!$G$5:$G$5000&lt;=E103)*('Training Detail'!$P$5:$P$5000)))</f>
        <v>1</v>
      </c>
      <c r="G103" s="15" t="n">
        <f aca="false">IF(OR(A103="",C103=""),"",SUMPRODUCT(('Training Detail'!$A$5:$A$5000=A103)*('Training Detail'!$M$5:$M$5000=Standards!A3)*('Training Detail'!$G$5:$G$5000&gt;=D103)*('Training Detail'!$G$5:$G$5000&lt;=E103)*('Training Detail'!$P$5:$P$5000)))</f>
        <v>1</v>
      </c>
      <c r="H103" s="15" t="n">
        <f aca="false">IF(OR(A103="",C103=""),"",SUMPRODUCT(('Training Detail'!$A$5:$A$5000=A103)*('Training Detail'!$M$5:$M$5000=Standards!A4)*('Training Detail'!$G$5:$G$5000&gt;=D103)*('Training Detail'!$G$5:$G$5000&lt;=E103)*('Training Detail'!$P$5:$P$5000)))</f>
        <v>6</v>
      </c>
      <c r="I103" s="15" t="n">
        <f aca="false">IF(OR(A103="",C103=""),"",SUMPRODUCT(('Training Detail'!$A$5:$A$5000=A103)*('Training Detail'!$M$5:$M$5000=Standards!A5)*('Training Detail'!$G$5:$G$5000&gt;=D103)*('Training Detail'!$G$5:$G$5000&lt;=E103)*('Training Detail'!$P$5:$P$5000)))</f>
        <v>6.5</v>
      </c>
      <c r="J103" s="15" t="n">
        <f aca="false">IF(OR(A103="",C103=""),"",SUMPRODUCT(('Training Detail'!$A$5:$A$5000=A103)*('Training Detail'!$M$5:$M$5000=Standards!A6)*('Training Detail'!$G$5:$G$5000&gt;=D103)*('Training Detail'!$G$5:$G$5000&lt;=E103)*('Training Detail'!$P$5:$P$5000)))</f>
        <v>5</v>
      </c>
      <c r="K103" s="15" t="n">
        <f aca="false">IF(OR(A103="",C103=""),"",SUMPRODUCT(('Training Detail'!$A$5:$A$5000=A103)*('Training Detail'!$M$5:$M$5000=Standards!A7)*('Training Detail'!$G$5:$G$5000&gt;=D103)*('Training Detail'!$G$5:$G$5000&lt;=E103)*('Training Detail'!$P$5:$P$5000)))</f>
        <v>1</v>
      </c>
      <c r="L103" s="15" t="n">
        <f aca="false">IF(OR(A103="",C103=""),"",SUMPRODUCT(('Training Detail'!$A$5:$A$5000=A103)*('Training Detail'!$M$5:$M$5000=Standards!A8)*('Training Detail'!$G$5:$G$5000&gt;=D103)*('Training Detail'!$G$5:$G$5000&lt;=E103)*('Training Detail'!$P$5:$P$5000)))</f>
        <v>1</v>
      </c>
      <c r="M103" s="16" t="n">
        <f aca="false">IF(OR(A103="",C103=""),"",SUMPRODUCT(('Training Detail'!$A$5:$A$5000=A103)*('Training Detail'!$M$5:$M$5000=Standards!A9)*('Training Detail'!$G$5:$G$5000&gt;=D103)*('Training Detail'!$G$5:$G$5000&lt;=E103)*('Training Detail'!$P$5:$P$5000)))</f>
        <v>0</v>
      </c>
      <c r="N103" s="17" t="str">
        <f aca="false">IF(A103="","",IF(C103="","Set exp date",IF(AND(F103&gt;=Requirements!B5,G103&gt;=Requirements!B6,H103&gt;=Requirements!B7,I103&gt;=Requirements!B8,J103&gt;=Requirements!B9,K103&gt;=Requirements!B10,L103&gt;=Requirements!B11,M103&gt;=Requirements!B12),"Met","Short")))</f>
        <v>Short</v>
      </c>
      <c r="O103" s="18" t="str">
        <f aca="false">IF(OR(A103="",C103=""),"",IF(N103="Met","",IF(F103&lt;Requirements!B5,Requirements!A5&amp;" "&amp;TEXT(Requirements!B5-F103,"0.##")&amp;"; ","")&amp;IF(G103&lt;Requirements!B6,Requirements!A6&amp;" "&amp;TEXT(Requirements!B6-G103,"0.##")&amp;"; ","")&amp;IF(H103&lt;Requirements!B7,Requirements!A7&amp;" "&amp;TEXT(Requirements!B7-H103,"0.##")&amp;"; ","")&amp;IF(I103&lt;Requirements!B8,Requirements!A8&amp;" "&amp;TEXT(Requirements!B8-I103,"0.##")&amp;"; ","")&amp;IF(J103&lt;Requirements!B9,Requirements!A9&amp;" "&amp;TEXT(Requirements!B9-J103,"0.##")&amp;"; ","")&amp;IF(K103&lt;Requirements!B10,Requirements!A10&amp;" "&amp;TEXT(Requirements!B10-K103,"0.##")&amp;"; ","")&amp;IF(L103&lt;Requirements!B11,Requirements!A11&amp;" "&amp;TEXT(Requirements!B11-L103,"0.##")&amp;"; ","")&amp;IF(M103&lt;Requirements!B12,Requirements!A12&amp;" "&amp;TEXT(Requirements!B12-M103,"0.##")&amp;"; ","")))</f>
        <v>Airway 3; Cardiovascular 4; CPR/AED 1; </v>
      </c>
    </row>
    <row r="104" customFormat="false" ht="15" hidden="false" customHeight="true" outlineLevel="0" collapsed="false">
      <c r="A104" s="11" t="s">
        <v>193</v>
      </c>
      <c r="B104" s="12" t="s">
        <v>194</v>
      </c>
      <c r="C104" s="13" t="n">
        <v>46387</v>
      </c>
      <c r="D104" s="14" t="n">
        <f aca="false">IF(C104="","",DATE(YEAR(C104)-1,1,1))</f>
        <v>45658</v>
      </c>
      <c r="E104" s="14" t="n">
        <f aca="false">IF(C104="","",DATE(YEAR(C104),12,31))</f>
        <v>46387</v>
      </c>
      <c r="F104" s="15" t="n">
        <f aca="false">IF(OR(A104="",C104=""),"",SUMPRODUCT(('Training Detail'!$A$5:$A$5000=A104)*('Training Detail'!$M$5:$M$5000=Standards!A2)*('Training Detail'!$G$5:$G$5000&gt;=D104)*('Training Detail'!$G$5:$G$5000&lt;=E104)*('Training Detail'!$P$5:$P$5000)))</f>
        <v>0</v>
      </c>
      <c r="G104" s="15" t="n">
        <f aca="false">IF(OR(A104="",C104=""),"",SUMPRODUCT(('Training Detail'!$A$5:$A$5000=A104)*('Training Detail'!$M$5:$M$5000=Standards!A3)*('Training Detail'!$G$5:$G$5000&gt;=D104)*('Training Detail'!$G$5:$G$5000&lt;=E104)*('Training Detail'!$P$5:$P$5000)))</f>
        <v>4.5</v>
      </c>
      <c r="H104" s="15" t="n">
        <f aca="false">IF(OR(A104="",C104=""),"",SUMPRODUCT(('Training Detail'!$A$5:$A$5000=A104)*('Training Detail'!$M$5:$M$5000=Standards!A4)*('Training Detail'!$G$5:$G$5000&gt;=D104)*('Training Detail'!$G$5:$G$5000&lt;=E104)*('Training Detail'!$P$5:$P$5000)))</f>
        <v>6.5</v>
      </c>
      <c r="I104" s="15" t="n">
        <f aca="false">IF(OR(A104="",C104=""),"",SUMPRODUCT(('Training Detail'!$A$5:$A$5000=A104)*('Training Detail'!$M$5:$M$5000=Standards!A5)*('Training Detail'!$G$5:$G$5000&gt;=D104)*('Training Detail'!$G$5:$G$5000&lt;=E104)*('Training Detail'!$P$5:$P$5000)))</f>
        <v>6</v>
      </c>
      <c r="J104" s="15" t="n">
        <f aca="false">IF(OR(A104="",C104=""),"",SUMPRODUCT(('Training Detail'!$A$5:$A$5000=A104)*('Training Detail'!$M$5:$M$5000=Standards!A6)*('Training Detail'!$G$5:$G$5000&gt;=D104)*('Training Detail'!$G$5:$G$5000&lt;=E104)*('Training Detail'!$P$5:$P$5000)))</f>
        <v>7</v>
      </c>
      <c r="K104" s="15" t="n">
        <f aca="false">IF(OR(A104="",C104=""),"",SUMPRODUCT(('Training Detail'!$A$5:$A$5000=A104)*('Training Detail'!$M$5:$M$5000=Standards!A7)*('Training Detail'!$G$5:$G$5000&gt;=D104)*('Training Detail'!$G$5:$G$5000&lt;=E104)*('Training Detail'!$P$5:$P$5000)))</f>
        <v>1</v>
      </c>
      <c r="L104" s="15" t="n">
        <f aca="false">IF(OR(A104="",C104=""),"",SUMPRODUCT(('Training Detail'!$A$5:$A$5000=A104)*('Training Detail'!$M$5:$M$5000=Standards!A8)*('Training Detail'!$G$5:$G$5000&gt;=D104)*('Training Detail'!$G$5:$G$5000&lt;=E104)*('Training Detail'!$P$5:$P$5000)))</f>
        <v>0</v>
      </c>
      <c r="M104" s="16" t="n">
        <f aca="false">IF(OR(A104="",C104=""),"",SUMPRODUCT(('Training Detail'!$A$5:$A$5000=A104)*('Training Detail'!$M$5:$M$5000=Standards!A9)*('Training Detail'!$G$5:$G$5000&gt;=D104)*('Training Detail'!$G$5:$G$5000&lt;=E104)*('Training Detail'!$P$5:$P$5000)))</f>
        <v>0</v>
      </c>
      <c r="N104" s="17" t="str">
        <f aca="false">IF(A104="","",IF(C104="","Set exp date",IF(AND(F104&gt;=Requirements!B5,G104&gt;=Requirements!B6,H104&gt;=Requirements!B7,I104&gt;=Requirements!B8,J104&gt;=Requirements!B9,K104&gt;=Requirements!B10,L104&gt;=Requirements!B11,M104&gt;=Requirements!B12),"Met","Short")))</f>
        <v>Short</v>
      </c>
      <c r="O104" s="18" t="str">
        <f aca="false">IF(OR(A104="",C104=""),"",IF(N104="Met","",IF(F104&lt;Requirements!B5,Requirements!A5&amp;" "&amp;TEXT(Requirements!B5-F104,"0.##")&amp;"; ","")&amp;IF(G104&lt;Requirements!B6,Requirements!A6&amp;" "&amp;TEXT(Requirements!B6-G104,"0.##")&amp;"; ","")&amp;IF(H104&lt;Requirements!B7,Requirements!A7&amp;" "&amp;TEXT(Requirements!B7-H104,"0.##")&amp;"; ","")&amp;IF(I104&lt;Requirements!B8,Requirements!A8&amp;" "&amp;TEXT(Requirements!B8-I104,"0.##")&amp;"; ","")&amp;IF(J104&lt;Requirements!B9,Requirements!A9&amp;" "&amp;TEXT(Requirements!B9-J104,"0.##")&amp;"; ","")&amp;IF(K104&lt;Requirements!B10,Requirements!A10&amp;" "&amp;TEXT(Requirements!B10-K104,"0.##")&amp;"; ","")&amp;IF(L104&lt;Requirements!B11,Requirements!A11&amp;" "&amp;TEXT(Requirements!B11-L104,"0.##")&amp;"; ","")&amp;IF(M104&lt;Requirements!B12,Requirements!A12&amp;" "&amp;TEXT(Requirements!B12-M104,"0.##")&amp;"; ","")))</f>
        <v>Airway 4; Cardiovascular 0.5; SVAT 1; CPR/AED 1; </v>
      </c>
    </row>
    <row r="105" customFormat="false" ht="15" hidden="false" customHeight="true" outlineLevel="0" collapsed="false">
      <c r="A105" s="19" t="s">
        <v>195</v>
      </c>
      <c r="B105" s="20" t="s">
        <v>196</v>
      </c>
      <c r="C105" s="13" t="n">
        <v>46752</v>
      </c>
      <c r="D105" s="21" t="n">
        <f aca="false">IF(C105="","",DATE(YEAR(C105)-1,1,1))</f>
        <v>46023</v>
      </c>
      <c r="E105" s="21" t="n">
        <f aca="false">IF(C105="","",DATE(YEAR(C105),12,31))</f>
        <v>46752</v>
      </c>
      <c r="F105" s="15" t="n">
        <f aca="false">IF(OR(A105="",C105=""),"",SUMPRODUCT(('Training Detail'!$A$5:$A$5000=A105)*('Training Detail'!$M$5:$M$5000=Standards!A2)*('Training Detail'!$G$5:$G$5000&gt;=D105)*('Training Detail'!$G$5:$G$5000&lt;=E105)*('Training Detail'!$P$5:$P$5000)))</f>
        <v>0</v>
      </c>
      <c r="G105" s="15" t="n">
        <f aca="false">IF(OR(A105="",C105=""),"",SUMPRODUCT(('Training Detail'!$A$5:$A$5000=A105)*('Training Detail'!$M$5:$M$5000=Standards!A3)*('Training Detail'!$G$5:$G$5000&gt;=D105)*('Training Detail'!$G$5:$G$5000&lt;=E105)*('Training Detail'!$P$5:$P$5000)))</f>
        <v>0</v>
      </c>
      <c r="H105" s="15" t="n">
        <f aca="false">IF(OR(A105="",C105=""),"",SUMPRODUCT(('Training Detail'!$A$5:$A$5000=A105)*('Training Detail'!$M$5:$M$5000=Standards!A4)*('Training Detail'!$G$5:$G$5000&gt;=D105)*('Training Detail'!$G$5:$G$5000&lt;=E105)*('Training Detail'!$P$5:$P$5000)))</f>
        <v>1</v>
      </c>
      <c r="I105" s="15" t="n">
        <f aca="false">IF(OR(A105="",C105=""),"",SUMPRODUCT(('Training Detail'!$A$5:$A$5000=A105)*('Training Detail'!$M$5:$M$5000=Standards!A5)*('Training Detail'!$G$5:$G$5000&gt;=D105)*('Training Detail'!$G$5:$G$5000&lt;=E105)*('Training Detail'!$P$5:$P$5000)))</f>
        <v>1</v>
      </c>
      <c r="J105" s="15" t="n">
        <f aca="false">IF(OR(A105="",C105=""),"",SUMPRODUCT(('Training Detail'!$A$5:$A$5000=A105)*('Training Detail'!$M$5:$M$5000=Standards!A6)*('Training Detail'!$G$5:$G$5000&gt;=D105)*('Training Detail'!$G$5:$G$5000&lt;=E105)*('Training Detail'!$P$5:$P$5000)))</f>
        <v>0</v>
      </c>
      <c r="K105" s="15" t="n">
        <f aca="false">IF(OR(A105="",C105=""),"",SUMPRODUCT(('Training Detail'!$A$5:$A$5000=A105)*('Training Detail'!$M$5:$M$5000=Standards!A7)*('Training Detail'!$G$5:$G$5000&gt;=D105)*('Training Detail'!$G$5:$G$5000&lt;=E105)*('Training Detail'!$P$5:$P$5000)))</f>
        <v>0</v>
      </c>
      <c r="L105" s="15" t="n">
        <f aca="false">IF(OR(A105="",C105=""),"",SUMPRODUCT(('Training Detail'!$A$5:$A$5000=A105)*('Training Detail'!$M$5:$M$5000=Standards!A8)*('Training Detail'!$G$5:$G$5000&gt;=D105)*('Training Detail'!$G$5:$G$5000&lt;=E105)*('Training Detail'!$P$5:$P$5000)))</f>
        <v>0</v>
      </c>
      <c r="M105" s="16" t="n">
        <f aca="false">IF(OR(A105="",C105=""),"",SUMPRODUCT(('Training Detail'!$A$5:$A$5000=A105)*('Training Detail'!$M$5:$M$5000=Standards!A9)*('Training Detail'!$G$5:$G$5000&gt;=D105)*('Training Detail'!$G$5:$G$5000&lt;=E105)*('Training Detail'!$P$5:$P$5000)))</f>
        <v>1</v>
      </c>
      <c r="N105" s="17" t="str">
        <f aca="false">IF(A105="","",IF(C105="","Set exp date",IF(AND(F105&gt;=Requirements!B5,G105&gt;=Requirements!B6,H105&gt;=Requirements!B7,I105&gt;=Requirements!B8,J105&gt;=Requirements!B9,K105&gt;=Requirements!B10,L105&gt;=Requirements!B11,M105&gt;=Requirements!B12),"Met","Short")))</f>
        <v>Short</v>
      </c>
      <c r="O105" s="18" t="str">
        <f aca="false">IF(OR(A105="",C105=""),"",IF(N105="Met","",IF(F105&lt;Requirements!B5,Requirements!A5&amp;" "&amp;TEXT(Requirements!B5-F105,"0.##")&amp;"; ","")&amp;IF(G105&lt;Requirements!B6,Requirements!A6&amp;" "&amp;TEXT(Requirements!B6-G105,"0.##")&amp;"; ","")&amp;IF(H105&lt;Requirements!B7,Requirements!A7&amp;" "&amp;TEXT(Requirements!B7-H105,"0.##")&amp;"; ","")&amp;IF(I105&lt;Requirements!B8,Requirements!A8&amp;" "&amp;TEXT(Requirements!B8-I105,"0.##")&amp;"; ","")&amp;IF(J105&lt;Requirements!B9,Requirements!A9&amp;" "&amp;TEXT(Requirements!B9-J105,"0.##")&amp;"; ","")&amp;IF(K105&lt;Requirements!B10,Requirements!A10&amp;" "&amp;TEXT(Requirements!B10-K105,"0.##")&amp;"; ","")&amp;IF(L105&lt;Requirements!B11,Requirements!A11&amp;" "&amp;TEXT(Requirements!B11-L105,"0.##")&amp;"; ","")&amp;IF(M105&lt;Requirements!B12,Requirements!A12&amp;" "&amp;TEXT(Requirements!B12-M105,"0.##")&amp;"; ","")))</f>
        <v>Airway 4; Cardiovascular 5; Trauma 2; Medical 5; Operations 2; PAHT 1; SVAT 1; </v>
      </c>
    </row>
    <row r="106" customFormat="false" ht="15" hidden="false" customHeight="true" outlineLevel="0" collapsed="false">
      <c r="A106" s="11" t="s">
        <v>197</v>
      </c>
      <c r="B106" s="12" t="s">
        <v>198</v>
      </c>
      <c r="C106" s="13" t="n">
        <v>46752</v>
      </c>
      <c r="D106" s="14" t="n">
        <f aca="false">IF(C106="","",DATE(YEAR(C106)-1,1,1))</f>
        <v>46023</v>
      </c>
      <c r="E106" s="14" t="n">
        <f aca="false">IF(C106="","",DATE(YEAR(C106),12,31))</f>
        <v>46752</v>
      </c>
      <c r="F106" s="15" t="n">
        <f aca="false">IF(OR(A106="",C106=""),"",SUMPRODUCT(('Training Detail'!$A$5:$A$5000=A106)*('Training Detail'!$M$5:$M$5000=Standards!A2)*('Training Detail'!$G$5:$G$5000&gt;=D106)*('Training Detail'!$G$5:$G$5000&lt;=E106)*('Training Detail'!$P$5:$P$5000)))</f>
        <v>0</v>
      </c>
      <c r="G106" s="15" t="n">
        <f aca="false">IF(OR(A106="",C106=""),"",SUMPRODUCT(('Training Detail'!$A$5:$A$5000=A106)*('Training Detail'!$M$5:$M$5000=Standards!A3)*('Training Detail'!$G$5:$G$5000&gt;=D106)*('Training Detail'!$G$5:$G$5000&lt;=E106)*('Training Detail'!$P$5:$P$5000)))</f>
        <v>0.5</v>
      </c>
      <c r="H106" s="15" t="n">
        <f aca="false">IF(OR(A106="",C106=""),"",SUMPRODUCT(('Training Detail'!$A$5:$A$5000=A106)*('Training Detail'!$M$5:$M$5000=Standards!A4)*('Training Detail'!$G$5:$G$5000&gt;=D106)*('Training Detail'!$G$5:$G$5000&lt;=E106)*('Training Detail'!$P$5:$P$5000)))</f>
        <v>2</v>
      </c>
      <c r="I106" s="15" t="n">
        <f aca="false">IF(OR(A106="",C106=""),"",SUMPRODUCT(('Training Detail'!$A$5:$A$5000=A106)*('Training Detail'!$M$5:$M$5000=Standards!A5)*('Training Detail'!$G$5:$G$5000&gt;=D106)*('Training Detail'!$G$5:$G$5000&lt;=E106)*('Training Detail'!$P$5:$P$5000)))</f>
        <v>0</v>
      </c>
      <c r="J106" s="15" t="n">
        <f aca="false">IF(OR(A106="",C106=""),"",SUMPRODUCT(('Training Detail'!$A$5:$A$5000=A106)*('Training Detail'!$M$5:$M$5000=Standards!A6)*('Training Detail'!$G$5:$G$5000&gt;=D106)*('Training Detail'!$G$5:$G$5000&lt;=E106)*('Training Detail'!$P$5:$P$5000)))</f>
        <v>2</v>
      </c>
      <c r="K106" s="15" t="n">
        <f aca="false">IF(OR(A106="",C106=""),"",SUMPRODUCT(('Training Detail'!$A$5:$A$5000=A106)*('Training Detail'!$M$5:$M$5000=Standards!A7)*('Training Detail'!$G$5:$G$5000&gt;=D106)*('Training Detail'!$G$5:$G$5000&lt;=E106)*('Training Detail'!$P$5:$P$5000)))</f>
        <v>0</v>
      </c>
      <c r="L106" s="15" t="n">
        <f aca="false">IF(OR(A106="",C106=""),"",SUMPRODUCT(('Training Detail'!$A$5:$A$5000=A106)*('Training Detail'!$M$5:$M$5000=Standards!A8)*('Training Detail'!$G$5:$G$5000&gt;=D106)*('Training Detail'!$G$5:$G$5000&lt;=E106)*('Training Detail'!$P$5:$P$5000)))</f>
        <v>0</v>
      </c>
      <c r="M106" s="16" t="n">
        <f aca="false">IF(OR(A106="",C106=""),"",SUMPRODUCT(('Training Detail'!$A$5:$A$5000=A106)*('Training Detail'!$M$5:$M$5000=Standards!A9)*('Training Detail'!$G$5:$G$5000&gt;=D106)*('Training Detail'!$G$5:$G$5000&lt;=E106)*('Training Detail'!$P$5:$P$5000)))</f>
        <v>4</v>
      </c>
      <c r="N106" s="17" t="str">
        <f aca="false">IF(A106="","",IF(C106="","Set exp date",IF(AND(F106&gt;=Requirements!B5,G106&gt;=Requirements!B6,H106&gt;=Requirements!B7,I106&gt;=Requirements!B8,J106&gt;=Requirements!B9,K106&gt;=Requirements!B10,L106&gt;=Requirements!B11,M106&gt;=Requirements!B12),"Met","Short")))</f>
        <v>Short</v>
      </c>
      <c r="O106" s="18" t="str">
        <f aca="false">IF(OR(A106="",C106=""),"",IF(N106="Met","",IF(F106&lt;Requirements!B5,Requirements!A5&amp;" "&amp;TEXT(Requirements!B5-F106,"0.##")&amp;"; ","")&amp;IF(G106&lt;Requirements!B6,Requirements!A6&amp;" "&amp;TEXT(Requirements!B6-G106,"0.##")&amp;"; ","")&amp;IF(H106&lt;Requirements!B7,Requirements!A7&amp;" "&amp;TEXT(Requirements!B7-H106,"0.##")&amp;"; ","")&amp;IF(I106&lt;Requirements!B8,Requirements!A8&amp;" "&amp;TEXT(Requirements!B8-I106,"0.##")&amp;"; ","")&amp;IF(J106&lt;Requirements!B9,Requirements!A9&amp;" "&amp;TEXT(Requirements!B9-J106,"0.##")&amp;"; ","")&amp;IF(K106&lt;Requirements!B10,Requirements!A10&amp;" "&amp;TEXT(Requirements!B10-K106,"0.##")&amp;"; ","")&amp;IF(L106&lt;Requirements!B11,Requirements!A11&amp;" "&amp;TEXT(Requirements!B11-L106,"0.##")&amp;"; ","")&amp;IF(M106&lt;Requirements!B12,Requirements!A12&amp;" "&amp;TEXT(Requirements!B12-M106,"0.##")&amp;"; ","")))</f>
        <v>Airway 4; Cardiovascular 4.5; Trauma 1; Medical 6; PAHT 1; SVAT 1; </v>
      </c>
    </row>
    <row r="107" customFormat="false" ht="15" hidden="false" customHeight="true" outlineLevel="0" collapsed="false">
      <c r="A107" s="19" t="s">
        <v>199</v>
      </c>
      <c r="B107" s="20" t="s">
        <v>200</v>
      </c>
      <c r="C107" s="13" t="n">
        <v>46387</v>
      </c>
      <c r="D107" s="21" t="n">
        <f aca="false">IF(C107="","",DATE(YEAR(C107)-1,1,1))</f>
        <v>45658</v>
      </c>
      <c r="E107" s="21" t="n">
        <f aca="false">IF(C107="","",DATE(YEAR(C107),12,31))</f>
        <v>46387</v>
      </c>
      <c r="F107" s="15" t="n">
        <f aca="false">IF(OR(A107="",C107=""),"",SUMPRODUCT(('Training Detail'!$A$5:$A$5000=A107)*('Training Detail'!$M$5:$M$5000=Standards!A2)*('Training Detail'!$G$5:$G$5000&gt;=D107)*('Training Detail'!$G$5:$G$5000&lt;=E107)*('Training Detail'!$P$5:$P$5000)))</f>
        <v>2</v>
      </c>
      <c r="G107" s="15" t="n">
        <f aca="false">IF(OR(A107="",C107=""),"",SUMPRODUCT(('Training Detail'!$A$5:$A$5000=A107)*('Training Detail'!$M$5:$M$5000=Standards!A3)*('Training Detail'!$G$5:$G$5000&gt;=D107)*('Training Detail'!$G$5:$G$5000&lt;=E107)*('Training Detail'!$P$5:$P$5000)))</f>
        <v>0</v>
      </c>
      <c r="H107" s="15" t="n">
        <f aca="false">IF(OR(A107="",C107=""),"",SUMPRODUCT(('Training Detail'!$A$5:$A$5000=A107)*('Training Detail'!$M$5:$M$5000=Standards!A4)*('Training Detail'!$G$5:$G$5000&gt;=D107)*('Training Detail'!$G$5:$G$5000&lt;=E107)*('Training Detail'!$P$5:$P$5000)))</f>
        <v>4.5</v>
      </c>
      <c r="I107" s="15" t="n">
        <f aca="false">IF(OR(A107="",C107=""),"",SUMPRODUCT(('Training Detail'!$A$5:$A$5000=A107)*('Training Detail'!$M$5:$M$5000=Standards!A5)*('Training Detail'!$G$5:$G$5000&gt;=D107)*('Training Detail'!$G$5:$G$5000&lt;=E107)*('Training Detail'!$P$5:$P$5000)))</f>
        <v>11.5</v>
      </c>
      <c r="J107" s="15" t="n">
        <f aca="false">IF(OR(A107="",C107=""),"",SUMPRODUCT(('Training Detail'!$A$5:$A$5000=A107)*('Training Detail'!$M$5:$M$5000=Standards!A6)*('Training Detail'!$G$5:$G$5000&gt;=D107)*('Training Detail'!$G$5:$G$5000&lt;=E107)*('Training Detail'!$P$5:$P$5000)))</f>
        <v>3.5</v>
      </c>
      <c r="K107" s="15" t="n">
        <f aca="false">IF(OR(A107="",C107=""),"",SUMPRODUCT(('Training Detail'!$A$5:$A$5000=A107)*('Training Detail'!$M$5:$M$5000=Standards!A7)*('Training Detail'!$G$5:$G$5000&gt;=D107)*('Training Detail'!$G$5:$G$5000&lt;=E107)*('Training Detail'!$P$5:$P$5000)))</f>
        <v>0</v>
      </c>
      <c r="L107" s="15" t="n">
        <f aca="false">IF(OR(A107="",C107=""),"",SUMPRODUCT(('Training Detail'!$A$5:$A$5000=A107)*('Training Detail'!$M$5:$M$5000=Standards!A8)*('Training Detail'!$G$5:$G$5000&gt;=D107)*('Training Detail'!$G$5:$G$5000&lt;=E107)*('Training Detail'!$P$5:$P$5000)))</f>
        <v>0</v>
      </c>
      <c r="M107" s="16" t="n">
        <f aca="false">IF(OR(A107="",C107=""),"",SUMPRODUCT(('Training Detail'!$A$5:$A$5000=A107)*('Training Detail'!$M$5:$M$5000=Standards!A9)*('Training Detail'!$G$5:$G$5000&gt;=D107)*('Training Detail'!$G$5:$G$5000&lt;=E107)*('Training Detail'!$P$5:$P$5000)))</f>
        <v>1</v>
      </c>
      <c r="N107" s="17" t="str">
        <f aca="false">IF(A107="","",IF(C107="","Set exp date",IF(AND(F107&gt;=Requirements!B5,G107&gt;=Requirements!B6,H107&gt;=Requirements!B7,I107&gt;=Requirements!B8,J107&gt;=Requirements!B9,K107&gt;=Requirements!B10,L107&gt;=Requirements!B11,M107&gt;=Requirements!B12),"Met","Short")))</f>
        <v>Short</v>
      </c>
      <c r="O107" s="18" t="str">
        <f aca="false">IF(OR(A107="",C107=""),"",IF(N107="Met","",IF(F107&lt;Requirements!B5,Requirements!A5&amp;" "&amp;TEXT(Requirements!B5-F107,"0.##")&amp;"; ","")&amp;IF(G107&lt;Requirements!B6,Requirements!A6&amp;" "&amp;TEXT(Requirements!B6-G107,"0.##")&amp;"; ","")&amp;IF(H107&lt;Requirements!B7,Requirements!A7&amp;" "&amp;TEXT(Requirements!B7-H107,"0.##")&amp;"; ","")&amp;IF(I107&lt;Requirements!B8,Requirements!A8&amp;" "&amp;TEXT(Requirements!B8-I107,"0.##")&amp;"; ","")&amp;IF(J107&lt;Requirements!B9,Requirements!A9&amp;" "&amp;TEXT(Requirements!B9-J107,"0.##")&amp;"; ","")&amp;IF(K107&lt;Requirements!B10,Requirements!A10&amp;" "&amp;TEXT(Requirements!B10-K107,"0.##")&amp;"; ","")&amp;IF(L107&lt;Requirements!B11,Requirements!A11&amp;" "&amp;TEXT(Requirements!B11-L107,"0.##")&amp;"; ","")&amp;IF(M107&lt;Requirements!B12,Requirements!A12&amp;" "&amp;TEXT(Requirements!B12-M107,"0.##")&amp;"; ","")))</f>
        <v>Airway 2; Cardiovascular 5; PAHT 1; SVAT 1; </v>
      </c>
    </row>
    <row r="108" customFormat="false" ht="15" hidden="false" customHeight="true" outlineLevel="0" collapsed="false">
      <c r="A108" s="11" t="s">
        <v>201</v>
      </c>
      <c r="B108" s="12" t="s">
        <v>202</v>
      </c>
      <c r="C108" s="13" t="n">
        <v>46387</v>
      </c>
      <c r="D108" s="14" t="n">
        <f aca="false">IF(C108="","",DATE(YEAR(C108)-1,1,1))</f>
        <v>45658</v>
      </c>
      <c r="E108" s="14" t="n">
        <f aca="false">IF(C108="","",DATE(YEAR(C108),12,31))</f>
        <v>46387</v>
      </c>
      <c r="F108" s="15" t="n">
        <f aca="false">IF(OR(A108="",C108=""),"",SUMPRODUCT(('Training Detail'!$A$5:$A$5000=A108)*('Training Detail'!$M$5:$M$5000=Standards!A2)*('Training Detail'!$G$5:$G$5000&gt;=D108)*('Training Detail'!$G$5:$G$5000&lt;=E108)*('Training Detail'!$P$5:$P$5000)))</f>
        <v>3</v>
      </c>
      <c r="G108" s="15" t="n">
        <f aca="false">IF(OR(A108="",C108=""),"",SUMPRODUCT(('Training Detail'!$A$5:$A$5000=A108)*('Training Detail'!$M$5:$M$5000=Standards!A3)*('Training Detail'!$G$5:$G$5000&gt;=D108)*('Training Detail'!$G$5:$G$5000&lt;=E108)*('Training Detail'!$P$5:$P$5000)))</f>
        <v>0</v>
      </c>
      <c r="H108" s="15" t="n">
        <f aca="false">IF(OR(A108="",C108=""),"",SUMPRODUCT(('Training Detail'!$A$5:$A$5000=A108)*('Training Detail'!$M$5:$M$5000=Standards!A4)*('Training Detail'!$G$5:$G$5000&gt;=D108)*('Training Detail'!$G$5:$G$5000&lt;=E108)*('Training Detail'!$P$5:$P$5000)))</f>
        <v>2</v>
      </c>
      <c r="I108" s="15" t="n">
        <f aca="false">IF(OR(A108="",C108=""),"",SUMPRODUCT(('Training Detail'!$A$5:$A$5000=A108)*('Training Detail'!$M$5:$M$5000=Standards!A5)*('Training Detail'!$G$5:$G$5000&gt;=D108)*('Training Detail'!$G$5:$G$5000&lt;=E108)*('Training Detail'!$P$5:$P$5000)))</f>
        <v>6</v>
      </c>
      <c r="J108" s="15" t="n">
        <f aca="false">IF(OR(A108="",C108=""),"",SUMPRODUCT(('Training Detail'!$A$5:$A$5000=A108)*('Training Detail'!$M$5:$M$5000=Standards!A6)*('Training Detail'!$G$5:$G$5000&gt;=D108)*('Training Detail'!$G$5:$G$5000&lt;=E108)*('Training Detail'!$P$5:$P$5000)))</f>
        <v>4</v>
      </c>
      <c r="K108" s="15" t="n">
        <f aca="false">IF(OR(A108="",C108=""),"",SUMPRODUCT(('Training Detail'!$A$5:$A$5000=A108)*('Training Detail'!$M$5:$M$5000=Standards!A7)*('Training Detail'!$G$5:$G$5000&gt;=D108)*('Training Detail'!$G$5:$G$5000&lt;=E108)*('Training Detail'!$P$5:$P$5000)))</f>
        <v>0</v>
      </c>
      <c r="L108" s="15" t="n">
        <f aca="false">IF(OR(A108="",C108=""),"",SUMPRODUCT(('Training Detail'!$A$5:$A$5000=A108)*('Training Detail'!$M$5:$M$5000=Standards!A8)*('Training Detail'!$G$5:$G$5000&gt;=D108)*('Training Detail'!$G$5:$G$5000&lt;=E108)*('Training Detail'!$P$5:$P$5000)))</f>
        <v>0</v>
      </c>
      <c r="M108" s="16" t="n">
        <f aca="false">IF(OR(A108="",C108=""),"",SUMPRODUCT(('Training Detail'!$A$5:$A$5000=A108)*('Training Detail'!$M$5:$M$5000=Standards!A9)*('Training Detail'!$G$5:$G$5000&gt;=D108)*('Training Detail'!$G$5:$G$5000&lt;=E108)*('Training Detail'!$P$5:$P$5000)))</f>
        <v>1</v>
      </c>
      <c r="N108" s="17" t="str">
        <f aca="false">IF(A108="","",IF(C108="","Set exp date",IF(AND(F108&gt;=Requirements!B5,G108&gt;=Requirements!B6,H108&gt;=Requirements!B7,I108&gt;=Requirements!B8,J108&gt;=Requirements!B9,K108&gt;=Requirements!B10,L108&gt;=Requirements!B11,M108&gt;=Requirements!B12),"Met","Short")))</f>
        <v>Short</v>
      </c>
      <c r="O108" s="18" t="str">
        <f aca="false">IF(OR(A108="",C108=""),"",IF(N108="Met","",IF(F108&lt;Requirements!B5,Requirements!A5&amp;" "&amp;TEXT(Requirements!B5-F108,"0.##")&amp;"; ","")&amp;IF(G108&lt;Requirements!B6,Requirements!A6&amp;" "&amp;TEXT(Requirements!B6-G108,"0.##")&amp;"; ","")&amp;IF(H108&lt;Requirements!B7,Requirements!A7&amp;" "&amp;TEXT(Requirements!B7-H108,"0.##")&amp;"; ","")&amp;IF(I108&lt;Requirements!B8,Requirements!A8&amp;" "&amp;TEXT(Requirements!B8-I108,"0.##")&amp;"; ","")&amp;IF(J108&lt;Requirements!B9,Requirements!A9&amp;" "&amp;TEXT(Requirements!B9-J108,"0.##")&amp;"; ","")&amp;IF(K108&lt;Requirements!B10,Requirements!A10&amp;" "&amp;TEXT(Requirements!B10-K108,"0.##")&amp;"; ","")&amp;IF(L108&lt;Requirements!B11,Requirements!A11&amp;" "&amp;TEXT(Requirements!B11-L108,"0.##")&amp;"; ","")&amp;IF(M108&lt;Requirements!B12,Requirements!A12&amp;" "&amp;TEXT(Requirements!B12-M108,"0.##")&amp;"; ","")))</f>
        <v>Airway 1; Cardiovascular 5; Trauma 1; PAHT 1; SVAT 1; </v>
      </c>
    </row>
    <row r="109" customFormat="false" ht="15" hidden="false" customHeight="true" outlineLevel="0" collapsed="false">
      <c r="A109" s="19" t="s">
        <v>203</v>
      </c>
      <c r="B109" s="20" t="s">
        <v>204</v>
      </c>
      <c r="C109" s="13" t="n">
        <v>46752</v>
      </c>
      <c r="D109" s="21" t="n">
        <f aca="false">IF(C109="","",DATE(YEAR(C109)-1,1,1))</f>
        <v>46023</v>
      </c>
      <c r="E109" s="21" t="n">
        <f aca="false">IF(C109="","",DATE(YEAR(C109),12,31))</f>
        <v>46752</v>
      </c>
      <c r="F109" s="15" t="n">
        <f aca="false">IF(OR(A109="",C109=""),"",SUMPRODUCT(('Training Detail'!$A$5:$A$5000=A109)*('Training Detail'!$M$5:$M$5000=Standards!A2)*('Training Detail'!$G$5:$G$5000&gt;=D109)*('Training Detail'!$G$5:$G$5000&lt;=E109)*('Training Detail'!$P$5:$P$5000)))</f>
        <v>1</v>
      </c>
      <c r="G109" s="15" t="n">
        <f aca="false">IF(OR(A109="",C109=""),"",SUMPRODUCT(('Training Detail'!$A$5:$A$5000=A109)*('Training Detail'!$M$5:$M$5000=Standards!A3)*('Training Detail'!$G$5:$G$5000&gt;=D109)*('Training Detail'!$G$5:$G$5000&lt;=E109)*('Training Detail'!$P$5:$P$5000)))</f>
        <v>0</v>
      </c>
      <c r="H109" s="15" t="n">
        <f aca="false">IF(OR(A109="",C109=""),"",SUMPRODUCT(('Training Detail'!$A$5:$A$5000=A109)*('Training Detail'!$M$5:$M$5000=Standards!A4)*('Training Detail'!$G$5:$G$5000&gt;=D109)*('Training Detail'!$G$5:$G$5000&lt;=E109)*('Training Detail'!$P$5:$P$5000)))</f>
        <v>1</v>
      </c>
      <c r="I109" s="15" t="n">
        <f aca="false">IF(OR(A109="",C109=""),"",SUMPRODUCT(('Training Detail'!$A$5:$A$5000=A109)*('Training Detail'!$M$5:$M$5000=Standards!A5)*('Training Detail'!$G$5:$G$5000&gt;=D109)*('Training Detail'!$G$5:$G$5000&lt;=E109)*('Training Detail'!$P$5:$P$5000)))</f>
        <v>5</v>
      </c>
      <c r="J109" s="15" t="n">
        <f aca="false">IF(OR(A109="",C109=""),"",SUMPRODUCT(('Training Detail'!$A$5:$A$5000=A109)*('Training Detail'!$M$5:$M$5000=Standards!A6)*('Training Detail'!$G$5:$G$5000&gt;=D109)*('Training Detail'!$G$5:$G$5000&lt;=E109)*('Training Detail'!$P$5:$P$5000)))</f>
        <v>1</v>
      </c>
      <c r="K109" s="15" t="n">
        <f aca="false">IF(OR(A109="",C109=""),"",SUMPRODUCT(('Training Detail'!$A$5:$A$5000=A109)*('Training Detail'!$M$5:$M$5000=Standards!A7)*('Training Detail'!$G$5:$G$5000&gt;=D109)*('Training Detail'!$G$5:$G$5000&lt;=E109)*('Training Detail'!$P$5:$P$5000)))</f>
        <v>0</v>
      </c>
      <c r="L109" s="15" t="n">
        <f aca="false">IF(OR(A109="",C109=""),"",SUMPRODUCT(('Training Detail'!$A$5:$A$5000=A109)*('Training Detail'!$M$5:$M$5000=Standards!A8)*('Training Detail'!$G$5:$G$5000&gt;=D109)*('Training Detail'!$G$5:$G$5000&lt;=E109)*('Training Detail'!$P$5:$P$5000)))</f>
        <v>0</v>
      </c>
      <c r="M109" s="16" t="n">
        <f aca="false">IF(OR(A109="",C109=""),"",SUMPRODUCT(('Training Detail'!$A$5:$A$5000=A109)*('Training Detail'!$M$5:$M$5000=Standards!A9)*('Training Detail'!$G$5:$G$5000&gt;=D109)*('Training Detail'!$G$5:$G$5000&lt;=E109)*('Training Detail'!$P$5:$P$5000)))</f>
        <v>0</v>
      </c>
      <c r="N109" s="17" t="str">
        <f aca="false">IF(A109="","",IF(C109="","Set exp date",IF(AND(F109&gt;=Requirements!B5,G109&gt;=Requirements!B6,H109&gt;=Requirements!B7,I109&gt;=Requirements!B8,J109&gt;=Requirements!B9,K109&gt;=Requirements!B10,L109&gt;=Requirements!B11,M109&gt;=Requirements!B12),"Met","Short")))</f>
        <v>Short</v>
      </c>
      <c r="O109" s="18" t="str">
        <f aca="false">IF(OR(A109="",C109=""),"",IF(N109="Met","",IF(F109&lt;Requirements!B5,Requirements!A5&amp;" "&amp;TEXT(Requirements!B5-F109,"0.##")&amp;"; ","")&amp;IF(G109&lt;Requirements!B6,Requirements!A6&amp;" "&amp;TEXT(Requirements!B6-G109,"0.##")&amp;"; ","")&amp;IF(H109&lt;Requirements!B7,Requirements!A7&amp;" "&amp;TEXT(Requirements!B7-H109,"0.##")&amp;"; ","")&amp;IF(I109&lt;Requirements!B8,Requirements!A8&amp;" "&amp;TEXT(Requirements!B8-I109,"0.##")&amp;"; ","")&amp;IF(J109&lt;Requirements!B9,Requirements!A9&amp;" "&amp;TEXT(Requirements!B9-J109,"0.##")&amp;"; ","")&amp;IF(K109&lt;Requirements!B10,Requirements!A10&amp;" "&amp;TEXT(Requirements!B10-K109,"0.##")&amp;"; ","")&amp;IF(L109&lt;Requirements!B11,Requirements!A11&amp;" "&amp;TEXT(Requirements!B11-L109,"0.##")&amp;"; ","")&amp;IF(M109&lt;Requirements!B12,Requirements!A12&amp;" "&amp;TEXT(Requirements!B12-M109,"0.##")&amp;"; ","")))</f>
        <v>Airway 3; Cardiovascular 5; Trauma 2; Medical 1; Operations 1; PAHT 1; SVAT 1; CPR/AED 1; </v>
      </c>
    </row>
    <row r="110" customFormat="false" ht="15" hidden="false" customHeight="true" outlineLevel="0" collapsed="false">
      <c r="A110" s="11" t="s">
        <v>205</v>
      </c>
      <c r="B110" s="12" t="s">
        <v>206</v>
      </c>
      <c r="C110" s="13" t="n">
        <v>46387</v>
      </c>
      <c r="D110" s="14" t="n">
        <f aca="false">IF(C110="","",DATE(YEAR(C110)-1,1,1))</f>
        <v>45658</v>
      </c>
      <c r="E110" s="14" t="n">
        <f aca="false">IF(C110="","",DATE(YEAR(C110),12,31))</f>
        <v>46387</v>
      </c>
      <c r="F110" s="15" t="n">
        <f aca="false">IF(OR(A110="",C110=""),"",SUMPRODUCT(('Training Detail'!$A$5:$A$5000=A110)*('Training Detail'!$M$5:$M$5000=Standards!A2)*('Training Detail'!$G$5:$G$5000&gt;=D110)*('Training Detail'!$G$5:$G$5000&lt;=E110)*('Training Detail'!$P$5:$P$5000)))</f>
        <v>1</v>
      </c>
      <c r="G110" s="15" t="n">
        <f aca="false">IF(OR(A110="",C110=""),"",SUMPRODUCT(('Training Detail'!$A$5:$A$5000=A110)*('Training Detail'!$M$5:$M$5000=Standards!A3)*('Training Detail'!$G$5:$G$5000&gt;=D110)*('Training Detail'!$G$5:$G$5000&lt;=E110)*('Training Detail'!$P$5:$P$5000)))</f>
        <v>3</v>
      </c>
      <c r="H110" s="15" t="n">
        <f aca="false">IF(OR(A110="",C110=""),"",SUMPRODUCT(('Training Detail'!$A$5:$A$5000=A110)*('Training Detail'!$M$5:$M$5000=Standards!A4)*('Training Detail'!$G$5:$G$5000&gt;=D110)*('Training Detail'!$G$5:$G$5000&lt;=E110)*('Training Detail'!$P$5:$P$5000)))</f>
        <v>5</v>
      </c>
      <c r="I110" s="15" t="n">
        <f aca="false">IF(OR(A110="",C110=""),"",SUMPRODUCT(('Training Detail'!$A$5:$A$5000=A110)*('Training Detail'!$M$5:$M$5000=Standards!A5)*('Training Detail'!$G$5:$G$5000&gt;=D110)*('Training Detail'!$G$5:$G$5000&lt;=E110)*('Training Detail'!$P$5:$P$5000)))</f>
        <v>6</v>
      </c>
      <c r="J110" s="15" t="n">
        <f aca="false">IF(OR(A110="",C110=""),"",SUMPRODUCT(('Training Detail'!$A$5:$A$5000=A110)*('Training Detail'!$M$5:$M$5000=Standards!A6)*('Training Detail'!$G$5:$G$5000&gt;=D110)*('Training Detail'!$G$5:$G$5000&lt;=E110)*('Training Detail'!$P$5:$P$5000)))</f>
        <v>5</v>
      </c>
      <c r="K110" s="15" t="n">
        <f aca="false">IF(OR(A110="",C110=""),"",SUMPRODUCT(('Training Detail'!$A$5:$A$5000=A110)*('Training Detail'!$M$5:$M$5000=Standards!A7)*('Training Detail'!$G$5:$G$5000&gt;=D110)*('Training Detail'!$G$5:$G$5000&lt;=E110)*('Training Detail'!$P$5:$P$5000)))</f>
        <v>0</v>
      </c>
      <c r="L110" s="15" t="n">
        <f aca="false">IF(OR(A110="",C110=""),"",SUMPRODUCT(('Training Detail'!$A$5:$A$5000=A110)*('Training Detail'!$M$5:$M$5000=Standards!A8)*('Training Detail'!$G$5:$G$5000&gt;=D110)*('Training Detail'!$G$5:$G$5000&lt;=E110)*('Training Detail'!$P$5:$P$5000)))</f>
        <v>0</v>
      </c>
      <c r="M110" s="16" t="n">
        <f aca="false">IF(OR(A110="",C110=""),"",SUMPRODUCT(('Training Detail'!$A$5:$A$5000=A110)*('Training Detail'!$M$5:$M$5000=Standards!A9)*('Training Detail'!$G$5:$G$5000&gt;=D110)*('Training Detail'!$G$5:$G$5000&lt;=E110)*('Training Detail'!$P$5:$P$5000)))</f>
        <v>1</v>
      </c>
      <c r="N110" s="17" t="str">
        <f aca="false">IF(A110="","",IF(C110="","Set exp date",IF(AND(F110&gt;=Requirements!B5,G110&gt;=Requirements!B6,H110&gt;=Requirements!B7,I110&gt;=Requirements!B8,J110&gt;=Requirements!B9,K110&gt;=Requirements!B10,L110&gt;=Requirements!B11,M110&gt;=Requirements!B12),"Met","Short")))</f>
        <v>Short</v>
      </c>
      <c r="O110" s="18" t="str">
        <f aca="false">IF(OR(A110="",C110=""),"",IF(N110="Met","",IF(F110&lt;Requirements!B5,Requirements!A5&amp;" "&amp;TEXT(Requirements!B5-F110,"0.##")&amp;"; ","")&amp;IF(G110&lt;Requirements!B6,Requirements!A6&amp;" "&amp;TEXT(Requirements!B6-G110,"0.##")&amp;"; ","")&amp;IF(H110&lt;Requirements!B7,Requirements!A7&amp;" "&amp;TEXT(Requirements!B7-H110,"0.##")&amp;"; ","")&amp;IF(I110&lt;Requirements!B8,Requirements!A8&amp;" "&amp;TEXT(Requirements!B8-I110,"0.##")&amp;"; ","")&amp;IF(J110&lt;Requirements!B9,Requirements!A9&amp;" "&amp;TEXT(Requirements!B9-J110,"0.##")&amp;"; ","")&amp;IF(K110&lt;Requirements!B10,Requirements!A10&amp;" "&amp;TEXT(Requirements!B10-K110,"0.##")&amp;"; ","")&amp;IF(L110&lt;Requirements!B11,Requirements!A11&amp;" "&amp;TEXT(Requirements!B11-L110,"0.##")&amp;"; ","")&amp;IF(M110&lt;Requirements!B12,Requirements!A12&amp;" "&amp;TEXT(Requirements!B12-M110,"0.##")&amp;"; ","")))</f>
        <v>Airway 3; Cardiovascular 2; PAHT 1; SVAT 1; </v>
      </c>
    </row>
    <row r="111" customFormat="false" ht="15" hidden="false" customHeight="true" outlineLevel="0" collapsed="false">
      <c r="A111" s="19" t="s">
        <v>207</v>
      </c>
      <c r="B111" s="20" t="s">
        <v>208</v>
      </c>
      <c r="C111" s="13" t="n">
        <v>46752</v>
      </c>
      <c r="D111" s="21" t="n">
        <f aca="false">IF(C111="","",DATE(YEAR(C111)-1,1,1))</f>
        <v>46023</v>
      </c>
      <c r="E111" s="21" t="n">
        <f aca="false">IF(C111="","",DATE(YEAR(C111),12,31))</f>
        <v>46752</v>
      </c>
      <c r="F111" s="15" t="n">
        <f aca="false">IF(OR(A111="",C111=""),"",SUMPRODUCT(('Training Detail'!$A$5:$A$5000=A111)*('Training Detail'!$M$5:$M$5000=Standards!A2)*('Training Detail'!$G$5:$G$5000&gt;=D111)*('Training Detail'!$G$5:$G$5000&lt;=E111)*('Training Detail'!$P$5:$P$5000)))</f>
        <v>0</v>
      </c>
      <c r="G111" s="15" t="n">
        <f aca="false">IF(OR(A111="",C111=""),"",SUMPRODUCT(('Training Detail'!$A$5:$A$5000=A111)*('Training Detail'!$M$5:$M$5000=Standards!A3)*('Training Detail'!$G$5:$G$5000&gt;=D111)*('Training Detail'!$G$5:$G$5000&lt;=E111)*('Training Detail'!$P$5:$P$5000)))</f>
        <v>0</v>
      </c>
      <c r="H111" s="15" t="n">
        <f aca="false">IF(OR(A111="",C111=""),"",SUMPRODUCT(('Training Detail'!$A$5:$A$5000=A111)*('Training Detail'!$M$5:$M$5000=Standards!A4)*('Training Detail'!$G$5:$G$5000&gt;=D111)*('Training Detail'!$G$5:$G$5000&lt;=E111)*('Training Detail'!$P$5:$P$5000)))</f>
        <v>8.5</v>
      </c>
      <c r="I111" s="15" t="n">
        <f aca="false">IF(OR(A111="",C111=""),"",SUMPRODUCT(('Training Detail'!$A$5:$A$5000=A111)*('Training Detail'!$M$5:$M$5000=Standards!A5)*('Training Detail'!$G$5:$G$5000&gt;=D111)*('Training Detail'!$G$5:$G$5000&lt;=E111)*('Training Detail'!$P$5:$P$5000)))</f>
        <v>1</v>
      </c>
      <c r="J111" s="15" t="n">
        <f aca="false">IF(OR(A111="",C111=""),"",SUMPRODUCT(('Training Detail'!$A$5:$A$5000=A111)*('Training Detail'!$M$5:$M$5000=Standards!A6)*('Training Detail'!$G$5:$G$5000&gt;=D111)*('Training Detail'!$G$5:$G$5000&lt;=E111)*('Training Detail'!$P$5:$P$5000)))</f>
        <v>0</v>
      </c>
      <c r="K111" s="15" t="n">
        <f aca="false">IF(OR(A111="",C111=""),"",SUMPRODUCT(('Training Detail'!$A$5:$A$5000=A111)*('Training Detail'!$M$5:$M$5000=Standards!A7)*('Training Detail'!$G$5:$G$5000&gt;=D111)*('Training Detail'!$G$5:$G$5000&lt;=E111)*('Training Detail'!$P$5:$P$5000)))</f>
        <v>0</v>
      </c>
      <c r="L111" s="15" t="n">
        <f aca="false">IF(OR(A111="",C111=""),"",SUMPRODUCT(('Training Detail'!$A$5:$A$5000=A111)*('Training Detail'!$M$5:$M$5000=Standards!A8)*('Training Detail'!$G$5:$G$5000&gt;=D111)*('Training Detail'!$G$5:$G$5000&lt;=E111)*('Training Detail'!$P$5:$P$5000)))</f>
        <v>0</v>
      </c>
      <c r="M111" s="16" t="n">
        <f aca="false">IF(OR(A111="",C111=""),"",SUMPRODUCT(('Training Detail'!$A$5:$A$5000=A111)*('Training Detail'!$M$5:$M$5000=Standards!A9)*('Training Detail'!$G$5:$G$5000&gt;=D111)*('Training Detail'!$G$5:$G$5000&lt;=E111)*('Training Detail'!$P$5:$P$5000)))</f>
        <v>0</v>
      </c>
      <c r="N111" s="17" t="str">
        <f aca="false">IF(A111="","",IF(C111="","Set exp date",IF(AND(F111&gt;=Requirements!B5,G111&gt;=Requirements!B6,H111&gt;=Requirements!B7,I111&gt;=Requirements!B8,J111&gt;=Requirements!B9,K111&gt;=Requirements!B10,L111&gt;=Requirements!B11,M111&gt;=Requirements!B12),"Met","Short")))</f>
        <v>Short</v>
      </c>
      <c r="O111" s="18" t="str">
        <f aca="false">IF(OR(A111="",C111=""),"",IF(N111="Met","",IF(F111&lt;Requirements!B5,Requirements!A5&amp;" "&amp;TEXT(Requirements!B5-F111,"0.##")&amp;"; ","")&amp;IF(G111&lt;Requirements!B6,Requirements!A6&amp;" "&amp;TEXT(Requirements!B6-G111,"0.##")&amp;"; ","")&amp;IF(H111&lt;Requirements!B7,Requirements!A7&amp;" "&amp;TEXT(Requirements!B7-H111,"0.##")&amp;"; ","")&amp;IF(I111&lt;Requirements!B8,Requirements!A8&amp;" "&amp;TEXT(Requirements!B8-I111,"0.##")&amp;"; ","")&amp;IF(J111&lt;Requirements!B9,Requirements!A9&amp;" "&amp;TEXT(Requirements!B9-J111,"0.##")&amp;"; ","")&amp;IF(K111&lt;Requirements!B10,Requirements!A10&amp;" "&amp;TEXT(Requirements!B10-K111,"0.##")&amp;"; ","")&amp;IF(L111&lt;Requirements!B11,Requirements!A11&amp;" "&amp;TEXT(Requirements!B11-L111,"0.##")&amp;"; ","")&amp;IF(M111&lt;Requirements!B12,Requirements!A12&amp;" "&amp;TEXT(Requirements!B12-M111,"0.##")&amp;"; ","")))</f>
        <v>Airway 4; Cardiovascular 5; Medical 5; Operations 2; PAHT 1; SVAT 1; CPR/AED 1; </v>
      </c>
    </row>
    <row r="112" customFormat="false" ht="15" hidden="false" customHeight="true" outlineLevel="0" collapsed="false">
      <c r="A112" s="11" t="s">
        <v>209</v>
      </c>
      <c r="B112" s="12" t="s">
        <v>210</v>
      </c>
      <c r="C112" s="13" t="n">
        <v>46752</v>
      </c>
      <c r="D112" s="14" t="n">
        <f aca="false">IF(C112="","",DATE(YEAR(C112)-1,1,1))</f>
        <v>46023</v>
      </c>
      <c r="E112" s="14" t="n">
        <f aca="false">IF(C112="","",DATE(YEAR(C112),12,31))</f>
        <v>46752</v>
      </c>
      <c r="F112" s="15" t="n">
        <f aca="false">IF(OR(A112="",C112=""),"",SUMPRODUCT(('Training Detail'!$A$5:$A$5000=A112)*('Training Detail'!$M$5:$M$5000=Standards!A2)*('Training Detail'!$G$5:$G$5000&gt;=D112)*('Training Detail'!$G$5:$G$5000&lt;=E112)*('Training Detail'!$P$5:$P$5000)))</f>
        <v>0</v>
      </c>
      <c r="G112" s="15" t="n">
        <f aca="false">IF(OR(A112="",C112=""),"",SUMPRODUCT(('Training Detail'!$A$5:$A$5000=A112)*('Training Detail'!$M$5:$M$5000=Standards!A3)*('Training Detail'!$G$5:$G$5000&gt;=D112)*('Training Detail'!$G$5:$G$5000&lt;=E112)*('Training Detail'!$P$5:$P$5000)))</f>
        <v>0</v>
      </c>
      <c r="H112" s="15" t="n">
        <f aca="false">IF(OR(A112="",C112=""),"",SUMPRODUCT(('Training Detail'!$A$5:$A$5000=A112)*('Training Detail'!$M$5:$M$5000=Standards!A4)*('Training Detail'!$G$5:$G$5000&gt;=D112)*('Training Detail'!$G$5:$G$5000&lt;=E112)*('Training Detail'!$P$5:$P$5000)))</f>
        <v>0</v>
      </c>
      <c r="I112" s="15" t="n">
        <f aca="false">IF(OR(A112="",C112=""),"",SUMPRODUCT(('Training Detail'!$A$5:$A$5000=A112)*('Training Detail'!$M$5:$M$5000=Standards!A5)*('Training Detail'!$G$5:$G$5000&gt;=D112)*('Training Detail'!$G$5:$G$5000&lt;=E112)*('Training Detail'!$P$5:$P$5000)))</f>
        <v>1</v>
      </c>
      <c r="J112" s="15" t="n">
        <f aca="false">IF(OR(A112="",C112=""),"",SUMPRODUCT(('Training Detail'!$A$5:$A$5000=A112)*('Training Detail'!$M$5:$M$5000=Standards!A6)*('Training Detail'!$G$5:$G$5000&gt;=D112)*('Training Detail'!$G$5:$G$5000&lt;=E112)*('Training Detail'!$P$5:$P$5000)))</f>
        <v>2</v>
      </c>
      <c r="K112" s="15" t="n">
        <f aca="false">IF(OR(A112="",C112=""),"",SUMPRODUCT(('Training Detail'!$A$5:$A$5000=A112)*('Training Detail'!$M$5:$M$5000=Standards!A7)*('Training Detail'!$G$5:$G$5000&gt;=D112)*('Training Detail'!$G$5:$G$5000&lt;=E112)*('Training Detail'!$P$5:$P$5000)))</f>
        <v>0</v>
      </c>
      <c r="L112" s="15" t="n">
        <f aca="false">IF(OR(A112="",C112=""),"",SUMPRODUCT(('Training Detail'!$A$5:$A$5000=A112)*('Training Detail'!$M$5:$M$5000=Standards!A8)*('Training Detail'!$G$5:$G$5000&gt;=D112)*('Training Detail'!$G$5:$G$5000&lt;=E112)*('Training Detail'!$P$5:$P$5000)))</f>
        <v>0</v>
      </c>
      <c r="M112" s="16" t="n">
        <f aca="false">IF(OR(A112="",C112=""),"",SUMPRODUCT(('Training Detail'!$A$5:$A$5000=A112)*('Training Detail'!$M$5:$M$5000=Standards!A9)*('Training Detail'!$G$5:$G$5000&gt;=D112)*('Training Detail'!$G$5:$G$5000&lt;=E112)*('Training Detail'!$P$5:$P$5000)))</f>
        <v>0</v>
      </c>
      <c r="N112" s="17" t="str">
        <f aca="false">IF(A112="","",IF(C112="","Set exp date",IF(AND(F112&gt;=Requirements!B5,G112&gt;=Requirements!B6,H112&gt;=Requirements!B7,I112&gt;=Requirements!B8,J112&gt;=Requirements!B9,K112&gt;=Requirements!B10,L112&gt;=Requirements!B11,M112&gt;=Requirements!B12),"Met","Short")))</f>
        <v>Short</v>
      </c>
      <c r="O112" s="18" t="str">
        <f aca="false">IF(OR(A112="",C112=""),"",IF(N112="Met","",IF(F112&lt;Requirements!B5,Requirements!A5&amp;" "&amp;TEXT(Requirements!B5-F112,"0.##")&amp;"; ","")&amp;IF(G112&lt;Requirements!B6,Requirements!A6&amp;" "&amp;TEXT(Requirements!B6-G112,"0.##")&amp;"; ","")&amp;IF(H112&lt;Requirements!B7,Requirements!A7&amp;" "&amp;TEXT(Requirements!B7-H112,"0.##")&amp;"; ","")&amp;IF(I112&lt;Requirements!B8,Requirements!A8&amp;" "&amp;TEXT(Requirements!B8-I112,"0.##")&amp;"; ","")&amp;IF(J112&lt;Requirements!B9,Requirements!A9&amp;" "&amp;TEXT(Requirements!B9-J112,"0.##")&amp;"; ","")&amp;IF(K112&lt;Requirements!B10,Requirements!A10&amp;" "&amp;TEXT(Requirements!B10-K112,"0.##")&amp;"; ","")&amp;IF(L112&lt;Requirements!B11,Requirements!A11&amp;" "&amp;TEXT(Requirements!B11-L112,"0.##")&amp;"; ","")&amp;IF(M112&lt;Requirements!B12,Requirements!A12&amp;" "&amp;TEXT(Requirements!B12-M112,"0.##")&amp;"; ","")))</f>
        <v>Airway 4; Cardiovascular 5; Trauma 3; Medical 5; PAHT 1; SVAT 1; CPR/AED 1; </v>
      </c>
    </row>
    <row r="113" customFormat="false" ht="15" hidden="false" customHeight="true" outlineLevel="0" collapsed="false">
      <c r="A113" s="19" t="s">
        <v>211</v>
      </c>
      <c r="B113" s="20" t="s">
        <v>212</v>
      </c>
      <c r="C113" s="13" t="n">
        <v>46752</v>
      </c>
      <c r="D113" s="21" t="n">
        <f aca="false">IF(C113="","",DATE(YEAR(C113)-1,1,1))</f>
        <v>46023</v>
      </c>
      <c r="E113" s="21" t="n">
        <f aca="false">IF(C113="","",DATE(YEAR(C113),12,31))</f>
        <v>46752</v>
      </c>
      <c r="F113" s="15" t="n">
        <f aca="false">IF(OR(A113="",C113=""),"",SUMPRODUCT(('Training Detail'!$A$5:$A$5000=A113)*('Training Detail'!$M$5:$M$5000=Standards!A2)*('Training Detail'!$G$5:$G$5000&gt;=D113)*('Training Detail'!$G$5:$G$5000&lt;=E113)*('Training Detail'!$P$5:$P$5000)))</f>
        <v>0</v>
      </c>
      <c r="G113" s="15" t="n">
        <f aca="false">IF(OR(A113="",C113=""),"",SUMPRODUCT(('Training Detail'!$A$5:$A$5000=A113)*('Training Detail'!$M$5:$M$5000=Standards!A3)*('Training Detail'!$G$5:$G$5000&gt;=D113)*('Training Detail'!$G$5:$G$5000&lt;=E113)*('Training Detail'!$P$5:$P$5000)))</f>
        <v>0</v>
      </c>
      <c r="H113" s="15" t="n">
        <f aca="false">IF(OR(A113="",C113=""),"",SUMPRODUCT(('Training Detail'!$A$5:$A$5000=A113)*('Training Detail'!$M$5:$M$5000=Standards!A4)*('Training Detail'!$G$5:$G$5000&gt;=D113)*('Training Detail'!$G$5:$G$5000&lt;=E113)*('Training Detail'!$P$5:$P$5000)))</f>
        <v>3</v>
      </c>
      <c r="I113" s="15" t="n">
        <f aca="false">IF(OR(A113="",C113=""),"",SUMPRODUCT(('Training Detail'!$A$5:$A$5000=A113)*('Training Detail'!$M$5:$M$5000=Standards!A5)*('Training Detail'!$G$5:$G$5000&gt;=D113)*('Training Detail'!$G$5:$G$5000&lt;=E113)*('Training Detail'!$P$5:$P$5000)))</f>
        <v>0</v>
      </c>
      <c r="J113" s="15" t="n">
        <f aca="false">IF(OR(A113="",C113=""),"",SUMPRODUCT(('Training Detail'!$A$5:$A$5000=A113)*('Training Detail'!$M$5:$M$5000=Standards!A6)*('Training Detail'!$G$5:$G$5000&gt;=D113)*('Training Detail'!$G$5:$G$5000&lt;=E113)*('Training Detail'!$P$5:$P$5000)))</f>
        <v>1</v>
      </c>
      <c r="K113" s="15" t="n">
        <f aca="false">IF(OR(A113="",C113=""),"",SUMPRODUCT(('Training Detail'!$A$5:$A$5000=A113)*('Training Detail'!$M$5:$M$5000=Standards!A7)*('Training Detail'!$G$5:$G$5000&gt;=D113)*('Training Detail'!$G$5:$G$5000&lt;=E113)*('Training Detail'!$P$5:$P$5000)))</f>
        <v>0</v>
      </c>
      <c r="L113" s="15" t="n">
        <f aca="false">IF(OR(A113="",C113=""),"",SUMPRODUCT(('Training Detail'!$A$5:$A$5000=A113)*('Training Detail'!$M$5:$M$5000=Standards!A8)*('Training Detail'!$G$5:$G$5000&gt;=D113)*('Training Detail'!$G$5:$G$5000&lt;=E113)*('Training Detail'!$P$5:$P$5000)))</f>
        <v>0</v>
      </c>
      <c r="M113" s="16" t="n">
        <f aca="false">IF(OR(A113="",C113=""),"",SUMPRODUCT(('Training Detail'!$A$5:$A$5000=A113)*('Training Detail'!$M$5:$M$5000=Standards!A9)*('Training Detail'!$G$5:$G$5000&gt;=D113)*('Training Detail'!$G$5:$G$5000&lt;=E113)*('Training Detail'!$P$5:$P$5000)))</f>
        <v>0</v>
      </c>
      <c r="N113" s="17" t="str">
        <f aca="false">IF(A113="","",IF(C113="","Set exp date",IF(AND(F113&gt;=Requirements!B5,G113&gt;=Requirements!B6,H113&gt;=Requirements!B7,I113&gt;=Requirements!B8,J113&gt;=Requirements!B9,K113&gt;=Requirements!B10,L113&gt;=Requirements!B11,M113&gt;=Requirements!B12),"Met","Short")))</f>
        <v>Short</v>
      </c>
      <c r="O113" s="18" t="str">
        <f aca="false">IF(OR(A113="",C113=""),"",IF(N113="Met","",IF(F113&lt;Requirements!B5,Requirements!A5&amp;" "&amp;TEXT(Requirements!B5-F113,"0.##")&amp;"; ","")&amp;IF(G113&lt;Requirements!B6,Requirements!A6&amp;" "&amp;TEXT(Requirements!B6-G113,"0.##")&amp;"; ","")&amp;IF(H113&lt;Requirements!B7,Requirements!A7&amp;" "&amp;TEXT(Requirements!B7-H113,"0.##")&amp;"; ","")&amp;IF(I113&lt;Requirements!B8,Requirements!A8&amp;" "&amp;TEXT(Requirements!B8-I113,"0.##")&amp;"; ","")&amp;IF(J113&lt;Requirements!B9,Requirements!A9&amp;" "&amp;TEXT(Requirements!B9-J113,"0.##")&amp;"; ","")&amp;IF(K113&lt;Requirements!B10,Requirements!A10&amp;" "&amp;TEXT(Requirements!B10-K113,"0.##")&amp;"; ","")&amp;IF(L113&lt;Requirements!B11,Requirements!A11&amp;" "&amp;TEXT(Requirements!B11-L113,"0.##")&amp;"; ","")&amp;IF(M113&lt;Requirements!B12,Requirements!A12&amp;" "&amp;TEXT(Requirements!B12-M113,"0.##")&amp;"; ","")))</f>
        <v>Airway 4; Cardiovascular 5; Medical 6; Operations 1; PAHT 1; SVAT 1; CPR/AED 1; </v>
      </c>
    </row>
    <row r="114" customFormat="false" ht="15" hidden="false" customHeight="true" outlineLevel="0" collapsed="false">
      <c r="A114" s="11" t="s">
        <v>213</v>
      </c>
      <c r="B114" s="12" t="s">
        <v>214</v>
      </c>
      <c r="C114" s="13" t="n">
        <v>46387</v>
      </c>
      <c r="D114" s="14" t="n">
        <f aca="false">IF(C114="","",DATE(YEAR(C114)-1,1,1))</f>
        <v>45658</v>
      </c>
      <c r="E114" s="14" t="n">
        <f aca="false">IF(C114="","",DATE(YEAR(C114),12,31))</f>
        <v>46387</v>
      </c>
      <c r="F114" s="15" t="n">
        <f aca="false">IF(OR(A114="",C114=""),"",SUMPRODUCT(('Training Detail'!$A$5:$A$5000=A114)*('Training Detail'!$M$5:$M$5000=Standards!A2)*('Training Detail'!$G$5:$G$5000&gt;=D114)*('Training Detail'!$G$5:$G$5000&lt;=E114)*('Training Detail'!$P$5:$P$5000)))</f>
        <v>0</v>
      </c>
      <c r="G114" s="15" t="n">
        <f aca="false">IF(OR(A114="",C114=""),"",SUMPRODUCT(('Training Detail'!$A$5:$A$5000=A114)*('Training Detail'!$M$5:$M$5000=Standards!A3)*('Training Detail'!$G$5:$G$5000&gt;=D114)*('Training Detail'!$G$5:$G$5000&lt;=E114)*('Training Detail'!$P$5:$P$5000)))</f>
        <v>1.5</v>
      </c>
      <c r="H114" s="15" t="n">
        <f aca="false">IF(OR(A114="",C114=""),"",SUMPRODUCT(('Training Detail'!$A$5:$A$5000=A114)*('Training Detail'!$M$5:$M$5000=Standards!A4)*('Training Detail'!$G$5:$G$5000&gt;=D114)*('Training Detail'!$G$5:$G$5000&lt;=E114)*('Training Detail'!$P$5:$P$5000)))</f>
        <v>3</v>
      </c>
      <c r="I114" s="15" t="n">
        <f aca="false">IF(OR(A114="",C114=""),"",SUMPRODUCT(('Training Detail'!$A$5:$A$5000=A114)*('Training Detail'!$M$5:$M$5000=Standards!A5)*('Training Detail'!$G$5:$G$5000&gt;=D114)*('Training Detail'!$G$5:$G$5000&lt;=E114)*('Training Detail'!$P$5:$P$5000)))</f>
        <v>4.5</v>
      </c>
      <c r="J114" s="15" t="n">
        <f aca="false">IF(OR(A114="",C114=""),"",SUMPRODUCT(('Training Detail'!$A$5:$A$5000=A114)*('Training Detail'!$M$5:$M$5000=Standards!A6)*('Training Detail'!$G$5:$G$5000&gt;=D114)*('Training Detail'!$G$5:$G$5000&lt;=E114)*('Training Detail'!$P$5:$P$5000)))</f>
        <v>5</v>
      </c>
      <c r="K114" s="15" t="n">
        <f aca="false">IF(OR(A114="",C114=""),"",SUMPRODUCT(('Training Detail'!$A$5:$A$5000=A114)*('Training Detail'!$M$5:$M$5000=Standards!A7)*('Training Detail'!$G$5:$G$5000&gt;=D114)*('Training Detail'!$G$5:$G$5000&lt;=E114)*('Training Detail'!$P$5:$P$5000)))</f>
        <v>0</v>
      </c>
      <c r="L114" s="15" t="n">
        <f aca="false">IF(OR(A114="",C114=""),"",SUMPRODUCT(('Training Detail'!$A$5:$A$5000=A114)*('Training Detail'!$M$5:$M$5000=Standards!A8)*('Training Detail'!$G$5:$G$5000&gt;=D114)*('Training Detail'!$G$5:$G$5000&lt;=E114)*('Training Detail'!$P$5:$P$5000)))</f>
        <v>0</v>
      </c>
      <c r="M114" s="16" t="n">
        <f aca="false">IF(OR(A114="",C114=""),"",SUMPRODUCT(('Training Detail'!$A$5:$A$5000=A114)*('Training Detail'!$M$5:$M$5000=Standards!A9)*('Training Detail'!$G$5:$G$5000&gt;=D114)*('Training Detail'!$G$5:$G$5000&lt;=E114)*('Training Detail'!$P$5:$P$5000)))</f>
        <v>0</v>
      </c>
      <c r="N114" s="17" t="str">
        <f aca="false">IF(A114="","",IF(C114="","Set exp date",IF(AND(F114&gt;=Requirements!B5,G114&gt;=Requirements!B6,H114&gt;=Requirements!B7,I114&gt;=Requirements!B8,J114&gt;=Requirements!B9,K114&gt;=Requirements!B10,L114&gt;=Requirements!B11,M114&gt;=Requirements!B12),"Met","Short")))</f>
        <v>Short</v>
      </c>
      <c r="O114" s="18" t="str">
        <f aca="false">IF(OR(A114="",C114=""),"",IF(N114="Met","",IF(F114&lt;Requirements!B5,Requirements!A5&amp;" "&amp;TEXT(Requirements!B5-F114,"0.##")&amp;"; ","")&amp;IF(G114&lt;Requirements!B6,Requirements!A6&amp;" "&amp;TEXT(Requirements!B6-G114,"0.##")&amp;"; ","")&amp;IF(H114&lt;Requirements!B7,Requirements!A7&amp;" "&amp;TEXT(Requirements!B7-H114,"0.##")&amp;"; ","")&amp;IF(I114&lt;Requirements!B8,Requirements!A8&amp;" "&amp;TEXT(Requirements!B8-I114,"0.##")&amp;"; ","")&amp;IF(J114&lt;Requirements!B9,Requirements!A9&amp;" "&amp;TEXT(Requirements!B9-J114,"0.##")&amp;"; ","")&amp;IF(K114&lt;Requirements!B10,Requirements!A10&amp;" "&amp;TEXT(Requirements!B10-K114,"0.##")&amp;"; ","")&amp;IF(L114&lt;Requirements!B11,Requirements!A11&amp;" "&amp;TEXT(Requirements!B11-L114,"0.##")&amp;"; ","")&amp;IF(M114&lt;Requirements!B12,Requirements!A12&amp;" "&amp;TEXT(Requirements!B12-M114,"0.##")&amp;"; ","")))</f>
        <v>Airway 4; Cardiovascular 3.5; Medical 1.5; PAHT 1; SVAT 1; CPR/AED 1; </v>
      </c>
    </row>
    <row r="115" customFormat="false" ht="15" hidden="false" customHeight="true" outlineLevel="0" collapsed="false">
      <c r="A115" s="19" t="s">
        <v>215</v>
      </c>
      <c r="B115" s="20" t="s">
        <v>216</v>
      </c>
      <c r="C115" s="13" t="n">
        <v>46387</v>
      </c>
      <c r="D115" s="21" t="n">
        <f aca="false">IF(C115="","",DATE(YEAR(C115)-1,1,1))</f>
        <v>45658</v>
      </c>
      <c r="E115" s="21" t="n">
        <f aca="false">IF(C115="","",DATE(YEAR(C115),12,31))</f>
        <v>46387</v>
      </c>
      <c r="F115" s="15" t="n">
        <f aca="false">IF(OR(A115="",C115=""),"",SUMPRODUCT(('Training Detail'!$A$5:$A$5000=A115)*('Training Detail'!$M$5:$M$5000=Standards!A2)*('Training Detail'!$G$5:$G$5000&gt;=D115)*('Training Detail'!$G$5:$G$5000&lt;=E115)*('Training Detail'!$P$5:$P$5000)))</f>
        <v>0</v>
      </c>
      <c r="G115" s="15" t="n">
        <f aca="false">IF(OR(A115="",C115=""),"",SUMPRODUCT(('Training Detail'!$A$5:$A$5000=A115)*('Training Detail'!$M$5:$M$5000=Standards!A3)*('Training Detail'!$G$5:$G$5000&gt;=D115)*('Training Detail'!$G$5:$G$5000&lt;=E115)*('Training Detail'!$P$5:$P$5000)))</f>
        <v>0</v>
      </c>
      <c r="H115" s="15" t="n">
        <f aca="false">IF(OR(A115="",C115=""),"",SUMPRODUCT(('Training Detail'!$A$5:$A$5000=A115)*('Training Detail'!$M$5:$M$5000=Standards!A4)*('Training Detail'!$G$5:$G$5000&gt;=D115)*('Training Detail'!$G$5:$G$5000&lt;=E115)*('Training Detail'!$P$5:$P$5000)))</f>
        <v>10</v>
      </c>
      <c r="I115" s="15" t="n">
        <f aca="false">IF(OR(A115="",C115=""),"",SUMPRODUCT(('Training Detail'!$A$5:$A$5000=A115)*('Training Detail'!$M$5:$M$5000=Standards!A5)*('Training Detail'!$G$5:$G$5000&gt;=D115)*('Training Detail'!$G$5:$G$5000&lt;=E115)*('Training Detail'!$P$5:$P$5000)))</f>
        <v>3.5</v>
      </c>
      <c r="J115" s="15" t="n">
        <f aca="false">IF(OR(A115="",C115=""),"",SUMPRODUCT(('Training Detail'!$A$5:$A$5000=A115)*('Training Detail'!$M$5:$M$5000=Standards!A6)*('Training Detail'!$G$5:$G$5000&gt;=D115)*('Training Detail'!$G$5:$G$5000&lt;=E115)*('Training Detail'!$P$5:$P$5000)))</f>
        <v>3</v>
      </c>
      <c r="K115" s="15" t="n">
        <f aca="false">IF(OR(A115="",C115=""),"",SUMPRODUCT(('Training Detail'!$A$5:$A$5000=A115)*('Training Detail'!$M$5:$M$5000=Standards!A7)*('Training Detail'!$G$5:$G$5000&gt;=D115)*('Training Detail'!$G$5:$G$5000&lt;=E115)*('Training Detail'!$P$5:$P$5000)))</f>
        <v>0</v>
      </c>
      <c r="L115" s="15" t="n">
        <f aca="false">IF(OR(A115="",C115=""),"",SUMPRODUCT(('Training Detail'!$A$5:$A$5000=A115)*('Training Detail'!$M$5:$M$5000=Standards!A8)*('Training Detail'!$G$5:$G$5000&gt;=D115)*('Training Detail'!$G$5:$G$5000&lt;=E115)*('Training Detail'!$P$5:$P$5000)))</f>
        <v>0</v>
      </c>
      <c r="M115" s="16" t="n">
        <f aca="false">IF(OR(A115="",C115=""),"",SUMPRODUCT(('Training Detail'!$A$5:$A$5000=A115)*('Training Detail'!$M$5:$M$5000=Standards!A9)*('Training Detail'!$G$5:$G$5000&gt;=D115)*('Training Detail'!$G$5:$G$5000&lt;=E115)*('Training Detail'!$P$5:$P$5000)))</f>
        <v>3</v>
      </c>
      <c r="N115" s="17" t="str">
        <f aca="false">IF(A115="","",IF(C115="","Set exp date",IF(AND(F115&gt;=Requirements!B5,G115&gt;=Requirements!B6,H115&gt;=Requirements!B7,I115&gt;=Requirements!B8,J115&gt;=Requirements!B9,K115&gt;=Requirements!B10,L115&gt;=Requirements!B11,M115&gt;=Requirements!B12),"Met","Short")))</f>
        <v>Short</v>
      </c>
      <c r="O115" s="18" t="str">
        <f aca="false">IF(OR(A115="",C115=""),"",IF(N115="Met","",IF(F115&lt;Requirements!B5,Requirements!A5&amp;" "&amp;TEXT(Requirements!B5-F115,"0.##")&amp;"; ","")&amp;IF(G115&lt;Requirements!B6,Requirements!A6&amp;" "&amp;TEXT(Requirements!B6-G115,"0.##")&amp;"; ","")&amp;IF(H115&lt;Requirements!B7,Requirements!A7&amp;" "&amp;TEXT(Requirements!B7-H115,"0.##")&amp;"; ","")&amp;IF(I115&lt;Requirements!B8,Requirements!A8&amp;" "&amp;TEXT(Requirements!B8-I115,"0.##")&amp;"; ","")&amp;IF(J115&lt;Requirements!B9,Requirements!A9&amp;" "&amp;TEXT(Requirements!B9-J115,"0.##")&amp;"; ","")&amp;IF(K115&lt;Requirements!B10,Requirements!A10&amp;" "&amp;TEXT(Requirements!B10-K115,"0.##")&amp;"; ","")&amp;IF(L115&lt;Requirements!B11,Requirements!A11&amp;" "&amp;TEXT(Requirements!B11-L115,"0.##")&amp;"; ","")&amp;IF(M115&lt;Requirements!B12,Requirements!A12&amp;" "&amp;TEXT(Requirements!B12-M115,"0.##")&amp;"; ","")))</f>
        <v>Airway 4; Cardiovascular 5; Medical 2.5; PAHT 1; SVAT 1; </v>
      </c>
    </row>
    <row r="116" customFormat="false" ht="15" hidden="false" customHeight="true" outlineLevel="0" collapsed="false">
      <c r="A116" s="11" t="s">
        <v>217</v>
      </c>
      <c r="B116" s="12" t="s">
        <v>218</v>
      </c>
      <c r="C116" s="13" t="n">
        <v>46387</v>
      </c>
      <c r="D116" s="14" t="n">
        <f aca="false">IF(C116="","",DATE(YEAR(C116)-1,1,1))</f>
        <v>45658</v>
      </c>
      <c r="E116" s="14" t="n">
        <f aca="false">IF(C116="","",DATE(YEAR(C116),12,31))</f>
        <v>46387</v>
      </c>
      <c r="F116" s="15" t="n">
        <f aca="false">IF(OR(A116="",C116=""),"",SUMPRODUCT(('Training Detail'!$A$5:$A$5000=A116)*('Training Detail'!$M$5:$M$5000=Standards!A2)*('Training Detail'!$G$5:$G$5000&gt;=D116)*('Training Detail'!$G$5:$G$5000&lt;=E116)*('Training Detail'!$P$5:$P$5000)))</f>
        <v>7.75</v>
      </c>
      <c r="G116" s="15" t="n">
        <f aca="false">IF(OR(A116="",C116=""),"",SUMPRODUCT(('Training Detail'!$A$5:$A$5000=A116)*('Training Detail'!$M$5:$M$5000=Standards!A3)*('Training Detail'!$G$5:$G$5000&gt;=D116)*('Training Detail'!$G$5:$G$5000&lt;=E116)*('Training Detail'!$P$5:$P$5000)))</f>
        <v>4</v>
      </c>
      <c r="H116" s="15" t="n">
        <f aca="false">IF(OR(A116="",C116=""),"",SUMPRODUCT(('Training Detail'!$A$5:$A$5000=A116)*('Training Detail'!$M$5:$M$5000=Standards!A4)*('Training Detail'!$G$5:$G$5000&gt;=D116)*('Training Detail'!$G$5:$G$5000&lt;=E116)*('Training Detail'!$P$5:$P$5000)))</f>
        <v>6</v>
      </c>
      <c r="I116" s="15" t="n">
        <f aca="false">IF(OR(A116="",C116=""),"",SUMPRODUCT(('Training Detail'!$A$5:$A$5000=A116)*('Training Detail'!$M$5:$M$5000=Standards!A5)*('Training Detail'!$G$5:$G$5000&gt;=D116)*('Training Detail'!$G$5:$G$5000&lt;=E116)*('Training Detail'!$P$5:$P$5000)))</f>
        <v>11.5</v>
      </c>
      <c r="J116" s="15" t="n">
        <f aca="false">IF(OR(A116="",C116=""),"",SUMPRODUCT(('Training Detail'!$A$5:$A$5000=A116)*('Training Detail'!$M$5:$M$5000=Standards!A6)*('Training Detail'!$G$5:$G$5000&gt;=D116)*('Training Detail'!$G$5:$G$5000&lt;=E116)*('Training Detail'!$P$5:$P$5000)))</f>
        <v>9</v>
      </c>
      <c r="K116" s="15" t="n">
        <f aca="false">IF(OR(A116="",C116=""),"",SUMPRODUCT(('Training Detail'!$A$5:$A$5000=A116)*('Training Detail'!$M$5:$M$5000=Standards!A7)*('Training Detail'!$G$5:$G$5000&gt;=D116)*('Training Detail'!$G$5:$G$5000&lt;=E116)*('Training Detail'!$P$5:$P$5000)))</f>
        <v>0</v>
      </c>
      <c r="L116" s="15" t="n">
        <f aca="false">IF(OR(A116="",C116=""),"",SUMPRODUCT(('Training Detail'!$A$5:$A$5000=A116)*('Training Detail'!$M$5:$M$5000=Standards!A8)*('Training Detail'!$G$5:$G$5000&gt;=D116)*('Training Detail'!$G$5:$G$5000&lt;=E116)*('Training Detail'!$P$5:$P$5000)))</f>
        <v>0</v>
      </c>
      <c r="M116" s="16" t="n">
        <f aca="false">IF(OR(A116="",C116=""),"",SUMPRODUCT(('Training Detail'!$A$5:$A$5000=A116)*('Training Detail'!$M$5:$M$5000=Standards!A9)*('Training Detail'!$G$5:$G$5000&gt;=D116)*('Training Detail'!$G$5:$G$5000&lt;=E116)*('Training Detail'!$P$5:$P$5000)))</f>
        <v>0</v>
      </c>
      <c r="N116" s="17" t="str">
        <f aca="false">IF(A116="","",IF(C116="","Set exp date",IF(AND(F116&gt;=Requirements!B5,G116&gt;=Requirements!B6,H116&gt;=Requirements!B7,I116&gt;=Requirements!B8,J116&gt;=Requirements!B9,K116&gt;=Requirements!B10,L116&gt;=Requirements!B11,M116&gt;=Requirements!B12),"Met","Short")))</f>
        <v>Short</v>
      </c>
      <c r="O116" s="18" t="str">
        <f aca="false">IF(OR(A116="",C116=""),"",IF(N116="Met","",IF(F116&lt;Requirements!B5,Requirements!A5&amp;" "&amp;TEXT(Requirements!B5-F116,"0.##")&amp;"; ","")&amp;IF(G116&lt;Requirements!B6,Requirements!A6&amp;" "&amp;TEXT(Requirements!B6-G116,"0.##")&amp;"; ","")&amp;IF(H116&lt;Requirements!B7,Requirements!A7&amp;" "&amp;TEXT(Requirements!B7-H116,"0.##")&amp;"; ","")&amp;IF(I116&lt;Requirements!B8,Requirements!A8&amp;" "&amp;TEXT(Requirements!B8-I116,"0.##")&amp;"; ","")&amp;IF(J116&lt;Requirements!B9,Requirements!A9&amp;" "&amp;TEXT(Requirements!B9-J116,"0.##")&amp;"; ","")&amp;IF(K116&lt;Requirements!B10,Requirements!A10&amp;" "&amp;TEXT(Requirements!B10-K116,"0.##")&amp;"; ","")&amp;IF(L116&lt;Requirements!B11,Requirements!A11&amp;" "&amp;TEXT(Requirements!B11-L116,"0.##")&amp;"; ","")&amp;IF(M116&lt;Requirements!B12,Requirements!A12&amp;" "&amp;TEXT(Requirements!B12-M116,"0.##")&amp;"; ","")))</f>
        <v>Cardiovascular 1; PAHT 1; SVAT 1; CPR/AED 1; </v>
      </c>
    </row>
    <row r="117" customFormat="false" ht="15" hidden="false" customHeight="true" outlineLevel="0" collapsed="false">
      <c r="A117" s="19" t="s">
        <v>219</v>
      </c>
      <c r="B117" s="20" t="s">
        <v>220</v>
      </c>
      <c r="C117" s="13" t="n">
        <v>46387</v>
      </c>
      <c r="D117" s="21" t="n">
        <f aca="false">IF(C117="","",DATE(YEAR(C117)-1,1,1))</f>
        <v>45658</v>
      </c>
      <c r="E117" s="21" t="n">
        <f aca="false">IF(C117="","",DATE(YEAR(C117),12,31))</f>
        <v>46387</v>
      </c>
      <c r="F117" s="15" t="n">
        <f aca="false">IF(OR(A117="",C117=""),"",SUMPRODUCT(('Training Detail'!$A$5:$A$5000=A117)*('Training Detail'!$M$5:$M$5000=Standards!A2)*('Training Detail'!$G$5:$G$5000&gt;=D117)*('Training Detail'!$G$5:$G$5000&lt;=E117)*('Training Detail'!$P$5:$P$5000)))</f>
        <v>0</v>
      </c>
      <c r="G117" s="15" t="n">
        <f aca="false">IF(OR(A117="",C117=""),"",SUMPRODUCT(('Training Detail'!$A$5:$A$5000=A117)*('Training Detail'!$M$5:$M$5000=Standards!A3)*('Training Detail'!$G$5:$G$5000&gt;=D117)*('Training Detail'!$G$5:$G$5000&lt;=E117)*('Training Detail'!$P$5:$P$5000)))</f>
        <v>3</v>
      </c>
      <c r="H117" s="15" t="n">
        <f aca="false">IF(OR(A117="",C117=""),"",SUMPRODUCT(('Training Detail'!$A$5:$A$5000=A117)*('Training Detail'!$M$5:$M$5000=Standards!A4)*('Training Detail'!$G$5:$G$5000&gt;=D117)*('Training Detail'!$G$5:$G$5000&lt;=E117)*('Training Detail'!$P$5:$P$5000)))</f>
        <v>6</v>
      </c>
      <c r="I117" s="15" t="n">
        <f aca="false">IF(OR(A117="",C117=""),"",SUMPRODUCT(('Training Detail'!$A$5:$A$5000=A117)*('Training Detail'!$M$5:$M$5000=Standards!A5)*('Training Detail'!$G$5:$G$5000&gt;=D117)*('Training Detail'!$G$5:$G$5000&lt;=E117)*('Training Detail'!$P$5:$P$5000)))</f>
        <v>4</v>
      </c>
      <c r="J117" s="15" t="n">
        <f aca="false">IF(OR(A117="",C117=""),"",SUMPRODUCT(('Training Detail'!$A$5:$A$5000=A117)*('Training Detail'!$M$5:$M$5000=Standards!A6)*('Training Detail'!$G$5:$G$5000&gt;=D117)*('Training Detail'!$G$5:$G$5000&lt;=E117)*('Training Detail'!$P$5:$P$5000)))</f>
        <v>4</v>
      </c>
      <c r="K117" s="15" t="n">
        <f aca="false">IF(OR(A117="",C117=""),"",SUMPRODUCT(('Training Detail'!$A$5:$A$5000=A117)*('Training Detail'!$M$5:$M$5000=Standards!A7)*('Training Detail'!$G$5:$G$5000&gt;=D117)*('Training Detail'!$G$5:$G$5000&lt;=E117)*('Training Detail'!$P$5:$P$5000)))</f>
        <v>0</v>
      </c>
      <c r="L117" s="15" t="n">
        <f aca="false">IF(OR(A117="",C117=""),"",SUMPRODUCT(('Training Detail'!$A$5:$A$5000=A117)*('Training Detail'!$M$5:$M$5000=Standards!A8)*('Training Detail'!$G$5:$G$5000&gt;=D117)*('Training Detail'!$G$5:$G$5000&lt;=E117)*('Training Detail'!$P$5:$P$5000)))</f>
        <v>0</v>
      </c>
      <c r="M117" s="16" t="n">
        <f aca="false">IF(OR(A117="",C117=""),"",SUMPRODUCT(('Training Detail'!$A$5:$A$5000=A117)*('Training Detail'!$M$5:$M$5000=Standards!A9)*('Training Detail'!$G$5:$G$5000&gt;=D117)*('Training Detail'!$G$5:$G$5000&lt;=E117)*('Training Detail'!$P$5:$P$5000)))</f>
        <v>0.5</v>
      </c>
      <c r="N117" s="17" t="str">
        <f aca="false">IF(A117="","",IF(C117="","Set exp date",IF(AND(F117&gt;=Requirements!B5,G117&gt;=Requirements!B6,H117&gt;=Requirements!B7,I117&gt;=Requirements!B8,J117&gt;=Requirements!B9,K117&gt;=Requirements!B10,L117&gt;=Requirements!B11,M117&gt;=Requirements!B12),"Met","Short")))</f>
        <v>Short</v>
      </c>
      <c r="O117" s="18" t="str">
        <f aca="false">IF(OR(A117="",C117=""),"",IF(N117="Met","",IF(F117&lt;Requirements!B5,Requirements!A5&amp;" "&amp;TEXT(Requirements!B5-F117,"0.##")&amp;"; ","")&amp;IF(G117&lt;Requirements!B6,Requirements!A6&amp;" "&amp;TEXT(Requirements!B6-G117,"0.##")&amp;"; ","")&amp;IF(H117&lt;Requirements!B7,Requirements!A7&amp;" "&amp;TEXT(Requirements!B7-H117,"0.##")&amp;"; ","")&amp;IF(I117&lt;Requirements!B8,Requirements!A8&amp;" "&amp;TEXT(Requirements!B8-I117,"0.##")&amp;"; ","")&amp;IF(J117&lt;Requirements!B9,Requirements!A9&amp;" "&amp;TEXT(Requirements!B9-J117,"0.##")&amp;"; ","")&amp;IF(K117&lt;Requirements!B10,Requirements!A10&amp;" "&amp;TEXT(Requirements!B10-K117,"0.##")&amp;"; ","")&amp;IF(L117&lt;Requirements!B11,Requirements!A11&amp;" "&amp;TEXT(Requirements!B11-L117,"0.##")&amp;"; ","")&amp;IF(M117&lt;Requirements!B12,Requirements!A12&amp;" "&amp;TEXT(Requirements!B12-M117,"0.##")&amp;"; ","")))</f>
        <v>Airway 4; Cardiovascular 2; Medical 2; PAHT 1; SVAT 1; CPR/AED 0.5; </v>
      </c>
    </row>
    <row r="118" customFormat="false" ht="15" hidden="false" customHeight="true" outlineLevel="0" collapsed="false">
      <c r="A118" s="11" t="s">
        <v>221</v>
      </c>
      <c r="B118" s="12" t="s">
        <v>222</v>
      </c>
      <c r="C118" s="13" t="n">
        <v>46752</v>
      </c>
      <c r="D118" s="14" t="n">
        <f aca="false">IF(C118="","",DATE(YEAR(C118)-1,1,1))</f>
        <v>46023</v>
      </c>
      <c r="E118" s="14" t="n">
        <f aca="false">IF(C118="","",DATE(YEAR(C118),12,31))</f>
        <v>46752</v>
      </c>
      <c r="F118" s="15" t="n">
        <f aca="false">IF(OR(A118="",C118=""),"",SUMPRODUCT(('Training Detail'!$A$5:$A$5000=A118)*('Training Detail'!$M$5:$M$5000=Standards!A2)*('Training Detail'!$G$5:$G$5000&gt;=D118)*('Training Detail'!$G$5:$G$5000&lt;=E118)*('Training Detail'!$P$5:$P$5000)))</f>
        <v>0</v>
      </c>
      <c r="G118" s="15" t="n">
        <f aca="false">IF(OR(A118="",C118=""),"",SUMPRODUCT(('Training Detail'!$A$5:$A$5000=A118)*('Training Detail'!$M$5:$M$5000=Standards!A3)*('Training Detail'!$G$5:$G$5000&gt;=D118)*('Training Detail'!$G$5:$G$5000&lt;=E118)*('Training Detail'!$P$5:$P$5000)))</f>
        <v>0</v>
      </c>
      <c r="H118" s="15" t="n">
        <f aca="false">IF(OR(A118="",C118=""),"",SUMPRODUCT(('Training Detail'!$A$5:$A$5000=A118)*('Training Detail'!$M$5:$M$5000=Standards!A4)*('Training Detail'!$G$5:$G$5000&gt;=D118)*('Training Detail'!$G$5:$G$5000&lt;=E118)*('Training Detail'!$P$5:$P$5000)))</f>
        <v>3</v>
      </c>
      <c r="I118" s="15" t="n">
        <f aca="false">IF(OR(A118="",C118=""),"",SUMPRODUCT(('Training Detail'!$A$5:$A$5000=A118)*('Training Detail'!$M$5:$M$5000=Standards!A5)*('Training Detail'!$G$5:$G$5000&gt;=D118)*('Training Detail'!$G$5:$G$5000&lt;=E118)*('Training Detail'!$P$5:$P$5000)))</f>
        <v>1.5</v>
      </c>
      <c r="J118" s="15" t="n">
        <f aca="false">IF(OR(A118="",C118=""),"",SUMPRODUCT(('Training Detail'!$A$5:$A$5000=A118)*('Training Detail'!$M$5:$M$5000=Standards!A6)*('Training Detail'!$G$5:$G$5000&gt;=D118)*('Training Detail'!$G$5:$G$5000&lt;=E118)*('Training Detail'!$P$5:$P$5000)))</f>
        <v>1</v>
      </c>
      <c r="K118" s="15" t="n">
        <f aca="false">IF(OR(A118="",C118=""),"",SUMPRODUCT(('Training Detail'!$A$5:$A$5000=A118)*('Training Detail'!$M$5:$M$5000=Standards!A7)*('Training Detail'!$G$5:$G$5000&gt;=D118)*('Training Detail'!$G$5:$G$5000&lt;=E118)*('Training Detail'!$P$5:$P$5000)))</f>
        <v>0</v>
      </c>
      <c r="L118" s="15" t="n">
        <f aca="false">IF(OR(A118="",C118=""),"",SUMPRODUCT(('Training Detail'!$A$5:$A$5000=A118)*('Training Detail'!$M$5:$M$5000=Standards!A8)*('Training Detail'!$G$5:$G$5000&gt;=D118)*('Training Detail'!$G$5:$G$5000&lt;=E118)*('Training Detail'!$P$5:$P$5000)))</f>
        <v>0</v>
      </c>
      <c r="M118" s="16" t="n">
        <f aca="false">IF(OR(A118="",C118=""),"",SUMPRODUCT(('Training Detail'!$A$5:$A$5000=A118)*('Training Detail'!$M$5:$M$5000=Standards!A9)*('Training Detail'!$G$5:$G$5000&gt;=D118)*('Training Detail'!$G$5:$G$5000&lt;=E118)*('Training Detail'!$P$5:$P$5000)))</f>
        <v>0</v>
      </c>
      <c r="N118" s="17" t="str">
        <f aca="false">IF(A118="","",IF(C118="","Set exp date",IF(AND(F118&gt;=Requirements!B5,G118&gt;=Requirements!B6,H118&gt;=Requirements!B7,I118&gt;=Requirements!B8,J118&gt;=Requirements!B9,K118&gt;=Requirements!B10,L118&gt;=Requirements!B11,M118&gt;=Requirements!B12),"Met","Short")))</f>
        <v>Short</v>
      </c>
      <c r="O118" s="18" t="str">
        <f aca="false">IF(OR(A118="",C118=""),"",IF(N118="Met","",IF(F118&lt;Requirements!B5,Requirements!A5&amp;" "&amp;TEXT(Requirements!B5-F118,"0.##")&amp;"; ","")&amp;IF(G118&lt;Requirements!B6,Requirements!A6&amp;" "&amp;TEXT(Requirements!B6-G118,"0.##")&amp;"; ","")&amp;IF(H118&lt;Requirements!B7,Requirements!A7&amp;" "&amp;TEXT(Requirements!B7-H118,"0.##")&amp;"; ","")&amp;IF(I118&lt;Requirements!B8,Requirements!A8&amp;" "&amp;TEXT(Requirements!B8-I118,"0.##")&amp;"; ","")&amp;IF(J118&lt;Requirements!B9,Requirements!A9&amp;" "&amp;TEXT(Requirements!B9-J118,"0.##")&amp;"; ","")&amp;IF(K118&lt;Requirements!B10,Requirements!A10&amp;" "&amp;TEXT(Requirements!B10-K118,"0.##")&amp;"; ","")&amp;IF(L118&lt;Requirements!B11,Requirements!A11&amp;" "&amp;TEXT(Requirements!B11-L118,"0.##")&amp;"; ","")&amp;IF(M118&lt;Requirements!B12,Requirements!A12&amp;" "&amp;TEXT(Requirements!B12-M118,"0.##")&amp;"; ","")))</f>
        <v>Airway 4; Cardiovascular 5; Medical 4.5; Operations 1; PAHT 1; SVAT 1; CPR/AED 1; </v>
      </c>
    </row>
    <row r="119" customFormat="false" ht="15" hidden="false" customHeight="true" outlineLevel="0" collapsed="false">
      <c r="A119" s="19" t="s">
        <v>223</v>
      </c>
      <c r="B119" s="20" t="s">
        <v>224</v>
      </c>
      <c r="C119" s="13" t="n">
        <v>46752</v>
      </c>
      <c r="D119" s="21" t="n">
        <f aca="false">IF(C119="","",DATE(YEAR(C119)-1,1,1))</f>
        <v>46023</v>
      </c>
      <c r="E119" s="21" t="n">
        <f aca="false">IF(C119="","",DATE(YEAR(C119),12,31))</f>
        <v>46752</v>
      </c>
      <c r="F119" s="15" t="n">
        <f aca="false">IF(OR(A119="",C119=""),"",SUMPRODUCT(('Training Detail'!$A$5:$A$5000=A119)*('Training Detail'!$M$5:$M$5000=Standards!A2)*('Training Detail'!$G$5:$G$5000&gt;=D119)*('Training Detail'!$G$5:$G$5000&lt;=E119)*('Training Detail'!$P$5:$P$5000)))</f>
        <v>0</v>
      </c>
      <c r="G119" s="15" t="n">
        <f aca="false">IF(OR(A119="",C119=""),"",SUMPRODUCT(('Training Detail'!$A$5:$A$5000=A119)*('Training Detail'!$M$5:$M$5000=Standards!A3)*('Training Detail'!$G$5:$G$5000&gt;=D119)*('Training Detail'!$G$5:$G$5000&lt;=E119)*('Training Detail'!$P$5:$P$5000)))</f>
        <v>0</v>
      </c>
      <c r="H119" s="15" t="n">
        <f aca="false">IF(OR(A119="",C119=""),"",SUMPRODUCT(('Training Detail'!$A$5:$A$5000=A119)*('Training Detail'!$M$5:$M$5000=Standards!A4)*('Training Detail'!$G$5:$G$5000&gt;=D119)*('Training Detail'!$G$5:$G$5000&lt;=E119)*('Training Detail'!$P$5:$P$5000)))</f>
        <v>3</v>
      </c>
      <c r="I119" s="15" t="n">
        <f aca="false">IF(OR(A119="",C119=""),"",SUMPRODUCT(('Training Detail'!$A$5:$A$5000=A119)*('Training Detail'!$M$5:$M$5000=Standards!A5)*('Training Detail'!$G$5:$G$5000&gt;=D119)*('Training Detail'!$G$5:$G$5000&lt;=E119)*('Training Detail'!$P$5:$P$5000)))</f>
        <v>2</v>
      </c>
      <c r="J119" s="15" t="n">
        <f aca="false">IF(OR(A119="",C119=""),"",SUMPRODUCT(('Training Detail'!$A$5:$A$5000=A119)*('Training Detail'!$M$5:$M$5000=Standards!A6)*('Training Detail'!$G$5:$G$5000&gt;=D119)*('Training Detail'!$G$5:$G$5000&lt;=E119)*('Training Detail'!$P$5:$P$5000)))</f>
        <v>2</v>
      </c>
      <c r="K119" s="15" t="n">
        <f aca="false">IF(OR(A119="",C119=""),"",SUMPRODUCT(('Training Detail'!$A$5:$A$5000=A119)*('Training Detail'!$M$5:$M$5000=Standards!A7)*('Training Detail'!$G$5:$G$5000&gt;=D119)*('Training Detail'!$G$5:$G$5000&lt;=E119)*('Training Detail'!$P$5:$P$5000)))</f>
        <v>1</v>
      </c>
      <c r="L119" s="15" t="n">
        <f aca="false">IF(OR(A119="",C119=""),"",SUMPRODUCT(('Training Detail'!$A$5:$A$5000=A119)*('Training Detail'!$M$5:$M$5000=Standards!A8)*('Training Detail'!$G$5:$G$5000&gt;=D119)*('Training Detail'!$G$5:$G$5000&lt;=E119)*('Training Detail'!$P$5:$P$5000)))</f>
        <v>0</v>
      </c>
      <c r="M119" s="16" t="n">
        <f aca="false">IF(OR(A119="",C119=""),"",SUMPRODUCT(('Training Detail'!$A$5:$A$5000=A119)*('Training Detail'!$M$5:$M$5000=Standards!A9)*('Training Detail'!$G$5:$G$5000&gt;=D119)*('Training Detail'!$G$5:$G$5000&lt;=E119)*('Training Detail'!$P$5:$P$5000)))</f>
        <v>0</v>
      </c>
      <c r="N119" s="17" t="str">
        <f aca="false">IF(A119="","",IF(C119="","Set exp date",IF(AND(F119&gt;=Requirements!B5,G119&gt;=Requirements!B6,H119&gt;=Requirements!B7,I119&gt;=Requirements!B8,J119&gt;=Requirements!B9,K119&gt;=Requirements!B10,L119&gt;=Requirements!B11,M119&gt;=Requirements!B12),"Met","Short")))</f>
        <v>Short</v>
      </c>
      <c r="O119" s="18" t="str">
        <f aca="false">IF(OR(A119="",C119=""),"",IF(N119="Met","",IF(F119&lt;Requirements!B5,Requirements!A5&amp;" "&amp;TEXT(Requirements!B5-F119,"0.##")&amp;"; ","")&amp;IF(G119&lt;Requirements!B6,Requirements!A6&amp;" "&amp;TEXT(Requirements!B6-G119,"0.##")&amp;"; ","")&amp;IF(H119&lt;Requirements!B7,Requirements!A7&amp;" "&amp;TEXT(Requirements!B7-H119,"0.##")&amp;"; ","")&amp;IF(I119&lt;Requirements!B8,Requirements!A8&amp;" "&amp;TEXT(Requirements!B8-I119,"0.##")&amp;"; ","")&amp;IF(J119&lt;Requirements!B9,Requirements!A9&amp;" "&amp;TEXT(Requirements!B9-J119,"0.##")&amp;"; ","")&amp;IF(K119&lt;Requirements!B10,Requirements!A10&amp;" "&amp;TEXT(Requirements!B10-K119,"0.##")&amp;"; ","")&amp;IF(L119&lt;Requirements!B11,Requirements!A11&amp;" "&amp;TEXT(Requirements!B11-L119,"0.##")&amp;"; ","")&amp;IF(M119&lt;Requirements!B12,Requirements!A12&amp;" "&amp;TEXT(Requirements!B12-M119,"0.##")&amp;"; ","")))</f>
        <v>Airway 4; Cardiovascular 5; Medical 4; SVAT 1; CPR/AED 1; </v>
      </c>
    </row>
    <row r="120" customFormat="false" ht="15" hidden="false" customHeight="true" outlineLevel="0" collapsed="false">
      <c r="A120" s="11" t="s">
        <v>225</v>
      </c>
      <c r="B120" s="12" t="s">
        <v>226</v>
      </c>
      <c r="C120" s="13" t="n">
        <v>46387</v>
      </c>
      <c r="D120" s="14" t="n">
        <f aca="false">IF(C120="","",DATE(YEAR(C120)-1,1,1))</f>
        <v>45658</v>
      </c>
      <c r="E120" s="14" t="n">
        <f aca="false">IF(C120="","",DATE(YEAR(C120),12,31))</f>
        <v>46387</v>
      </c>
      <c r="F120" s="15" t="n">
        <f aca="false">IF(OR(A120="",C120=""),"",SUMPRODUCT(('Training Detail'!$A$5:$A$5000=A120)*('Training Detail'!$M$5:$M$5000=Standards!A2)*('Training Detail'!$G$5:$G$5000&gt;=D120)*('Training Detail'!$G$5:$G$5000&lt;=E120)*('Training Detail'!$P$5:$P$5000)))</f>
        <v>3</v>
      </c>
      <c r="G120" s="15" t="n">
        <f aca="false">IF(OR(A120="",C120=""),"",SUMPRODUCT(('Training Detail'!$A$5:$A$5000=A120)*('Training Detail'!$M$5:$M$5000=Standards!A3)*('Training Detail'!$G$5:$G$5000&gt;=D120)*('Training Detail'!$G$5:$G$5000&lt;=E120)*('Training Detail'!$P$5:$P$5000)))</f>
        <v>3</v>
      </c>
      <c r="H120" s="15" t="n">
        <f aca="false">IF(OR(A120="",C120=""),"",SUMPRODUCT(('Training Detail'!$A$5:$A$5000=A120)*('Training Detail'!$M$5:$M$5000=Standards!A4)*('Training Detail'!$G$5:$G$5000&gt;=D120)*('Training Detail'!$G$5:$G$5000&lt;=E120)*('Training Detail'!$P$5:$P$5000)))</f>
        <v>8</v>
      </c>
      <c r="I120" s="15" t="n">
        <f aca="false">IF(OR(A120="",C120=""),"",SUMPRODUCT(('Training Detail'!$A$5:$A$5000=A120)*('Training Detail'!$M$5:$M$5000=Standards!A5)*('Training Detail'!$G$5:$G$5000&gt;=D120)*('Training Detail'!$G$5:$G$5000&lt;=E120)*('Training Detail'!$P$5:$P$5000)))</f>
        <v>3</v>
      </c>
      <c r="J120" s="15" t="n">
        <f aca="false">IF(OR(A120="",C120=""),"",SUMPRODUCT(('Training Detail'!$A$5:$A$5000=A120)*('Training Detail'!$M$5:$M$5000=Standards!A6)*('Training Detail'!$G$5:$G$5000&gt;=D120)*('Training Detail'!$G$5:$G$5000&lt;=E120)*('Training Detail'!$P$5:$P$5000)))</f>
        <v>2</v>
      </c>
      <c r="K120" s="15" t="n">
        <f aca="false">IF(OR(A120="",C120=""),"",SUMPRODUCT(('Training Detail'!$A$5:$A$5000=A120)*('Training Detail'!$M$5:$M$5000=Standards!A7)*('Training Detail'!$G$5:$G$5000&gt;=D120)*('Training Detail'!$G$5:$G$5000&lt;=E120)*('Training Detail'!$P$5:$P$5000)))</f>
        <v>0</v>
      </c>
      <c r="L120" s="15" t="n">
        <f aca="false">IF(OR(A120="",C120=""),"",SUMPRODUCT(('Training Detail'!$A$5:$A$5000=A120)*('Training Detail'!$M$5:$M$5000=Standards!A8)*('Training Detail'!$G$5:$G$5000&gt;=D120)*('Training Detail'!$G$5:$G$5000&lt;=E120)*('Training Detail'!$P$5:$P$5000)))</f>
        <v>0</v>
      </c>
      <c r="M120" s="16" t="n">
        <f aca="false">IF(OR(A120="",C120=""),"",SUMPRODUCT(('Training Detail'!$A$5:$A$5000=A120)*('Training Detail'!$M$5:$M$5000=Standards!A9)*('Training Detail'!$G$5:$G$5000&gt;=D120)*('Training Detail'!$G$5:$G$5000&lt;=E120)*('Training Detail'!$P$5:$P$5000)))</f>
        <v>2</v>
      </c>
      <c r="N120" s="17" t="str">
        <f aca="false">IF(A120="","",IF(C120="","Set exp date",IF(AND(F120&gt;=Requirements!B5,G120&gt;=Requirements!B6,H120&gt;=Requirements!B7,I120&gt;=Requirements!B8,J120&gt;=Requirements!B9,K120&gt;=Requirements!B10,L120&gt;=Requirements!B11,M120&gt;=Requirements!B12),"Met","Short")))</f>
        <v>Short</v>
      </c>
      <c r="O120" s="18" t="str">
        <f aca="false">IF(OR(A120="",C120=""),"",IF(N120="Met","",IF(F120&lt;Requirements!B5,Requirements!A5&amp;" "&amp;TEXT(Requirements!B5-F120,"0.##")&amp;"; ","")&amp;IF(G120&lt;Requirements!B6,Requirements!A6&amp;" "&amp;TEXT(Requirements!B6-G120,"0.##")&amp;"; ","")&amp;IF(H120&lt;Requirements!B7,Requirements!A7&amp;" "&amp;TEXT(Requirements!B7-H120,"0.##")&amp;"; ","")&amp;IF(I120&lt;Requirements!B8,Requirements!A8&amp;" "&amp;TEXT(Requirements!B8-I120,"0.##")&amp;"; ","")&amp;IF(J120&lt;Requirements!B9,Requirements!A9&amp;" "&amp;TEXT(Requirements!B9-J120,"0.##")&amp;"; ","")&amp;IF(K120&lt;Requirements!B10,Requirements!A10&amp;" "&amp;TEXT(Requirements!B10-K120,"0.##")&amp;"; ","")&amp;IF(L120&lt;Requirements!B11,Requirements!A11&amp;" "&amp;TEXT(Requirements!B11-L120,"0.##")&amp;"; ","")&amp;IF(M120&lt;Requirements!B12,Requirements!A12&amp;" "&amp;TEXT(Requirements!B12-M120,"0.##")&amp;"; ","")))</f>
        <v>Airway 1; Cardiovascular 2; Medical 3; PAHT 1; SVAT 1; </v>
      </c>
    </row>
    <row r="121" customFormat="false" ht="15" hidden="false" customHeight="true" outlineLevel="0" collapsed="false">
      <c r="A121" s="19" t="s">
        <v>227</v>
      </c>
      <c r="B121" s="20" t="s">
        <v>228</v>
      </c>
      <c r="C121" s="13" t="n">
        <v>46752</v>
      </c>
      <c r="D121" s="21" t="n">
        <f aca="false">IF(C121="","",DATE(YEAR(C121)-1,1,1))</f>
        <v>46023</v>
      </c>
      <c r="E121" s="21" t="n">
        <f aca="false">IF(C121="","",DATE(YEAR(C121),12,31))</f>
        <v>46752</v>
      </c>
      <c r="F121" s="15" t="n">
        <f aca="false">IF(OR(A121="",C121=""),"",SUMPRODUCT(('Training Detail'!$A$5:$A$5000=A121)*('Training Detail'!$M$5:$M$5000=Standards!A2)*('Training Detail'!$G$5:$G$5000&gt;=D121)*('Training Detail'!$G$5:$G$5000&lt;=E121)*('Training Detail'!$P$5:$P$5000)))</f>
        <v>0</v>
      </c>
      <c r="G121" s="15" t="n">
        <f aca="false">IF(OR(A121="",C121=""),"",SUMPRODUCT(('Training Detail'!$A$5:$A$5000=A121)*('Training Detail'!$M$5:$M$5000=Standards!A3)*('Training Detail'!$G$5:$G$5000&gt;=D121)*('Training Detail'!$G$5:$G$5000&lt;=E121)*('Training Detail'!$P$5:$P$5000)))</f>
        <v>0</v>
      </c>
      <c r="H121" s="15" t="n">
        <f aca="false">IF(OR(A121="",C121=""),"",SUMPRODUCT(('Training Detail'!$A$5:$A$5000=A121)*('Training Detail'!$M$5:$M$5000=Standards!A4)*('Training Detail'!$G$5:$G$5000&gt;=D121)*('Training Detail'!$G$5:$G$5000&lt;=E121)*('Training Detail'!$P$5:$P$5000)))</f>
        <v>3</v>
      </c>
      <c r="I121" s="15" t="n">
        <f aca="false">IF(OR(A121="",C121=""),"",SUMPRODUCT(('Training Detail'!$A$5:$A$5000=A121)*('Training Detail'!$M$5:$M$5000=Standards!A5)*('Training Detail'!$G$5:$G$5000&gt;=D121)*('Training Detail'!$G$5:$G$5000&lt;=E121)*('Training Detail'!$P$5:$P$5000)))</f>
        <v>1</v>
      </c>
      <c r="J121" s="15" t="n">
        <f aca="false">IF(OR(A121="",C121=""),"",SUMPRODUCT(('Training Detail'!$A$5:$A$5000=A121)*('Training Detail'!$M$5:$M$5000=Standards!A6)*('Training Detail'!$G$5:$G$5000&gt;=D121)*('Training Detail'!$G$5:$G$5000&lt;=E121)*('Training Detail'!$P$5:$P$5000)))</f>
        <v>1</v>
      </c>
      <c r="K121" s="15" t="n">
        <f aca="false">IF(OR(A121="",C121=""),"",SUMPRODUCT(('Training Detail'!$A$5:$A$5000=A121)*('Training Detail'!$M$5:$M$5000=Standards!A7)*('Training Detail'!$G$5:$G$5000&gt;=D121)*('Training Detail'!$G$5:$G$5000&lt;=E121)*('Training Detail'!$P$5:$P$5000)))</f>
        <v>0</v>
      </c>
      <c r="L121" s="15" t="n">
        <f aca="false">IF(OR(A121="",C121=""),"",SUMPRODUCT(('Training Detail'!$A$5:$A$5000=A121)*('Training Detail'!$M$5:$M$5000=Standards!A8)*('Training Detail'!$G$5:$G$5000&gt;=D121)*('Training Detail'!$G$5:$G$5000&lt;=E121)*('Training Detail'!$P$5:$P$5000)))</f>
        <v>0</v>
      </c>
      <c r="M121" s="16" t="n">
        <f aca="false">IF(OR(A121="",C121=""),"",SUMPRODUCT(('Training Detail'!$A$5:$A$5000=A121)*('Training Detail'!$M$5:$M$5000=Standards!A9)*('Training Detail'!$G$5:$G$5000&gt;=D121)*('Training Detail'!$G$5:$G$5000&lt;=E121)*('Training Detail'!$P$5:$P$5000)))</f>
        <v>0</v>
      </c>
      <c r="N121" s="17" t="str">
        <f aca="false">IF(A121="","",IF(C121="","Set exp date",IF(AND(F121&gt;=Requirements!B5,G121&gt;=Requirements!B6,H121&gt;=Requirements!B7,I121&gt;=Requirements!B8,J121&gt;=Requirements!B9,K121&gt;=Requirements!B10,L121&gt;=Requirements!B11,M121&gt;=Requirements!B12),"Met","Short")))</f>
        <v>Short</v>
      </c>
      <c r="O121" s="18" t="str">
        <f aca="false">IF(OR(A121="",C121=""),"",IF(N121="Met","",IF(F121&lt;Requirements!B5,Requirements!A5&amp;" "&amp;TEXT(Requirements!B5-F121,"0.##")&amp;"; ","")&amp;IF(G121&lt;Requirements!B6,Requirements!A6&amp;" "&amp;TEXT(Requirements!B6-G121,"0.##")&amp;"; ","")&amp;IF(H121&lt;Requirements!B7,Requirements!A7&amp;" "&amp;TEXT(Requirements!B7-H121,"0.##")&amp;"; ","")&amp;IF(I121&lt;Requirements!B8,Requirements!A8&amp;" "&amp;TEXT(Requirements!B8-I121,"0.##")&amp;"; ","")&amp;IF(J121&lt;Requirements!B9,Requirements!A9&amp;" "&amp;TEXT(Requirements!B9-J121,"0.##")&amp;"; ","")&amp;IF(K121&lt;Requirements!B10,Requirements!A10&amp;" "&amp;TEXT(Requirements!B10-K121,"0.##")&amp;"; ","")&amp;IF(L121&lt;Requirements!B11,Requirements!A11&amp;" "&amp;TEXT(Requirements!B11-L121,"0.##")&amp;"; ","")&amp;IF(M121&lt;Requirements!B12,Requirements!A12&amp;" "&amp;TEXT(Requirements!B12-M121,"0.##")&amp;"; ","")))</f>
        <v>Airway 4; Cardiovascular 5; Medical 5; Operations 1; PAHT 1; SVAT 1; CPR/AED 1; </v>
      </c>
    </row>
    <row r="122" customFormat="false" ht="15" hidden="false" customHeight="true" outlineLevel="0" collapsed="false">
      <c r="A122" s="11" t="s">
        <v>229</v>
      </c>
      <c r="B122" s="12" t="s">
        <v>230</v>
      </c>
      <c r="C122" s="13" t="n">
        <v>46752</v>
      </c>
      <c r="D122" s="14" t="n">
        <f aca="false">IF(C122="","",DATE(YEAR(C122)-1,1,1))</f>
        <v>46023</v>
      </c>
      <c r="E122" s="14" t="n">
        <f aca="false">IF(C122="","",DATE(YEAR(C122),12,31))</f>
        <v>46752</v>
      </c>
      <c r="F122" s="15" t="n">
        <f aca="false">IF(OR(A122="",C122=""),"",SUMPRODUCT(('Training Detail'!$A$5:$A$5000=A122)*('Training Detail'!$M$5:$M$5000=Standards!A2)*('Training Detail'!$G$5:$G$5000&gt;=D122)*('Training Detail'!$G$5:$G$5000&lt;=E122)*('Training Detail'!$P$5:$P$5000)))</f>
        <v>0</v>
      </c>
      <c r="G122" s="15" t="n">
        <f aca="false">IF(OR(A122="",C122=""),"",SUMPRODUCT(('Training Detail'!$A$5:$A$5000=A122)*('Training Detail'!$M$5:$M$5000=Standards!A3)*('Training Detail'!$G$5:$G$5000&gt;=D122)*('Training Detail'!$G$5:$G$5000&lt;=E122)*('Training Detail'!$P$5:$P$5000)))</f>
        <v>2</v>
      </c>
      <c r="H122" s="15" t="n">
        <f aca="false">IF(OR(A122="",C122=""),"",SUMPRODUCT(('Training Detail'!$A$5:$A$5000=A122)*('Training Detail'!$M$5:$M$5000=Standards!A4)*('Training Detail'!$G$5:$G$5000&gt;=D122)*('Training Detail'!$G$5:$G$5000&lt;=E122)*('Training Detail'!$P$5:$P$5000)))</f>
        <v>2</v>
      </c>
      <c r="I122" s="15" t="n">
        <f aca="false">IF(OR(A122="",C122=""),"",SUMPRODUCT(('Training Detail'!$A$5:$A$5000=A122)*('Training Detail'!$M$5:$M$5000=Standards!A5)*('Training Detail'!$G$5:$G$5000&gt;=D122)*('Training Detail'!$G$5:$G$5000&lt;=E122)*('Training Detail'!$P$5:$P$5000)))</f>
        <v>1</v>
      </c>
      <c r="J122" s="15" t="n">
        <f aca="false">IF(OR(A122="",C122=""),"",SUMPRODUCT(('Training Detail'!$A$5:$A$5000=A122)*('Training Detail'!$M$5:$M$5000=Standards!A6)*('Training Detail'!$G$5:$G$5000&gt;=D122)*('Training Detail'!$G$5:$G$5000&lt;=E122)*('Training Detail'!$P$5:$P$5000)))</f>
        <v>2</v>
      </c>
      <c r="K122" s="15" t="n">
        <f aca="false">IF(OR(A122="",C122=""),"",SUMPRODUCT(('Training Detail'!$A$5:$A$5000=A122)*('Training Detail'!$M$5:$M$5000=Standards!A7)*('Training Detail'!$G$5:$G$5000&gt;=D122)*('Training Detail'!$G$5:$G$5000&lt;=E122)*('Training Detail'!$P$5:$P$5000)))</f>
        <v>1</v>
      </c>
      <c r="L122" s="15" t="n">
        <f aca="false">IF(OR(A122="",C122=""),"",SUMPRODUCT(('Training Detail'!$A$5:$A$5000=A122)*('Training Detail'!$M$5:$M$5000=Standards!A8)*('Training Detail'!$G$5:$G$5000&gt;=D122)*('Training Detail'!$G$5:$G$5000&lt;=E122)*('Training Detail'!$P$5:$P$5000)))</f>
        <v>0</v>
      </c>
      <c r="M122" s="16" t="n">
        <f aca="false">IF(OR(A122="",C122=""),"",SUMPRODUCT(('Training Detail'!$A$5:$A$5000=A122)*('Training Detail'!$M$5:$M$5000=Standards!A9)*('Training Detail'!$G$5:$G$5000&gt;=D122)*('Training Detail'!$G$5:$G$5000&lt;=E122)*('Training Detail'!$P$5:$P$5000)))</f>
        <v>0</v>
      </c>
      <c r="N122" s="17" t="str">
        <f aca="false">IF(A122="","",IF(C122="","Set exp date",IF(AND(F122&gt;=Requirements!B5,G122&gt;=Requirements!B6,H122&gt;=Requirements!B7,I122&gt;=Requirements!B8,J122&gt;=Requirements!B9,K122&gt;=Requirements!B10,L122&gt;=Requirements!B11,M122&gt;=Requirements!B12),"Met","Short")))</f>
        <v>Short</v>
      </c>
      <c r="O122" s="18" t="str">
        <f aca="false">IF(OR(A122="",C122=""),"",IF(N122="Met","",IF(F122&lt;Requirements!B5,Requirements!A5&amp;" "&amp;TEXT(Requirements!B5-F122,"0.##")&amp;"; ","")&amp;IF(G122&lt;Requirements!B6,Requirements!A6&amp;" "&amp;TEXT(Requirements!B6-G122,"0.##")&amp;"; ","")&amp;IF(H122&lt;Requirements!B7,Requirements!A7&amp;" "&amp;TEXT(Requirements!B7-H122,"0.##")&amp;"; ","")&amp;IF(I122&lt;Requirements!B8,Requirements!A8&amp;" "&amp;TEXT(Requirements!B8-I122,"0.##")&amp;"; ","")&amp;IF(J122&lt;Requirements!B9,Requirements!A9&amp;" "&amp;TEXT(Requirements!B9-J122,"0.##")&amp;"; ","")&amp;IF(K122&lt;Requirements!B10,Requirements!A10&amp;" "&amp;TEXT(Requirements!B10-K122,"0.##")&amp;"; ","")&amp;IF(L122&lt;Requirements!B11,Requirements!A11&amp;" "&amp;TEXT(Requirements!B11-L122,"0.##")&amp;"; ","")&amp;IF(M122&lt;Requirements!B12,Requirements!A12&amp;" "&amp;TEXT(Requirements!B12-M122,"0.##")&amp;"; ","")))</f>
        <v>Airway 4; Cardiovascular 3; Trauma 1; Medical 5; SVAT 1; CPR/AED 1; </v>
      </c>
    </row>
    <row r="123" customFormat="false" ht="15" hidden="false" customHeight="true" outlineLevel="0" collapsed="false">
      <c r="A123" s="19" t="s">
        <v>231</v>
      </c>
      <c r="B123" s="20" t="s">
        <v>232</v>
      </c>
      <c r="C123" s="13" t="n">
        <v>46387</v>
      </c>
      <c r="D123" s="21" t="n">
        <f aca="false">IF(C123="","",DATE(YEAR(C123)-1,1,1))</f>
        <v>45658</v>
      </c>
      <c r="E123" s="21" t="n">
        <f aca="false">IF(C123="","",DATE(YEAR(C123),12,31))</f>
        <v>46387</v>
      </c>
      <c r="F123" s="15" t="n">
        <f aca="false">IF(OR(A123="",C123=""),"",SUMPRODUCT(('Training Detail'!$A$5:$A$5000=A123)*('Training Detail'!$M$5:$M$5000=Standards!A2)*('Training Detail'!$G$5:$G$5000&gt;=D123)*('Training Detail'!$G$5:$G$5000&lt;=E123)*('Training Detail'!$P$5:$P$5000)))</f>
        <v>7.75</v>
      </c>
      <c r="G123" s="15" t="n">
        <f aca="false">IF(OR(A123="",C123=""),"",SUMPRODUCT(('Training Detail'!$A$5:$A$5000=A123)*('Training Detail'!$M$5:$M$5000=Standards!A3)*('Training Detail'!$G$5:$G$5000&gt;=D123)*('Training Detail'!$G$5:$G$5000&lt;=E123)*('Training Detail'!$P$5:$P$5000)))</f>
        <v>4.5</v>
      </c>
      <c r="H123" s="15" t="n">
        <f aca="false">IF(OR(A123="",C123=""),"",SUMPRODUCT(('Training Detail'!$A$5:$A$5000=A123)*('Training Detail'!$M$5:$M$5000=Standards!A4)*('Training Detail'!$G$5:$G$5000&gt;=D123)*('Training Detail'!$G$5:$G$5000&lt;=E123)*('Training Detail'!$P$5:$P$5000)))</f>
        <v>11</v>
      </c>
      <c r="I123" s="15" t="n">
        <f aca="false">IF(OR(A123="",C123=""),"",SUMPRODUCT(('Training Detail'!$A$5:$A$5000=A123)*('Training Detail'!$M$5:$M$5000=Standards!A5)*('Training Detail'!$G$5:$G$5000&gt;=D123)*('Training Detail'!$G$5:$G$5000&lt;=E123)*('Training Detail'!$P$5:$P$5000)))</f>
        <v>9.5</v>
      </c>
      <c r="J123" s="15" t="n">
        <f aca="false">IF(OR(A123="",C123=""),"",SUMPRODUCT(('Training Detail'!$A$5:$A$5000=A123)*('Training Detail'!$M$5:$M$5000=Standards!A6)*('Training Detail'!$G$5:$G$5000&gt;=D123)*('Training Detail'!$G$5:$G$5000&lt;=E123)*('Training Detail'!$P$5:$P$5000)))</f>
        <v>1</v>
      </c>
      <c r="K123" s="15" t="n">
        <f aca="false">IF(OR(A123="",C123=""),"",SUMPRODUCT(('Training Detail'!$A$5:$A$5000=A123)*('Training Detail'!$M$5:$M$5000=Standards!A7)*('Training Detail'!$G$5:$G$5000&gt;=D123)*('Training Detail'!$G$5:$G$5000&lt;=E123)*('Training Detail'!$P$5:$P$5000)))</f>
        <v>1</v>
      </c>
      <c r="L123" s="15" t="n">
        <f aca="false">IF(OR(A123="",C123=""),"",SUMPRODUCT(('Training Detail'!$A$5:$A$5000=A123)*('Training Detail'!$M$5:$M$5000=Standards!A8)*('Training Detail'!$G$5:$G$5000&gt;=D123)*('Training Detail'!$G$5:$G$5000&lt;=E123)*('Training Detail'!$P$5:$P$5000)))</f>
        <v>0</v>
      </c>
      <c r="M123" s="16" t="n">
        <f aca="false">IF(OR(A123="",C123=""),"",SUMPRODUCT(('Training Detail'!$A$5:$A$5000=A123)*('Training Detail'!$M$5:$M$5000=Standards!A9)*('Training Detail'!$G$5:$G$5000&gt;=D123)*('Training Detail'!$G$5:$G$5000&lt;=E123)*('Training Detail'!$P$5:$P$5000)))</f>
        <v>0</v>
      </c>
      <c r="N123" s="17" t="str">
        <f aca="false">IF(A123="","",IF(C123="","Set exp date",IF(AND(F123&gt;=Requirements!B5,G123&gt;=Requirements!B6,H123&gt;=Requirements!B7,I123&gt;=Requirements!B8,J123&gt;=Requirements!B9,K123&gt;=Requirements!B10,L123&gt;=Requirements!B11,M123&gt;=Requirements!B12),"Met","Short")))</f>
        <v>Short</v>
      </c>
      <c r="O123" s="18" t="str">
        <f aca="false">IF(OR(A123="",C123=""),"",IF(N123="Met","",IF(F123&lt;Requirements!B5,Requirements!A5&amp;" "&amp;TEXT(Requirements!B5-F123,"0.##")&amp;"; ","")&amp;IF(G123&lt;Requirements!B6,Requirements!A6&amp;" "&amp;TEXT(Requirements!B6-G123,"0.##")&amp;"; ","")&amp;IF(H123&lt;Requirements!B7,Requirements!A7&amp;" "&amp;TEXT(Requirements!B7-H123,"0.##")&amp;"; ","")&amp;IF(I123&lt;Requirements!B8,Requirements!A8&amp;" "&amp;TEXT(Requirements!B8-I123,"0.##")&amp;"; ","")&amp;IF(J123&lt;Requirements!B9,Requirements!A9&amp;" "&amp;TEXT(Requirements!B9-J123,"0.##")&amp;"; ","")&amp;IF(K123&lt;Requirements!B10,Requirements!A10&amp;" "&amp;TEXT(Requirements!B10-K123,"0.##")&amp;"; ","")&amp;IF(L123&lt;Requirements!B11,Requirements!A11&amp;" "&amp;TEXT(Requirements!B11-L123,"0.##")&amp;"; ","")&amp;IF(M123&lt;Requirements!B12,Requirements!A12&amp;" "&amp;TEXT(Requirements!B12-M123,"0.##")&amp;"; ","")))</f>
        <v>Cardiovascular 0.5; Operations 1; SVAT 1; CPR/AED 1; </v>
      </c>
    </row>
    <row r="124" customFormat="false" ht="15" hidden="false" customHeight="true" outlineLevel="0" collapsed="false">
      <c r="A124" s="11" t="s">
        <v>233</v>
      </c>
      <c r="B124" s="12" t="s">
        <v>234</v>
      </c>
      <c r="C124" s="13" t="n">
        <v>46752</v>
      </c>
      <c r="D124" s="14" t="n">
        <f aca="false">IF(C124="","",DATE(YEAR(C124)-1,1,1))</f>
        <v>46023</v>
      </c>
      <c r="E124" s="14" t="n">
        <f aca="false">IF(C124="","",DATE(YEAR(C124),12,31))</f>
        <v>46752</v>
      </c>
      <c r="F124" s="15" t="n">
        <f aca="false">IF(OR(A124="",C124=""),"",SUMPRODUCT(('Training Detail'!$A$5:$A$5000=A124)*('Training Detail'!$M$5:$M$5000=Standards!A2)*('Training Detail'!$G$5:$G$5000&gt;=D124)*('Training Detail'!$G$5:$G$5000&lt;=E124)*('Training Detail'!$P$5:$P$5000)))</f>
        <v>0</v>
      </c>
      <c r="G124" s="15" t="n">
        <f aca="false">IF(OR(A124="",C124=""),"",SUMPRODUCT(('Training Detail'!$A$5:$A$5000=A124)*('Training Detail'!$M$5:$M$5000=Standards!A3)*('Training Detail'!$G$5:$G$5000&gt;=D124)*('Training Detail'!$G$5:$G$5000&lt;=E124)*('Training Detail'!$P$5:$P$5000)))</f>
        <v>0</v>
      </c>
      <c r="H124" s="15" t="n">
        <f aca="false">IF(OR(A124="",C124=""),"",SUMPRODUCT(('Training Detail'!$A$5:$A$5000=A124)*('Training Detail'!$M$5:$M$5000=Standards!A4)*('Training Detail'!$G$5:$G$5000&gt;=D124)*('Training Detail'!$G$5:$G$5000&lt;=E124)*('Training Detail'!$P$5:$P$5000)))</f>
        <v>0</v>
      </c>
      <c r="I124" s="15" t="n">
        <f aca="false">IF(OR(A124="",C124=""),"",SUMPRODUCT(('Training Detail'!$A$5:$A$5000=A124)*('Training Detail'!$M$5:$M$5000=Standards!A5)*('Training Detail'!$G$5:$G$5000&gt;=D124)*('Training Detail'!$G$5:$G$5000&lt;=E124)*('Training Detail'!$P$5:$P$5000)))</f>
        <v>0</v>
      </c>
      <c r="J124" s="15" t="n">
        <f aca="false">IF(OR(A124="",C124=""),"",SUMPRODUCT(('Training Detail'!$A$5:$A$5000=A124)*('Training Detail'!$M$5:$M$5000=Standards!A6)*('Training Detail'!$G$5:$G$5000&gt;=D124)*('Training Detail'!$G$5:$G$5000&lt;=E124)*('Training Detail'!$P$5:$P$5000)))</f>
        <v>0</v>
      </c>
      <c r="K124" s="15" t="n">
        <f aca="false">IF(OR(A124="",C124=""),"",SUMPRODUCT(('Training Detail'!$A$5:$A$5000=A124)*('Training Detail'!$M$5:$M$5000=Standards!A7)*('Training Detail'!$G$5:$G$5000&gt;=D124)*('Training Detail'!$G$5:$G$5000&lt;=E124)*('Training Detail'!$P$5:$P$5000)))</f>
        <v>0</v>
      </c>
      <c r="L124" s="15" t="n">
        <f aca="false">IF(OR(A124="",C124=""),"",SUMPRODUCT(('Training Detail'!$A$5:$A$5000=A124)*('Training Detail'!$M$5:$M$5000=Standards!A8)*('Training Detail'!$G$5:$G$5000&gt;=D124)*('Training Detail'!$G$5:$G$5000&lt;=E124)*('Training Detail'!$P$5:$P$5000)))</f>
        <v>0</v>
      </c>
      <c r="M124" s="16" t="n">
        <f aca="false">IF(OR(A124="",C124=""),"",SUMPRODUCT(('Training Detail'!$A$5:$A$5000=A124)*('Training Detail'!$M$5:$M$5000=Standards!A9)*('Training Detail'!$G$5:$G$5000&gt;=D124)*('Training Detail'!$G$5:$G$5000&lt;=E124)*('Training Detail'!$P$5:$P$5000)))</f>
        <v>0</v>
      </c>
      <c r="N124" s="17" t="str">
        <f aca="false">IF(A124="","",IF(C124="","Set exp date",IF(AND(F124&gt;=Requirements!B5,G124&gt;=Requirements!B6,H124&gt;=Requirements!B7,I124&gt;=Requirements!B8,J124&gt;=Requirements!B9,K124&gt;=Requirements!B10,L124&gt;=Requirements!B11,M124&gt;=Requirements!B12),"Met","Short")))</f>
        <v>Short</v>
      </c>
      <c r="O124" s="18" t="str">
        <f aca="false">IF(OR(A124="",C124=""),"",IF(N124="Met","",IF(F124&lt;Requirements!B5,Requirements!A5&amp;" "&amp;TEXT(Requirements!B5-F124,"0.##")&amp;"; ","")&amp;IF(G124&lt;Requirements!B6,Requirements!A6&amp;" "&amp;TEXT(Requirements!B6-G124,"0.##")&amp;"; ","")&amp;IF(H124&lt;Requirements!B7,Requirements!A7&amp;" "&amp;TEXT(Requirements!B7-H124,"0.##")&amp;"; ","")&amp;IF(I124&lt;Requirements!B8,Requirements!A8&amp;" "&amp;TEXT(Requirements!B8-I124,"0.##")&amp;"; ","")&amp;IF(J124&lt;Requirements!B9,Requirements!A9&amp;" "&amp;TEXT(Requirements!B9-J124,"0.##")&amp;"; ","")&amp;IF(K124&lt;Requirements!B10,Requirements!A10&amp;" "&amp;TEXT(Requirements!B10-K124,"0.##")&amp;"; ","")&amp;IF(L124&lt;Requirements!B11,Requirements!A11&amp;" "&amp;TEXT(Requirements!B11-L124,"0.##")&amp;"; ","")&amp;IF(M124&lt;Requirements!B12,Requirements!A12&amp;" "&amp;TEXT(Requirements!B12-M124,"0.##")&amp;"; ","")))</f>
        <v>Airway 4; Cardiovascular 5; Trauma 3; Medical 6; Operations 2; PAHT 1; SVAT 1; CPR/AED 1; </v>
      </c>
    </row>
    <row r="125" customFormat="false" ht="15" hidden="false" customHeight="true" outlineLevel="0" collapsed="false">
      <c r="A125" s="19" t="s">
        <v>235</v>
      </c>
      <c r="B125" s="20" t="s">
        <v>236</v>
      </c>
      <c r="C125" s="13" t="n">
        <v>46387</v>
      </c>
      <c r="D125" s="21" t="n">
        <f aca="false">IF(C125="","",DATE(YEAR(C125)-1,1,1))</f>
        <v>45658</v>
      </c>
      <c r="E125" s="21" t="n">
        <f aca="false">IF(C125="","",DATE(YEAR(C125),12,31))</f>
        <v>46387</v>
      </c>
      <c r="F125" s="15" t="n">
        <f aca="false">IF(OR(A125="",C125=""),"",SUMPRODUCT(('Training Detail'!$A$5:$A$5000=A125)*('Training Detail'!$M$5:$M$5000=Standards!A2)*('Training Detail'!$G$5:$G$5000&gt;=D125)*('Training Detail'!$G$5:$G$5000&lt;=E125)*('Training Detail'!$P$5:$P$5000)))</f>
        <v>0</v>
      </c>
      <c r="G125" s="15" t="n">
        <f aca="false">IF(OR(A125="",C125=""),"",SUMPRODUCT(('Training Detail'!$A$5:$A$5000=A125)*('Training Detail'!$M$5:$M$5000=Standards!A3)*('Training Detail'!$G$5:$G$5000&gt;=D125)*('Training Detail'!$G$5:$G$5000&lt;=E125)*('Training Detail'!$P$5:$P$5000)))</f>
        <v>0</v>
      </c>
      <c r="H125" s="15" t="n">
        <f aca="false">IF(OR(A125="",C125=""),"",SUMPRODUCT(('Training Detail'!$A$5:$A$5000=A125)*('Training Detail'!$M$5:$M$5000=Standards!A4)*('Training Detail'!$G$5:$G$5000&gt;=D125)*('Training Detail'!$G$5:$G$5000&lt;=E125)*('Training Detail'!$P$5:$P$5000)))</f>
        <v>4</v>
      </c>
      <c r="I125" s="15" t="n">
        <f aca="false">IF(OR(A125="",C125=""),"",SUMPRODUCT(('Training Detail'!$A$5:$A$5000=A125)*('Training Detail'!$M$5:$M$5000=Standards!A5)*('Training Detail'!$G$5:$G$5000&gt;=D125)*('Training Detail'!$G$5:$G$5000&lt;=E125)*('Training Detail'!$P$5:$P$5000)))</f>
        <v>6</v>
      </c>
      <c r="J125" s="15" t="n">
        <f aca="false">IF(OR(A125="",C125=""),"",SUMPRODUCT(('Training Detail'!$A$5:$A$5000=A125)*('Training Detail'!$M$5:$M$5000=Standards!A6)*('Training Detail'!$G$5:$G$5000&gt;=D125)*('Training Detail'!$G$5:$G$5000&lt;=E125)*('Training Detail'!$P$5:$P$5000)))</f>
        <v>1</v>
      </c>
      <c r="K125" s="15" t="n">
        <f aca="false">IF(OR(A125="",C125=""),"",SUMPRODUCT(('Training Detail'!$A$5:$A$5000=A125)*('Training Detail'!$M$5:$M$5000=Standards!A7)*('Training Detail'!$G$5:$G$5000&gt;=D125)*('Training Detail'!$G$5:$G$5000&lt;=E125)*('Training Detail'!$P$5:$P$5000)))</f>
        <v>0</v>
      </c>
      <c r="L125" s="15" t="n">
        <f aca="false">IF(OR(A125="",C125=""),"",SUMPRODUCT(('Training Detail'!$A$5:$A$5000=A125)*('Training Detail'!$M$5:$M$5000=Standards!A8)*('Training Detail'!$G$5:$G$5000&gt;=D125)*('Training Detail'!$G$5:$G$5000&lt;=E125)*('Training Detail'!$P$5:$P$5000)))</f>
        <v>0</v>
      </c>
      <c r="M125" s="16" t="n">
        <f aca="false">IF(OR(A125="",C125=""),"",SUMPRODUCT(('Training Detail'!$A$5:$A$5000=A125)*('Training Detail'!$M$5:$M$5000=Standards!A9)*('Training Detail'!$G$5:$G$5000&gt;=D125)*('Training Detail'!$G$5:$G$5000&lt;=E125)*('Training Detail'!$P$5:$P$5000)))</f>
        <v>0</v>
      </c>
      <c r="N125" s="17" t="str">
        <f aca="false">IF(A125="","",IF(C125="","Set exp date",IF(AND(F125&gt;=Requirements!B5,G125&gt;=Requirements!B6,H125&gt;=Requirements!B7,I125&gt;=Requirements!B8,J125&gt;=Requirements!B9,K125&gt;=Requirements!B10,L125&gt;=Requirements!B11,M125&gt;=Requirements!B12),"Met","Short")))</f>
        <v>Short</v>
      </c>
      <c r="O125" s="18" t="str">
        <f aca="false">IF(OR(A125="",C125=""),"",IF(N125="Met","",IF(F125&lt;Requirements!B5,Requirements!A5&amp;" "&amp;TEXT(Requirements!B5-F125,"0.##")&amp;"; ","")&amp;IF(G125&lt;Requirements!B6,Requirements!A6&amp;" "&amp;TEXT(Requirements!B6-G125,"0.##")&amp;"; ","")&amp;IF(H125&lt;Requirements!B7,Requirements!A7&amp;" "&amp;TEXT(Requirements!B7-H125,"0.##")&amp;"; ","")&amp;IF(I125&lt;Requirements!B8,Requirements!A8&amp;" "&amp;TEXT(Requirements!B8-I125,"0.##")&amp;"; ","")&amp;IF(J125&lt;Requirements!B9,Requirements!A9&amp;" "&amp;TEXT(Requirements!B9-J125,"0.##")&amp;"; ","")&amp;IF(K125&lt;Requirements!B10,Requirements!A10&amp;" "&amp;TEXT(Requirements!B10-K125,"0.##")&amp;"; ","")&amp;IF(L125&lt;Requirements!B11,Requirements!A11&amp;" "&amp;TEXT(Requirements!B11-L125,"0.##")&amp;"; ","")&amp;IF(M125&lt;Requirements!B12,Requirements!A12&amp;" "&amp;TEXT(Requirements!B12-M125,"0.##")&amp;"; ","")))</f>
        <v>Airway 4; Cardiovascular 5; Operations 1; PAHT 1; SVAT 1; CPR/AED 1; </v>
      </c>
    </row>
    <row r="126" customFormat="false" ht="15" hidden="false" customHeight="true" outlineLevel="0" collapsed="false">
      <c r="A126" s="11" t="s">
        <v>237</v>
      </c>
      <c r="B126" s="12" t="s">
        <v>238</v>
      </c>
      <c r="C126" s="13" t="n">
        <v>46387</v>
      </c>
      <c r="D126" s="14" t="n">
        <f aca="false">IF(C126="","",DATE(YEAR(C126)-1,1,1))</f>
        <v>45658</v>
      </c>
      <c r="E126" s="14" t="n">
        <f aca="false">IF(C126="","",DATE(YEAR(C126),12,31))</f>
        <v>46387</v>
      </c>
      <c r="F126" s="15" t="n">
        <f aca="false">IF(OR(A126="",C126=""),"",SUMPRODUCT(('Training Detail'!$A$5:$A$5000=A126)*('Training Detail'!$M$5:$M$5000=Standards!A2)*('Training Detail'!$G$5:$G$5000&gt;=D126)*('Training Detail'!$G$5:$G$5000&lt;=E126)*('Training Detail'!$P$5:$P$5000)))</f>
        <v>0</v>
      </c>
      <c r="G126" s="15" t="n">
        <f aca="false">IF(OR(A126="",C126=""),"",SUMPRODUCT(('Training Detail'!$A$5:$A$5000=A126)*('Training Detail'!$M$5:$M$5000=Standards!A3)*('Training Detail'!$G$5:$G$5000&gt;=D126)*('Training Detail'!$G$5:$G$5000&lt;=E126)*('Training Detail'!$P$5:$P$5000)))</f>
        <v>1</v>
      </c>
      <c r="H126" s="15" t="n">
        <f aca="false">IF(OR(A126="",C126=""),"",SUMPRODUCT(('Training Detail'!$A$5:$A$5000=A126)*('Training Detail'!$M$5:$M$5000=Standards!A4)*('Training Detail'!$G$5:$G$5000&gt;=D126)*('Training Detail'!$G$5:$G$5000&lt;=E126)*('Training Detail'!$P$5:$P$5000)))</f>
        <v>5.5</v>
      </c>
      <c r="I126" s="15" t="n">
        <f aca="false">IF(OR(A126="",C126=""),"",SUMPRODUCT(('Training Detail'!$A$5:$A$5000=A126)*('Training Detail'!$M$5:$M$5000=Standards!A5)*('Training Detail'!$G$5:$G$5000&gt;=D126)*('Training Detail'!$G$5:$G$5000&lt;=E126)*('Training Detail'!$P$5:$P$5000)))</f>
        <v>6</v>
      </c>
      <c r="J126" s="15" t="n">
        <f aca="false">IF(OR(A126="",C126=""),"",SUMPRODUCT(('Training Detail'!$A$5:$A$5000=A126)*('Training Detail'!$M$5:$M$5000=Standards!A6)*('Training Detail'!$G$5:$G$5000&gt;=D126)*('Training Detail'!$G$5:$G$5000&lt;=E126)*('Training Detail'!$P$5:$P$5000)))</f>
        <v>4</v>
      </c>
      <c r="K126" s="15" t="n">
        <f aca="false">IF(OR(A126="",C126=""),"",SUMPRODUCT(('Training Detail'!$A$5:$A$5000=A126)*('Training Detail'!$M$5:$M$5000=Standards!A7)*('Training Detail'!$G$5:$G$5000&gt;=D126)*('Training Detail'!$G$5:$G$5000&lt;=E126)*('Training Detail'!$P$5:$P$5000)))</f>
        <v>0</v>
      </c>
      <c r="L126" s="15" t="n">
        <f aca="false">IF(OR(A126="",C126=""),"",SUMPRODUCT(('Training Detail'!$A$5:$A$5000=A126)*('Training Detail'!$M$5:$M$5000=Standards!A8)*('Training Detail'!$G$5:$G$5000&gt;=D126)*('Training Detail'!$G$5:$G$5000&lt;=E126)*('Training Detail'!$P$5:$P$5000)))</f>
        <v>0</v>
      </c>
      <c r="M126" s="16" t="n">
        <f aca="false">IF(OR(A126="",C126=""),"",SUMPRODUCT(('Training Detail'!$A$5:$A$5000=A126)*('Training Detail'!$M$5:$M$5000=Standards!A9)*('Training Detail'!$G$5:$G$5000&gt;=D126)*('Training Detail'!$G$5:$G$5000&lt;=E126)*('Training Detail'!$P$5:$P$5000)))</f>
        <v>4</v>
      </c>
      <c r="N126" s="17" t="str">
        <f aca="false">IF(A126="","",IF(C126="","Set exp date",IF(AND(F126&gt;=Requirements!B5,G126&gt;=Requirements!B6,H126&gt;=Requirements!B7,I126&gt;=Requirements!B8,J126&gt;=Requirements!B9,K126&gt;=Requirements!B10,L126&gt;=Requirements!B11,M126&gt;=Requirements!B12),"Met","Short")))</f>
        <v>Short</v>
      </c>
      <c r="O126" s="18" t="str">
        <f aca="false">IF(OR(A126="",C126=""),"",IF(N126="Met","",IF(F126&lt;Requirements!B5,Requirements!A5&amp;" "&amp;TEXT(Requirements!B5-F126,"0.##")&amp;"; ","")&amp;IF(G126&lt;Requirements!B6,Requirements!A6&amp;" "&amp;TEXT(Requirements!B6-G126,"0.##")&amp;"; ","")&amp;IF(H126&lt;Requirements!B7,Requirements!A7&amp;" "&amp;TEXT(Requirements!B7-H126,"0.##")&amp;"; ","")&amp;IF(I126&lt;Requirements!B8,Requirements!A8&amp;" "&amp;TEXT(Requirements!B8-I126,"0.##")&amp;"; ","")&amp;IF(J126&lt;Requirements!B9,Requirements!A9&amp;" "&amp;TEXT(Requirements!B9-J126,"0.##")&amp;"; ","")&amp;IF(K126&lt;Requirements!B10,Requirements!A10&amp;" "&amp;TEXT(Requirements!B10-K126,"0.##")&amp;"; ","")&amp;IF(L126&lt;Requirements!B11,Requirements!A11&amp;" "&amp;TEXT(Requirements!B11-L126,"0.##")&amp;"; ","")&amp;IF(M126&lt;Requirements!B12,Requirements!A12&amp;" "&amp;TEXT(Requirements!B12-M126,"0.##")&amp;"; ","")))</f>
        <v>Airway 4; Cardiovascular 4; PAHT 1; SVAT 1; </v>
      </c>
    </row>
    <row r="127" customFormat="false" ht="15" hidden="false" customHeight="true" outlineLevel="0" collapsed="false">
      <c r="A127" s="19" t="s">
        <v>239</v>
      </c>
      <c r="B127" s="20"/>
      <c r="C127" s="13"/>
      <c r="D127" s="21" t="str">
        <f aca="false">IF(C127="","",DATE(YEAR(C127)-1,1,1))</f>
        <v/>
      </c>
      <c r="E127" s="21" t="str">
        <f aca="false">IF(C127="","",DATE(YEAR(C127),12,31))</f>
        <v/>
      </c>
      <c r="F127" s="15" t="str">
        <f aca="false">IF(OR(A127="",C127=""),"",SUMPRODUCT(('Training Detail'!$A$5:$A$5000=A127)*('Training Detail'!$M$5:$M$5000=Standards!A2)*('Training Detail'!$G$5:$G$5000&gt;=D127)*('Training Detail'!$G$5:$G$5000&lt;=E127)*('Training Detail'!$P$5:$P$5000)))</f>
        <v/>
      </c>
      <c r="G127" s="15" t="str">
        <f aca="false">IF(OR(A127="",C127=""),"",SUMPRODUCT(('Training Detail'!$A$5:$A$5000=A127)*('Training Detail'!$M$5:$M$5000=Standards!A3)*('Training Detail'!$G$5:$G$5000&gt;=D127)*('Training Detail'!$G$5:$G$5000&lt;=E127)*('Training Detail'!$P$5:$P$5000)))</f>
        <v/>
      </c>
      <c r="H127" s="15" t="str">
        <f aca="false">IF(OR(A127="",C127=""),"",SUMPRODUCT(('Training Detail'!$A$5:$A$5000=A127)*('Training Detail'!$M$5:$M$5000=Standards!A4)*('Training Detail'!$G$5:$G$5000&gt;=D127)*('Training Detail'!$G$5:$G$5000&lt;=E127)*('Training Detail'!$P$5:$P$5000)))</f>
        <v/>
      </c>
      <c r="I127" s="15" t="str">
        <f aca="false">IF(OR(A127="",C127=""),"",SUMPRODUCT(('Training Detail'!$A$5:$A$5000=A127)*('Training Detail'!$M$5:$M$5000=Standards!A5)*('Training Detail'!$G$5:$G$5000&gt;=D127)*('Training Detail'!$G$5:$G$5000&lt;=E127)*('Training Detail'!$P$5:$P$5000)))</f>
        <v/>
      </c>
      <c r="J127" s="15" t="str">
        <f aca="false">IF(OR(A127="",C127=""),"",SUMPRODUCT(('Training Detail'!$A$5:$A$5000=A127)*('Training Detail'!$M$5:$M$5000=Standards!A6)*('Training Detail'!$G$5:$G$5000&gt;=D127)*('Training Detail'!$G$5:$G$5000&lt;=E127)*('Training Detail'!$P$5:$P$5000)))</f>
        <v/>
      </c>
      <c r="K127" s="15" t="str">
        <f aca="false">IF(OR(A127="",C127=""),"",SUMPRODUCT(('Training Detail'!$A$5:$A$5000=A127)*('Training Detail'!$M$5:$M$5000=Standards!A7)*('Training Detail'!$G$5:$G$5000&gt;=D127)*('Training Detail'!$G$5:$G$5000&lt;=E127)*('Training Detail'!$P$5:$P$5000)))</f>
        <v/>
      </c>
      <c r="L127" s="15" t="str">
        <f aca="false">IF(OR(A127="",C127=""),"",SUMPRODUCT(('Training Detail'!$A$5:$A$5000=A127)*('Training Detail'!$M$5:$M$5000=Standards!A8)*('Training Detail'!$G$5:$G$5000&gt;=D127)*('Training Detail'!$G$5:$G$5000&lt;=E127)*('Training Detail'!$P$5:$P$5000)))</f>
        <v/>
      </c>
      <c r="M127" s="16" t="str">
        <f aca="false">IF(OR(A127="",C127=""),"",SUMPRODUCT(('Training Detail'!$A$5:$A$5000=A127)*('Training Detail'!$M$5:$M$5000=Standards!A9)*('Training Detail'!$G$5:$G$5000&gt;=D127)*('Training Detail'!$G$5:$G$5000&lt;=E127)*('Training Detail'!$P$5:$P$5000)))</f>
        <v/>
      </c>
      <c r="N127" s="17" t="str">
        <f aca="false">IF(A127="","",IF(C127="","Set exp date",IF(AND(F127&gt;=Requirements!B5,G127&gt;=Requirements!B6,H127&gt;=Requirements!B7,I127&gt;=Requirements!B8,J127&gt;=Requirements!B9,K127&gt;=Requirements!B10,L127&gt;=Requirements!B11,M127&gt;=Requirements!B12),"Met","Short")))</f>
        <v>Set exp date</v>
      </c>
      <c r="O127" s="18" t="str">
        <f aca="false">IF(OR(A127="",C127=""),"",IF(N127="Met","",IF(F127&lt;Requirements!B5,Requirements!A5&amp;" "&amp;TEXT(Requirements!B5-F127,"0.##")&amp;"; ","")&amp;IF(G127&lt;Requirements!B6,Requirements!A6&amp;" "&amp;TEXT(Requirements!B6-G127,"0.##")&amp;"; ","")&amp;IF(H127&lt;Requirements!B7,Requirements!A7&amp;" "&amp;TEXT(Requirements!B7-H127,"0.##")&amp;"; ","")&amp;IF(I127&lt;Requirements!B8,Requirements!A8&amp;" "&amp;TEXT(Requirements!B8-I127,"0.##")&amp;"; ","")&amp;IF(J127&lt;Requirements!B9,Requirements!A9&amp;" "&amp;TEXT(Requirements!B9-J127,"0.##")&amp;"; ","")&amp;IF(K127&lt;Requirements!B10,Requirements!A10&amp;" "&amp;TEXT(Requirements!B10-K127,"0.##")&amp;"; ","")&amp;IF(L127&lt;Requirements!B11,Requirements!A11&amp;" "&amp;TEXT(Requirements!B11-L127,"0.##")&amp;"; ","")&amp;IF(M127&lt;Requirements!B12,Requirements!A12&amp;" "&amp;TEXT(Requirements!B12-M127,"0.##")&amp;"; ","")))</f>
        <v/>
      </c>
    </row>
    <row r="128" customFormat="false" ht="15" hidden="false" customHeight="true" outlineLevel="0" collapsed="false">
      <c r="A128" s="11" t="s">
        <v>240</v>
      </c>
      <c r="B128" s="12" t="s">
        <v>241</v>
      </c>
      <c r="C128" s="13" t="n">
        <v>46387</v>
      </c>
      <c r="D128" s="14" t="n">
        <f aca="false">IF(C128="","",DATE(YEAR(C128)-1,1,1))</f>
        <v>45658</v>
      </c>
      <c r="E128" s="14" t="n">
        <f aca="false">IF(C128="","",DATE(YEAR(C128),12,31))</f>
        <v>46387</v>
      </c>
      <c r="F128" s="15" t="n">
        <f aca="false">IF(OR(A128="",C128=""),"",SUMPRODUCT(('Training Detail'!$A$5:$A$5000=A128)*('Training Detail'!$M$5:$M$5000=Standards!A2)*('Training Detail'!$G$5:$G$5000&gt;=D128)*('Training Detail'!$G$5:$G$5000&lt;=E128)*('Training Detail'!$P$5:$P$5000)))</f>
        <v>2</v>
      </c>
      <c r="G128" s="15" t="n">
        <f aca="false">IF(OR(A128="",C128=""),"",SUMPRODUCT(('Training Detail'!$A$5:$A$5000=A128)*('Training Detail'!$M$5:$M$5000=Standards!A3)*('Training Detail'!$G$5:$G$5000&gt;=D128)*('Training Detail'!$G$5:$G$5000&lt;=E128)*('Training Detail'!$P$5:$P$5000)))</f>
        <v>7.5</v>
      </c>
      <c r="H128" s="15" t="n">
        <f aca="false">IF(OR(A128="",C128=""),"",SUMPRODUCT(('Training Detail'!$A$5:$A$5000=A128)*('Training Detail'!$M$5:$M$5000=Standards!A4)*('Training Detail'!$G$5:$G$5000&gt;=D128)*('Training Detail'!$G$5:$G$5000&lt;=E128)*('Training Detail'!$P$5:$P$5000)))</f>
        <v>12</v>
      </c>
      <c r="I128" s="15" t="n">
        <f aca="false">IF(OR(A128="",C128=""),"",SUMPRODUCT(('Training Detail'!$A$5:$A$5000=A128)*('Training Detail'!$M$5:$M$5000=Standards!A5)*('Training Detail'!$G$5:$G$5000&gt;=D128)*('Training Detail'!$G$5:$G$5000&lt;=E128)*('Training Detail'!$P$5:$P$5000)))</f>
        <v>10</v>
      </c>
      <c r="J128" s="15" t="n">
        <f aca="false">IF(OR(A128="",C128=""),"",SUMPRODUCT(('Training Detail'!$A$5:$A$5000=A128)*('Training Detail'!$M$5:$M$5000=Standards!A6)*('Training Detail'!$G$5:$G$5000&gt;=D128)*('Training Detail'!$G$5:$G$5000&lt;=E128)*('Training Detail'!$P$5:$P$5000)))</f>
        <v>7</v>
      </c>
      <c r="K128" s="15" t="n">
        <f aca="false">IF(OR(A128="",C128=""),"",SUMPRODUCT(('Training Detail'!$A$5:$A$5000=A128)*('Training Detail'!$M$5:$M$5000=Standards!A7)*('Training Detail'!$G$5:$G$5000&gt;=D128)*('Training Detail'!$G$5:$G$5000&lt;=E128)*('Training Detail'!$P$5:$P$5000)))</f>
        <v>0</v>
      </c>
      <c r="L128" s="15" t="n">
        <f aca="false">IF(OR(A128="",C128=""),"",SUMPRODUCT(('Training Detail'!$A$5:$A$5000=A128)*('Training Detail'!$M$5:$M$5000=Standards!A8)*('Training Detail'!$G$5:$G$5000&gt;=D128)*('Training Detail'!$G$5:$G$5000&lt;=E128)*('Training Detail'!$P$5:$P$5000)))</f>
        <v>0</v>
      </c>
      <c r="M128" s="16" t="n">
        <f aca="false">IF(OR(A128="",C128=""),"",SUMPRODUCT(('Training Detail'!$A$5:$A$5000=A128)*('Training Detail'!$M$5:$M$5000=Standards!A9)*('Training Detail'!$G$5:$G$5000&gt;=D128)*('Training Detail'!$G$5:$G$5000&lt;=E128)*('Training Detail'!$P$5:$P$5000)))</f>
        <v>3.5</v>
      </c>
      <c r="N128" s="17" t="str">
        <f aca="false">IF(A128="","",IF(C128="","Set exp date",IF(AND(F128&gt;=Requirements!B5,G128&gt;=Requirements!B6,H128&gt;=Requirements!B7,I128&gt;=Requirements!B8,J128&gt;=Requirements!B9,K128&gt;=Requirements!B10,L128&gt;=Requirements!B11,M128&gt;=Requirements!B12),"Met","Short")))</f>
        <v>Short</v>
      </c>
      <c r="O128" s="18" t="str">
        <f aca="false">IF(OR(A128="",C128=""),"",IF(N128="Met","",IF(F128&lt;Requirements!B5,Requirements!A5&amp;" "&amp;TEXT(Requirements!B5-F128,"0.##")&amp;"; ","")&amp;IF(G128&lt;Requirements!B6,Requirements!A6&amp;" "&amp;TEXT(Requirements!B6-G128,"0.##")&amp;"; ","")&amp;IF(H128&lt;Requirements!B7,Requirements!A7&amp;" "&amp;TEXT(Requirements!B7-H128,"0.##")&amp;"; ","")&amp;IF(I128&lt;Requirements!B8,Requirements!A8&amp;" "&amp;TEXT(Requirements!B8-I128,"0.##")&amp;"; ","")&amp;IF(J128&lt;Requirements!B9,Requirements!A9&amp;" "&amp;TEXT(Requirements!B9-J128,"0.##")&amp;"; ","")&amp;IF(K128&lt;Requirements!B10,Requirements!A10&amp;" "&amp;TEXT(Requirements!B10-K128,"0.##")&amp;"; ","")&amp;IF(L128&lt;Requirements!B11,Requirements!A11&amp;" "&amp;TEXT(Requirements!B11-L128,"0.##")&amp;"; ","")&amp;IF(M128&lt;Requirements!B12,Requirements!A12&amp;" "&amp;TEXT(Requirements!B12-M128,"0.##")&amp;"; ","")))</f>
        <v>Airway 2; PAHT 1; SVAT 1; </v>
      </c>
    </row>
    <row r="129" customFormat="false" ht="15" hidden="false" customHeight="true" outlineLevel="0" collapsed="false">
      <c r="A129" s="19" t="s">
        <v>242</v>
      </c>
      <c r="B129" s="20" t="s">
        <v>243</v>
      </c>
      <c r="C129" s="13" t="n">
        <v>46752</v>
      </c>
      <c r="D129" s="21" t="n">
        <f aca="false">IF(C129="","",DATE(YEAR(C129)-1,1,1))</f>
        <v>46023</v>
      </c>
      <c r="E129" s="21" t="n">
        <f aca="false">IF(C129="","",DATE(YEAR(C129),12,31))</f>
        <v>46752</v>
      </c>
      <c r="F129" s="15" t="n">
        <f aca="false">IF(OR(A129="",C129=""),"",SUMPRODUCT(('Training Detail'!$A$5:$A$5000=A129)*('Training Detail'!$M$5:$M$5000=Standards!A2)*('Training Detail'!$G$5:$G$5000&gt;=D129)*('Training Detail'!$G$5:$G$5000&lt;=E129)*('Training Detail'!$P$5:$P$5000)))</f>
        <v>0</v>
      </c>
      <c r="G129" s="15" t="n">
        <f aca="false">IF(OR(A129="",C129=""),"",SUMPRODUCT(('Training Detail'!$A$5:$A$5000=A129)*('Training Detail'!$M$5:$M$5000=Standards!A3)*('Training Detail'!$G$5:$G$5000&gt;=D129)*('Training Detail'!$G$5:$G$5000&lt;=E129)*('Training Detail'!$P$5:$P$5000)))</f>
        <v>0</v>
      </c>
      <c r="H129" s="15" t="n">
        <f aca="false">IF(OR(A129="",C129=""),"",SUMPRODUCT(('Training Detail'!$A$5:$A$5000=A129)*('Training Detail'!$M$5:$M$5000=Standards!A4)*('Training Detail'!$G$5:$G$5000&gt;=D129)*('Training Detail'!$G$5:$G$5000&lt;=E129)*('Training Detail'!$P$5:$P$5000)))</f>
        <v>2.5</v>
      </c>
      <c r="I129" s="15" t="n">
        <f aca="false">IF(OR(A129="",C129=""),"",SUMPRODUCT(('Training Detail'!$A$5:$A$5000=A129)*('Training Detail'!$M$5:$M$5000=Standards!A5)*('Training Detail'!$G$5:$G$5000&gt;=D129)*('Training Detail'!$G$5:$G$5000&lt;=E129)*('Training Detail'!$P$5:$P$5000)))</f>
        <v>1</v>
      </c>
      <c r="J129" s="15" t="n">
        <f aca="false">IF(OR(A129="",C129=""),"",SUMPRODUCT(('Training Detail'!$A$5:$A$5000=A129)*('Training Detail'!$M$5:$M$5000=Standards!A6)*('Training Detail'!$G$5:$G$5000&gt;=D129)*('Training Detail'!$G$5:$G$5000&lt;=E129)*('Training Detail'!$P$5:$P$5000)))</f>
        <v>1</v>
      </c>
      <c r="K129" s="15" t="n">
        <f aca="false">IF(OR(A129="",C129=""),"",SUMPRODUCT(('Training Detail'!$A$5:$A$5000=A129)*('Training Detail'!$M$5:$M$5000=Standards!A7)*('Training Detail'!$G$5:$G$5000&gt;=D129)*('Training Detail'!$G$5:$G$5000&lt;=E129)*('Training Detail'!$P$5:$P$5000)))</f>
        <v>0</v>
      </c>
      <c r="L129" s="15" t="n">
        <f aca="false">IF(OR(A129="",C129=""),"",SUMPRODUCT(('Training Detail'!$A$5:$A$5000=A129)*('Training Detail'!$M$5:$M$5000=Standards!A8)*('Training Detail'!$G$5:$G$5000&gt;=D129)*('Training Detail'!$G$5:$G$5000&lt;=E129)*('Training Detail'!$P$5:$P$5000)))</f>
        <v>0</v>
      </c>
      <c r="M129" s="16" t="n">
        <f aca="false">IF(OR(A129="",C129=""),"",SUMPRODUCT(('Training Detail'!$A$5:$A$5000=A129)*('Training Detail'!$M$5:$M$5000=Standards!A9)*('Training Detail'!$G$5:$G$5000&gt;=D129)*('Training Detail'!$G$5:$G$5000&lt;=E129)*('Training Detail'!$P$5:$P$5000)))</f>
        <v>0</v>
      </c>
      <c r="N129" s="17" t="str">
        <f aca="false">IF(A129="","",IF(C129="","Set exp date",IF(AND(F129&gt;=Requirements!B5,G129&gt;=Requirements!B6,H129&gt;=Requirements!B7,I129&gt;=Requirements!B8,J129&gt;=Requirements!B9,K129&gt;=Requirements!B10,L129&gt;=Requirements!B11,M129&gt;=Requirements!B12),"Met","Short")))</f>
        <v>Short</v>
      </c>
      <c r="O129" s="18" t="str">
        <f aca="false">IF(OR(A129="",C129=""),"",IF(N129="Met","",IF(F129&lt;Requirements!B5,Requirements!A5&amp;" "&amp;TEXT(Requirements!B5-F129,"0.##")&amp;"; ","")&amp;IF(G129&lt;Requirements!B6,Requirements!A6&amp;" "&amp;TEXT(Requirements!B6-G129,"0.##")&amp;"; ","")&amp;IF(H129&lt;Requirements!B7,Requirements!A7&amp;" "&amp;TEXT(Requirements!B7-H129,"0.##")&amp;"; ","")&amp;IF(I129&lt;Requirements!B8,Requirements!A8&amp;" "&amp;TEXT(Requirements!B8-I129,"0.##")&amp;"; ","")&amp;IF(J129&lt;Requirements!B9,Requirements!A9&amp;" "&amp;TEXT(Requirements!B9-J129,"0.##")&amp;"; ","")&amp;IF(K129&lt;Requirements!B10,Requirements!A10&amp;" "&amp;TEXT(Requirements!B10-K129,"0.##")&amp;"; ","")&amp;IF(L129&lt;Requirements!B11,Requirements!A11&amp;" "&amp;TEXT(Requirements!B11-L129,"0.##")&amp;"; ","")&amp;IF(M129&lt;Requirements!B12,Requirements!A12&amp;" "&amp;TEXT(Requirements!B12-M129,"0.##")&amp;"; ","")))</f>
        <v>Airway 4; Cardiovascular 5; Trauma 0.5; Medical 5; Operations 1; PAHT 1; SVAT 1; CPR/AED 1; </v>
      </c>
    </row>
    <row r="130" customFormat="false" ht="15" hidden="false" customHeight="true" outlineLevel="0" collapsed="false">
      <c r="A130" s="11" t="s">
        <v>244</v>
      </c>
      <c r="B130" s="12" t="s">
        <v>245</v>
      </c>
      <c r="C130" s="13" t="n">
        <v>46387</v>
      </c>
      <c r="D130" s="14" t="n">
        <f aca="false">IF(C130="","",DATE(YEAR(C130)-1,1,1))</f>
        <v>45658</v>
      </c>
      <c r="E130" s="14" t="n">
        <f aca="false">IF(C130="","",DATE(YEAR(C130),12,31))</f>
        <v>46387</v>
      </c>
      <c r="F130" s="15" t="n">
        <f aca="false">IF(OR(A130="",C130=""),"",SUMPRODUCT(('Training Detail'!$A$5:$A$5000=A130)*('Training Detail'!$M$5:$M$5000=Standards!A2)*('Training Detail'!$G$5:$G$5000&gt;=D130)*('Training Detail'!$G$5:$G$5000&lt;=E130)*('Training Detail'!$P$5:$P$5000)))</f>
        <v>0</v>
      </c>
      <c r="G130" s="15" t="n">
        <f aca="false">IF(OR(A130="",C130=""),"",SUMPRODUCT(('Training Detail'!$A$5:$A$5000=A130)*('Training Detail'!$M$5:$M$5000=Standards!A3)*('Training Detail'!$G$5:$G$5000&gt;=D130)*('Training Detail'!$G$5:$G$5000&lt;=E130)*('Training Detail'!$P$5:$P$5000)))</f>
        <v>0</v>
      </c>
      <c r="H130" s="15" t="n">
        <f aca="false">IF(OR(A130="",C130=""),"",SUMPRODUCT(('Training Detail'!$A$5:$A$5000=A130)*('Training Detail'!$M$5:$M$5000=Standards!A4)*('Training Detail'!$G$5:$G$5000&gt;=D130)*('Training Detail'!$G$5:$G$5000&lt;=E130)*('Training Detail'!$P$5:$P$5000)))</f>
        <v>1</v>
      </c>
      <c r="I130" s="15" t="n">
        <f aca="false">IF(OR(A130="",C130=""),"",SUMPRODUCT(('Training Detail'!$A$5:$A$5000=A130)*('Training Detail'!$M$5:$M$5000=Standards!A5)*('Training Detail'!$G$5:$G$5000&gt;=D130)*('Training Detail'!$G$5:$G$5000&lt;=E130)*('Training Detail'!$P$5:$P$5000)))</f>
        <v>1</v>
      </c>
      <c r="J130" s="15" t="n">
        <f aca="false">IF(OR(A130="",C130=""),"",SUMPRODUCT(('Training Detail'!$A$5:$A$5000=A130)*('Training Detail'!$M$5:$M$5000=Standards!A6)*('Training Detail'!$G$5:$G$5000&gt;=D130)*('Training Detail'!$G$5:$G$5000&lt;=E130)*('Training Detail'!$P$5:$P$5000)))</f>
        <v>5</v>
      </c>
      <c r="K130" s="15" t="n">
        <f aca="false">IF(OR(A130="",C130=""),"",SUMPRODUCT(('Training Detail'!$A$5:$A$5000=A130)*('Training Detail'!$M$5:$M$5000=Standards!A7)*('Training Detail'!$G$5:$G$5000&gt;=D130)*('Training Detail'!$G$5:$G$5000&lt;=E130)*('Training Detail'!$P$5:$P$5000)))</f>
        <v>0</v>
      </c>
      <c r="L130" s="15" t="n">
        <f aca="false">IF(OR(A130="",C130=""),"",SUMPRODUCT(('Training Detail'!$A$5:$A$5000=A130)*('Training Detail'!$M$5:$M$5000=Standards!A8)*('Training Detail'!$G$5:$G$5000&gt;=D130)*('Training Detail'!$G$5:$G$5000&lt;=E130)*('Training Detail'!$P$5:$P$5000)))</f>
        <v>0</v>
      </c>
      <c r="M130" s="16" t="n">
        <f aca="false">IF(OR(A130="",C130=""),"",SUMPRODUCT(('Training Detail'!$A$5:$A$5000=A130)*('Training Detail'!$M$5:$M$5000=Standards!A9)*('Training Detail'!$G$5:$G$5000&gt;=D130)*('Training Detail'!$G$5:$G$5000&lt;=E130)*('Training Detail'!$P$5:$P$5000)))</f>
        <v>4</v>
      </c>
      <c r="N130" s="17" t="str">
        <f aca="false">IF(A130="","",IF(C130="","Set exp date",IF(AND(F130&gt;=Requirements!B5,G130&gt;=Requirements!B6,H130&gt;=Requirements!B7,I130&gt;=Requirements!B8,J130&gt;=Requirements!B9,K130&gt;=Requirements!B10,L130&gt;=Requirements!B11,M130&gt;=Requirements!B12),"Met","Short")))</f>
        <v>Short</v>
      </c>
      <c r="O130" s="18" t="str">
        <f aca="false">IF(OR(A130="",C130=""),"",IF(N130="Met","",IF(F130&lt;Requirements!B5,Requirements!A5&amp;" "&amp;TEXT(Requirements!B5-F130,"0.##")&amp;"; ","")&amp;IF(G130&lt;Requirements!B6,Requirements!A6&amp;" "&amp;TEXT(Requirements!B6-G130,"0.##")&amp;"; ","")&amp;IF(H130&lt;Requirements!B7,Requirements!A7&amp;" "&amp;TEXT(Requirements!B7-H130,"0.##")&amp;"; ","")&amp;IF(I130&lt;Requirements!B8,Requirements!A8&amp;" "&amp;TEXT(Requirements!B8-I130,"0.##")&amp;"; ","")&amp;IF(J130&lt;Requirements!B9,Requirements!A9&amp;" "&amp;TEXT(Requirements!B9-J130,"0.##")&amp;"; ","")&amp;IF(K130&lt;Requirements!B10,Requirements!A10&amp;" "&amp;TEXT(Requirements!B10-K130,"0.##")&amp;"; ","")&amp;IF(L130&lt;Requirements!B11,Requirements!A11&amp;" "&amp;TEXT(Requirements!B11-L130,"0.##")&amp;"; ","")&amp;IF(M130&lt;Requirements!B12,Requirements!A12&amp;" "&amp;TEXT(Requirements!B12-M130,"0.##")&amp;"; ","")))</f>
        <v>Airway 4; Cardiovascular 5; Trauma 2; Medical 5; PAHT 1; SVAT 1; </v>
      </c>
    </row>
    <row r="131" customFormat="false" ht="15" hidden="false" customHeight="true" outlineLevel="0" collapsed="false">
      <c r="A131" s="19" t="s">
        <v>246</v>
      </c>
      <c r="B131" s="20"/>
      <c r="C131" s="13"/>
      <c r="D131" s="21" t="str">
        <f aca="false">IF(C131="","",DATE(YEAR(C131)-1,1,1))</f>
        <v/>
      </c>
      <c r="E131" s="21" t="str">
        <f aca="false">IF(C131="","",DATE(YEAR(C131),12,31))</f>
        <v/>
      </c>
      <c r="F131" s="15" t="str">
        <f aca="false">IF(OR(A131="",C131=""),"",SUMPRODUCT(('Training Detail'!$A$5:$A$5000=A131)*('Training Detail'!$M$5:$M$5000=Standards!A2)*('Training Detail'!$G$5:$G$5000&gt;=D131)*('Training Detail'!$G$5:$G$5000&lt;=E131)*('Training Detail'!$P$5:$P$5000)))</f>
        <v/>
      </c>
      <c r="G131" s="15" t="str">
        <f aca="false">IF(OR(A131="",C131=""),"",SUMPRODUCT(('Training Detail'!$A$5:$A$5000=A131)*('Training Detail'!$M$5:$M$5000=Standards!A3)*('Training Detail'!$G$5:$G$5000&gt;=D131)*('Training Detail'!$G$5:$G$5000&lt;=E131)*('Training Detail'!$P$5:$P$5000)))</f>
        <v/>
      </c>
      <c r="H131" s="15" t="str">
        <f aca="false">IF(OR(A131="",C131=""),"",SUMPRODUCT(('Training Detail'!$A$5:$A$5000=A131)*('Training Detail'!$M$5:$M$5000=Standards!A4)*('Training Detail'!$G$5:$G$5000&gt;=D131)*('Training Detail'!$G$5:$G$5000&lt;=E131)*('Training Detail'!$P$5:$P$5000)))</f>
        <v/>
      </c>
      <c r="I131" s="15" t="str">
        <f aca="false">IF(OR(A131="",C131=""),"",SUMPRODUCT(('Training Detail'!$A$5:$A$5000=A131)*('Training Detail'!$M$5:$M$5000=Standards!A5)*('Training Detail'!$G$5:$G$5000&gt;=D131)*('Training Detail'!$G$5:$G$5000&lt;=E131)*('Training Detail'!$P$5:$P$5000)))</f>
        <v/>
      </c>
      <c r="J131" s="15" t="str">
        <f aca="false">IF(OR(A131="",C131=""),"",SUMPRODUCT(('Training Detail'!$A$5:$A$5000=A131)*('Training Detail'!$M$5:$M$5000=Standards!A6)*('Training Detail'!$G$5:$G$5000&gt;=D131)*('Training Detail'!$G$5:$G$5000&lt;=E131)*('Training Detail'!$P$5:$P$5000)))</f>
        <v/>
      </c>
      <c r="K131" s="15" t="str">
        <f aca="false">IF(OR(A131="",C131=""),"",SUMPRODUCT(('Training Detail'!$A$5:$A$5000=A131)*('Training Detail'!$M$5:$M$5000=Standards!A7)*('Training Detail'!$G$5:$G$5000&gt;=D131)*('Training Detail'!$G$5:$G$5000&lt;=E131)*('Training Detail'!$P$5:$P$5000)))</f>
        <v/>
      </c>
      <c r="L131" s="15" t="str">
        <f aca="false">IF(OR(A131="",C131=""),"",SUMPRODUCT(('Training Detail'!$A$5:$A$5000=A131)*('Training Detail'!$M$5:$M$5000=Standards!A8)*('Training Detail'!$G$5:$G$5000&gt;=D131)*('Training Detail'!$G$5:$G$5000&lt;=E131)*('Training Detail'!$P$5:$P$5000)))</f>
        <v/>
      </c>
      <c r="M131" s="16" t="str">
        <f aca="false">IF(OR(A131="",C131=""),"",SUMPRODUCT(('Training Detail'!$A$5:$A$5000=A131)*('Training Detail'!$M$5:$M$5000=Standards!A9)*('Training Detail'!$G$5:$G$5000&gt;=D131)*('Training Detail'!$G$5:$G$5000&lt;=E131)*('Training Detail'!$P$5:$P$5000)))</f>
        <v/>
      </c>
      <c r="N131" s="17" t="str">
        <f aca="false">IF(A131="","",IF(C131="","Set exp date",IF(AND(F131&gt;=Requirements!B5,G131&gt;=Requirements!B6,H131&gt;=Requirements!B7,I131&gt;=Requirements!B8,J131&gt;=Requirements!B9,K131&gt;=Requirements!B10,L131&gt;=Requirements!B11,M131&gt;=Requirements!B12),"Met","Short")))</f>
        <v>Set exp date</v>
      </c>
      <c r="O131" s="18" t="str">
        <f aca="false">IF(OR(A131="",C131=""),"",IF(N131="Met","",IF(F131&lt;Requirements!B5,Requirements!A5&amp;" "&amp;TEXT(Requirements!B5-F131,"0.##")&amp;"; ","")&amp;IF(G131&lt;Requirements!B6,Requirements!A6&amp;" "&amp;TEXT(Requirements!B6-G131,"0.##")&amp;"; ","")&amp;IF(H131&lt;Requirements!B7,Requirements!A7&amp;" "&amp;TEXT(Requirements!B7-H131,"0.##")&amp;"; ","")&amp;IF(I131&lt;Requirements!B8,Requirements!A8&amp;" "&amp;TEXT(Requirements!B8-I131,"0.##")&amp;"; ","")&amp;IF(J131&lt;Requirements!B9,Requirements!A9&amp;" "&amp;TEXT(Requirements!B9-J131,"0.##")&amp;"; ","")&amp;IF(K131&lt;Requirements!B10,Requirements!A10&amp;" "&amp;TEXT(Requirements!B10-K131,"0.##")&amp;"; ","")&amp;IF(L131&lt;Requirements!B11,Requirements!A11&amp;" "&amp;TEXT(Requirements!B11-L131,"0.##")&amp;"; ","")&amp;IF(M131&lt;Requirements!B12,Requirements!A12&amp;" "&amp;TEXT(Requirements!B12-M131,"0.##")&amp;"; ","")))</f>
        <v/>
      </c>
    </row>
    <row r="132" customFormat="false" ht="15" hidden="false" customHeight="true" outlineLevel="0" collapsed="false">
      <c r="A132" s="11" t="s">
        <v>247</v>
      </c>
      <c r="B132" s="12" t="s">
        <v>248</v>
      </c>
      <c r="C132" s="13" t="n">
        <v>46752</v>
      </c>
      <c r="D132" s="14" t="n">
        <f aca="false">IF(C132="","",DATE(YEAR(C132)-1,1,1))</f>
        <v>46023</v>
      </c>
      <c r="E132" s="14" t="n">
        <f aca="false">IF(C132="","",DATE(YEAR(C132),12,31))</f>
        <v>46752</v>
      </c>
      <c r="F132" s="15" t="n">
        <f aca="false">IF(OR(A132="",C132=""),"",SUMPRODUCT(('Training Detail'!$A$5:$A$5000=A132)*('Training Detail'!$M$5:$M$5000=Standards!A2)*('Training Detail'!$G$5:$G$5000&gt;=D132)*('Training Detail'!$G$5:$G$5000&lt;=E132)*('Training Detail'!$P$5:$P$5000)))</f>
        <v>0</v>
      </c>
      <c r="G132" s="15" t="n">
        <f aca="false">IF(OR(A132="",C132=""),"",SUMPRODUCT(('Training Detail'!$A$5:$A$5000=A132)*('Training Detail'!$M$5:$M$5000=Standards!A3)*('Training Detail'!$G$5:$G$5000&gt;=D132)*('Training Detail'!$G$5:$G$5000&lt;=E132)*('Training Detail'!$P$5:$P$5000)))</f>
        <v>0</v>
      </c>
      <c r="H132" s="15" t="n">
        <f aca="false">IF(OR(A132="",C132=""),"",SUMPRODUCT(('Training Detail'!$A$5:$A$5000=A132)*('Training Detail'!$M$5:$M$5000=Standards!A4)*('Training Detail'!$G$5:$G$5000&gt;=D132)*('Training Detail'!$G$5:$G$5000&lt;=E132)*('Training Detail'!$P$5:$P$5000)))</f>
        <v>3</v>
      </c>
      <c r="I132" s="15" t="n">
        <f aca="false">IF(OR(A132="",C132=""),"",SUMPRODUCT(('Training Detail'!$A$5:$A$5000=A132)*('Training Detail'!$M$5:$M$5000=Standards!A5)*('Training Detail'!$G$5:$G$5000&gt;=D132)*('Training Detail'!$G$5:$G$5000&lt;=E132)*('Training Detail'!$P$5:$P$5000)))</f>
        <v>2</v>
      </c>
      <c r="J132" s="15" t="n">
        <f aca="false">IF(OR(A132="",C132=""),"",SUMPRODUCT(('Training Detail'!$A$5:$A$5000=A132)*('Training Detail'!$M$5:$M$5000=Standards!A6)*('Training Detail'!$G$5:$G$5000&gt;=D132)*('Training Detail'!$G$5:$G$5000&lt;=E132)*('Training Detail'!$P$5:$P$5000)))</f>
        <v>1</v>
      </c>
      <c r="K132" s="15" t="n">
        <f aca="false">IF(OR(A132="",C132=""),"",SUMPRODUCT(('Training Detail'!$A$5:$A$5000=A132)*('Training Detail'!$M$5:$M$5000=Standards!A7)*('Training Detail'!$G$5:$G$5000&gt;=D132)*('Training Detail'!$G$5:$G$5000&lt;=E132)*('Training Detail'!$P$5:$P$5000)))</f>
        <v>0</v>
      </c>
      <c r="L132" s="15" t="n">
        <f aca="false">IF(OR(A132="",C132=""),"",SUMPRODUCT(('Training Detail'!$A$5:$A$5000=A132)*('Training Detail'!$M$5:$M$5000=Standards!A8)*('Training Detail'!$G$5:$G$5000&gt;=D132)*('Training Detail'!$G$5:$G$5000&lt;=E132)*('Training Detail'!$P$5:$P$5000)))</f>
        <v>0</v>
      </c>
      <c r="M132" s="16" t="n">
        <f aca="false">IF(OR(A132="",C132=""),"",SUMPRODUCT(('Training Detail'!$A$5:$A$5000=A132)*('Training Detail'!$M$5:$M$5000=Standards!A9)*('Training Detail'!$G$5:$G$5000&gt;=D132)*('Training Detail'!$G$5:$G$5000&lt;=E132)*('Training Detail'!$P$5:$P$5000)))</f>
        <v>0</v>
      </c>
      <c r="N132" s="17" t="str">
        <f aca="false">IF(A132="","",IF(C132="","Set exp date",IF(AND(F132&gt;=Requirements!B5,G132&gt;=Requirements!B6,H132&gt;=Requirements!B7,I132&gt;=Requirements!B8,J132&gt;=Requirements!B9,K132&gt;=Requirements!B10,L132&gt;=Requirements!B11,M132&gt;=Requirements!B12),"Met","Short")))</f>
        <v>Short</v>
      </c>
      <c r="O132" s="18" t="str">
        <f aca="false">IF(OR(A132="",C132=""),"",IF(N132="Met","",IF(F132&lt;Requirements!B5,Requirements!A5&amp;" "&amp;TEXT(Requirements!B5-F132,"0.##")&amp;"; ","")&amp;IF(G132&lt;Requirements!B6,Requirements!A6&amp;" "&amp;TEXT(Requirements!B6-G132,"0.##")&amp;"; ","")&amp;IF(H132&lt;Requirements!B7,Requirements!A7&amp;" "&amp;TEXT(Requirements!B7-H132,"0.##")&amp;"; ","")&amp;IF(I132&lt;Requirements!B8,Requirements!A8&amp;" "&amp;TEXT(Requirements!B8-I132,"0.##")&amp;"; ","")&amp;IF(J132&lt;Requirements!B9,Requirements!A9&amp;" "&amp;TEXT(Requirements!B9-J132,"0.##")&amp;"; ","")&amp;IF(K132&lt;Requirements!B10,Requirements!A10&amp;" "&amp;TEXT(Requirements!B10-K132,"0.##")&amp;"; ","")&amp;IF(L132&lt;Requirements!B11,Requirements!A11&amp;" "&amp;TEXT(Requirements!B11-L132,"0.##")&amp;"; ","")&amp;IF(M132&lt;Requirements!B12,Requirements!A12&amp;" "&amp;TEXT(Requirements!B12-M132,"0.##")&amp;"; ","")))</f>
        <v>Airway 4; Cardiovascular 5; Medical 4; Operations 1; PAHT 1; SVAT 1; CPR/AED 1; </v>
      </c>
    </row>
    <row r="133" customFormat="false" ht="15" hidden="false" customHeight="true" outlineLevel="0" collapsed="false">
      <c r="A133" s="19" t="s">
        <v>249</v>
      </c>
      <c r="B133" s="20" t="s">
        <v>250</v>
      </c>
      <c r="C133" s="13" t="n">
        <v>46387</v>
      </c>
      <c r="D133" s="21" t="n">
        <f aca="false">IF(C133="","",DATE(YEAR(C133)-1,1,1))</f>
        <v>45658</v>
      </c>
      <c r="E133" s="21" t="n">
        <f aca="false">IF(C133="","",DATE(YEAR(C133),12,31))</f>
        <v>46387</v>
      </c>
      <c r="F133" s="15" t="n">
        <f aca="false">IF(OR(A133="",C133=""),"",SUMPRODUCT(('Training Detail'!$A$5:$A$5000=A133)*('Training Detail'!$M$5:$M$5000=Standards!A2)*('Training Detail'!$G$5:$G$5000&gt;=D133)*('Training Detail'!$G$5:$G$5000&lt;=E133)*('Training Detail'!$P$5:$P$5000)))</f>
        <v>4</v>
      </c>
      <c r="G133" s="15" t="n">
        <f aca="false">IF(OR(A133="",C133=""),"",SUMPRODUCT(('Training Detail'!$A$5:$A$5000=A133)*('Training Detail'!$M$5:$M$5000=Standards!A3)*('Training Detail'!$G$5:$G$5000&gt;=D133)*('Training Detail'!$G$5:$G$5000&lt;=E133)*('Training Detail'!$P$5:$P$5000)))</f>
        <v>6</v>
      </c>
      <c r="H133" s="15" t="n">
        <f aca="false">IF(OR(A133="",C133=""),"",SUMPRODUCT(('Training Detail'!$A$5:$A$5000=A133)*('Training Detail'!$M$5:$M$5000=Standards!A4)*('Training Detail'!$G$5:$G$5000&gt;=D133)*('Training Detail'!$G$5:$G$5000&lt;=E133)*('Training Detail'!$P$5:$P$5000)))</f>
        <v>13</v>
      </c>
      <c r="I133" s="15" t="n">
        <f aca="false">IF(OR(A133="",C133=""),"",SUMPRODUCT(('Training Detail'!$A$5:$A$5000=A133)*('Training Detail'!$M$5:$M$5000=Standards!A5)*('Training Detail'!$G$5:$G$5000&gt;=D133)*('Training Detail'!$G$5:$G$5000&lt;=E133)*('Training Detail'!$P$5:$P$5000)))</f>
        <v>3</v>
      </c>
      <c r="J133" s="15" t="n">
        <f aca="false">IF(OR(A133="",C133=""),"",SUMPRODUCT(('Training Detail'!$A$5:$A$5000=A133)*('Training Detail'!$M$5:$M$5000=Standards!A6)*('Training Detail'!$G$5:$G$5000&gt;=D133)*('Training Detail'!$G$5:$G$5000&lt;=E133)*('Training Detail'!$P$5:$P$5000)))</f>
        <v>6</v>
      </c>
      <c r="K133" s="15" t="n">
        <f aca="false">IF(OR(A133="",C133=""),"",SUMPRODUCT(('Training Detail'!$A$5:$A$5000=A133)*('Training Detail'!$M$5:$M$5000=Standards!A7)*('Training Detail'!$G$5:$G$5000&gt;=D133)*('Training Detail'!$G$5:$G$5000&lt;=E133)*('Training Detail'!$P$5:$P$5000)))</f>
        <v>0</v>
      </c>
      <c r="L133" s="15" t="n">
        <f aca="false">IF(OR(A133="",C133=""),"",SUMPRODUCT(('Training Detail'!$A$5:$A$5000=A133)*('Training Detail'!$M$5:$M$5000=Standards!A8)*('Training Detail'!$G$5:$G$5000&gt;=D133)*('Training Detail'!$G$5:$G$5000&lt;=E133)*('Training Detail'!$P$5:$P$5000)))</f>
        <v>0</v>
      </c>
      <c r="M133" s="16" t="n">
        <f aca="false">IF(OR(A133="",C133=""),"",SUMPRODUCT(('Training Detail'!$A$5:$A$5000=A133)*('Training Detail'!$M$5:$M$5000=Standards!A9)*('Training Detail'!$G$5:$G$5000&gt;=D133)*('Training Detail'!$G$5:$G$5000&lt;=E133)*('Training Detail'!$P$5:$P$5000)))</f>
        <v>4</v>
      </c>
      <c r="N133" s="17" t="str">
        <f aca="false">IF(A133="","",IF(C133="","Set exp date",IF(AND(F133&gt;=Requirements!B5,G133&gt;=Requirements!B6,H133&gt;=Requirements!B7,I133&gt;=Requirements!B8,J133&gt;=Requirements!B9,K133&gt;=Requirements!B10,L133&gt;=Requirements!B11,M133&gt;=Requirements!B12),"Met","Short")))</f>
        <v>Short</v>
      </c>
      <c r="O133" s="18" t="str">
        <f aca="false">IF(OR(A133="",C133=""),"",IF(N133="Met","",IF(F133&lt;Requirements!B5,Requirements!A5&amp;" "&amp;TEXT(Requirements!B5-F133,"0.##")&amp;"; ","")&amp;IF(G133&lt;Requirements!B6,Requirements!A6&amp;" "&amp;TEXT(Requirements!B6-G133,"0.##")&amp;"; ","")&amp;IF(H133&lt;Requirements!B7,Requirements!A7&amp;" "&amp;TEXT(Requirements!B7-H133,"0.##")&amp;"; ","")&amp;IF(I133&lt;Requirements!B8,Requirements!A8&amp;" "&amp;TEXT(Requirements!B8-I133,"0.##")&amp;"; ","")&amp;IF(J133&lt;Requirements!B9,Requirements!A9&amp;" "&amp;TEXT(Requirements!B9-J133,"0.##")&amp;"; ","")&amp;IF(K133&lt;Requirements!B10,Requirements!A10&amp;" "&amp;TEXT(Requirements!B10-K133,"0.##")&amp;"; ","")&amp;IF(L133&lt;Requirements!B11,Requirements!A11&amp;" "&amp;TEXT(Requirements!B11-L133,"0.##")&amp;"; ","")&amp;IF(M133&lt;Requirements!B12,Requirements!A12&amp;" "&amp;TEXT(Requirements!B12-M133,"0.##")&amp;"; ","")))</f>
        <v>Medical 3; PAHT 1; SVAT 1; </v>
      </c>
    </row>
    <row r="134" customFormat="false" ht="15" hidden="false" customHeight="true" outlineLevel="0" collapsed="false">
      <c r="A134" s="11" t="s">
        <v>251</v>
      </c>
      <c r="B134" s="12" t="s">
        <v>252</v>
      </c>
      <c r="C134" s="13" t="n">
        <v>46752</v>
      </c>
      <c r="D134" s="14" t="n">
        <f aca="false">IF(C134="","",DATE(YEAR(C134)-1,1,1))</f>
        <v>46023</v>
      </c>
      <c r="E134" s="14" t="n">
        <f aca="false">IF(C134="","",DATE(YEAR(C134),12,31))</f>
        <v>46752</v>
      </c>
      <c r="F134" s="15" t="n">
        <f aca="false">IF(OR(A134="",C134=""),"",SUMPRODUCT(('Training Detail'!$A$5:$A$5000=A134)*('Training Detail'!$M$5:$M$5000=Standards!A2)*('Training Detail'!$G$5:$G$5000&gt;=D134)*('Training Detail'!$G$5:$G$5000&lt;=E134)*('Training Detail'!$P$5:$P$5000)))</f>
        <v>3</v>
      </c>
      <c r="G134" s="15" t="n">
        <f aca="false">IF(OR(A134="",C134=""),"",SUMPRODUCT(('Training Detail'!$A$5:$A$5000=A134)*('Training Detail'!$M$5:$M$5000=Standards!A3)*('Training Detail'!$G$5:$G$5000&gt;=D134)*('Training Detail'!$G$5:$G$5000&lt;=E134)*('Training Detail'!$P$5:$P$5000)))</f>
        <v>0</v>
      </c>
      <c r="H134" s="15" t="n">
        <f aca="false">IF(OR(A134="",C134=""),"",SUMPRODUCT(('Training Detail'!$A$5:$A$5000=A134)*('Training Detail'!$M$5:$M$5000=Standards!A4)*('Training Detail'!$G$5:$G$5000&gt;=D134)*('Training Detail'!$G$5:$G$5000&lt;=E134)*('Training Detail'!$P$5:$P$5000)))</f>
        <v>3</v>
      </c>
      <c r="I134" s="15" t="n">
        <f aca="false">IF(OR(A134="",C134=""),"",SUMPRODUCT(('Training Detail'!$A$5:$A$5000=A134)*('Training Detail'!$M$5:$M$5000=Standards!A5)*('Training Detail'!$G$5:$G$5000&gt;=D134)*('Training Detail'!$G$5:$G$5000&lt;=E134)*('Training Detail'!$P$5:$P$5000)))</f>
        <v>1</v>
      </c>
      <c r="J134" s="15" t="n">
        <f aca="false">IF(OR(A134="",C134=""),"",SUMPRODUCT(('Training Detail'!$A$5:$A$5000=A134)*('Training Detail'!$M$5:$M$5000=Standards!A6)*('Training Detail'!$G$5:$G$5000&gt;=D134)*('Training Detail'!$G$5:$G$5000&lt;=E134)*('Training Detail'!$P$5:$P$5000)))</f>
        <v>2</v>
      </c>
      <c r="K134" s="15" t="n">
        <f aca="false">IF(OR(A134="",C134=""),"",SUMPRODUCT(('Training Detail'!$A$5:$A$5000=A134)*('Training Detail'!$M$5:$M$5000=Standards!A7)*('Training Detail'!$G$5:$G$5000&gt;=D134)*('Training Detail'!$G$5:$G$5000&lt;=E134)*('Training Detail'!$P$5:$P$5000)))</f>
        <v>0</v>
      </c>
      <c r="L134" s="15" t="n">
        <f aca="false">IF(OR(A134="",C134=""),"",SUMPRODUCT(('Training Detail'!$A$5:$A$5000=A134)*('Training Detail'!$M$5:$M$5000=Standards!A8)*('Training Detail'!$G$5:$G$5000&gt;=D134)*('Training Detail'!$G$5:$G$5000&lt;=E134)*('Training Detail'!$P$5:$P$5000)))</f>
        <v>0</v>
      </c>
      <c r="M134" s="16" t="n">
        <f aca="false">IF(OR(A134="",C134=""),"",SUMPRODUCT(('Training Detail'!$A$5:$A$5000=A134)*('Training Detail'!$M$5:$M$5000=Standards!A9)*('Training Detail'!$G$5:$G$5000&gt;=D134)*('Training Detail'!$G$5:$G$5000&lt;=E134)*('Training Detail'!$P$5:$P$5000)))</f>
        <v>0</v>
      </c>
      <c r="N134" s="17" t="str">
        <f aca="false">IF(A134="","",IF(C134="","Set exp date",IF(AND(F134&gt;=Requirements!B5,G134&gt;=Requirements!B6,H134&gt;=Requirements!B7,I134&gt;=Requirements!B8,J134&gt;=Requirements!B9,K134&gt;=Requirements!B10,L134&gt;=Requirements!B11,M134&gt;=Requirements!B12),"Met","Short")))</f>
        <v>Short</v>
      </c>
      <c r="O134" s="18" t="str">
        <f aca="false">IF(OR(A134="",C134=""),"",IF(N134="Met","",IF(F134&lt;Requirements!B5,Requirements!A5&amp;" "&amp;TEXT(Requirements!B5-F134,"0.##")&amp;"; ","")&amp;IF(G134&lt;Requirements!B6,Requirements!A6&amp;" "&amp;TEXT(Requirements!B6-G134,"0.##")&amp;"; ","")&amp;IF(H134&lt;Requirements!B7,Requirements!A7&amp;" "&amp;TEXT(Requirements!B7-H134,"0.##")&amp;"; ","")&amp;IF(I134&lt;Requirements!B8,Requirements!A8&amp;" "&amp;TEXT(Requirements!B8-I134,"0.##")&amp;"; ","")&amp;IF(J134&lt;Requirements!B9,Requirements!A9&amp;" "&amp;TEXT(Requirements!B9-J134,"0.##")&amp;"; ","")&amp;IF(K134&lt;Requirements!B10,Requirements!A10&amp;" "&amp;TEXT(Requirements!B10-K134,"0.##")&amp;"; ","")&amp;IF(L134&lt;Requirements!B11,Requirements!A11&amp;" "&amp;TEXT(Requirements!B11-L134,"0.##")&amp;"; ","")&amp;IF(M134&lt;Requirements!B12,Requirements!A12&amp;" "&amp;TEXT(Requirements!B12-M134,"0.##")&amp;"; ","")))</f>
        <v>Airway 1; Cardiovascular 5; Medical 5; PAHT 1; SVAT 1; CPR/AED 1; </v>
      </c>
    </row>
    <row r="135" customFormat="false" ht="15" hidden="false" customHeight="true" outlineLevel="0" collapsed="false">
      <c r="A135" s="19" t="s">
        <v>253</v>
      </c>
      <c r="B135" s="20" t="s">
        <v>254</v>
      </c>
      <c r="C135" s="13" t="n">
        <v>46752</v>
      </c>
      <c r="D135" s="21" t="n">
        <f aca="false">IF(C135="","",DATE(YEAR(C135)-1,1,1))</f>
        <v>46023</v>
      </c>
      <c r="E135" s="21" t="n">
        <f aca="false">IF(C135="","",DATE(YEAR(C135),12,31))</f>
        <v>46752</v>
      </c>
      <c r="F135" s="15" t="n">
        <f aca="false">IF(OR(A135="",C135=""),"",SUMPRODUCT(('Training Detail'!$A$5:$A$5000=A135)*('Training Detail'!$M$5:$M$5000=Standards!A2)*('Training Detail'!$G$5:$G$5000&gt;=D135)*('Training Detail'!$G$5:$G$5000&lt;=E135)*('Training Detail'!$P$5:$P$5000)))</f>
        <v>0</v>
      </c>
      <c r="G135" s="15" t="n">
        <f aca="false">IF(OR(A135="",C135=""),"",SUMPRODUCT(('Training Detail'!$A$5:$A$5000=A135)*('Training Detail'!$M$5:$M$5000=Standards!A3)*('Training Detail'!$G$5:$G$5000&gt;=D135)*('Training Detail'!$G$5:$G$5000&lt;=E135)*('Training Detail'!$P$5:$P$5000)))</f>
        <v>0</v>
      </c>
      <c r="H135" s="15" t="n">
        <f aca="false">IF(OR(A135="",C135=""),"",SUMPRODUCT(('Training Detail'!$A$5:$A$5000=A135)*('Training Detail'!$M$5:$M$5000=Standards!A4)*('Training Detail'!$G$5:$G$5000&gt;=D135)*('Training Detail'!$G$5:$G$5000&lt;=E135)*('Training Detail'!$P$5:$P$5000)))</f>
        <v>3</v>
      </c>
      <c r="I135" s="15" t="n">
        <f aca="false">IF(OR(A135="",C135=""),"",SUMPRODUCT(('Training Detail'!$A$5:$A$5000=A135)*('Training Detail'!$M$5:$M$5000=Standards!A5)*('Training Detail'!$G$5:$G$5000&gt;=D135)*('Training Detail'!$G$5:$G$5000&lt;=E135)*('Training Detail'!$P$5:$P$5000)))</f>
        <v>0</v>
      </c>
      <c r="J135" s="15" t="n">
        <f aca="false">IF(OR(A135="",C135=""),"",SUMPRODUCT(('Training Detail'!$A$5:$A$5000=A135)*('Training Detail'!$M$5:$M$5000=Standards!A6)*('Training Detail'!$G$5:$G$5000&gt;=D135)*('Training Detail'!$G$5:$G$5000&lt;=E135)*('Training Detail'!$P$5:$P$5000)))</f>
        <v>2</v>
      </c>
      <c r="K135" s="15" t="n">
        <f aca="false">IF(OR(A135="",C135=""),"",SUMPRODUCT(('Training Detail'!$A$5:$A$5000=A135)*('Training Detail'!$M$5:$M$5000=Standards!A7)*('Training Detail'!$G$5:$G$5000&gt;=D135)*('Training Detail'!$G$5:$G$5000&lt;=E135)*('Training Detail'!$P$5:$P$5000)))</f>
        <v>0</v>
      </c>
      <c r="L135" s="15" t="n">
        <f aca="false">IF(OR(A135="",C135=""),"",SUMPRODUCT(('Training Detail'!$A$5:$A$5000=A135)*('Training Detail'!$M$5:$M$5000=Standards!A8)*('Training Detail'!$G$5:$G$5000&gt;=D135)*('Training Detail'!$G$5:$G$5000&lt;=E135)*('Training Detail'!$P$5:$P$5000)))</f>
        <v>0</v>
      </c>
      <c r="M135" s="16" t="n">
        <f aca="false">IF(OR(A135="",C135=""),"",SUMPRODUCT(('Training Detail'!$A$5:$A$5000=A135)*('Training Detail'!$M$5:$M$5000=Standards!A9)*('Training Detail'!$G$5:$G$5000&gt;=D135)*('Training Detail'!$G$5:$G$5000&lt;=E135)*('Training Detail'!$P$5:$P$5000)))</f>
        <v>0</v>
      </c>
      <c r="N135" s="17" t="str">
        <f aca="false">IF(A135="","",IF(C135="","Set exp date",IF(AND(F135&gt;=Requirements!B5,G135&gt;=Requirements!B6,H135&gt;=Requirements!B7,I135&gt;=Requirements!B8,J135&gt;=Requirements!B9,K135&gt;=Requirements!B10,L135&gt;=Requirements!B11,M135&gt;=Requirements!B12),"Met","Short")))</f>
        <v>Short</v>
      </c>
      <c r="O135" s="18" t="str">
        <f aca="false">IF(OR(A135="",C135=""),"",IF(N135="Met","",IF(F135&lt;Requirements!B5,Requirements!A5&amp;" "&amp;TEXT(Requirements!B5-F135,"0.##")&amp;"; ","")&amp;IF(G135&lt;Requirements!B6,Requirements!A6&amp;" "&amp;TEXT(Requirements!B6-G135,"0.##")&amp;"; ","")&amp;IF(H135&lt;Requirements!B7,Requirements!A7&amp;" "&amp;TEXT(Requirements!B7-H135,"0.##")&amp;"; ","")&amp;IF(I135&lt;Requirements!B8,Requirements!A8&amp;" "&amp;TEXT(Requirements!B8-I135,"0.##")&amp;"; ","")&amp;IF(J135&lt;Requirements!B9,Requirements!A9&amp;" "&amp;TEXT(Requirements!B9-J135,"0.##")&amp;"; ","")&amp;IF(K135&lt;Requirements!B10,Requirements!A10&amp;" "&amp;TEXT(Requirements!B10-K135,"0.##")&amp;"; ","")&amp;IF(L135&lt;Requirements!B11,Requirements!A11&amp;" "&amp;TEXT(Requirements!B11-L135,"0.##")&amp;"; ","")&amp;IF(M135&lt;Requirements!B12,Requirements!A12&amp;" "&amp;TEXT(Requirements!B12-M135,"0.##")&amp;"; ","")))</f>
        <v>Airway 4; Cardiovascular 5; Medical 6; PAHT 1; SVAT 1; CPR/AED 1; </v>
      </c>
    </row>
    <row r="136" customFormat="false" ht="15" hidden="false" customHeight="true" outlineLevel="0" collapsed="false">
      <c r="A136" s="11" t="s">
        <v>255</v>
      </c>
      <c r="B136" s="12" t="s">
        <v>256</v>
      </c>
      <c r="C136" s="13" t="n">
        <v>46387</v>
      </c>
      <c r="D136" s="14" t="n">
        <f aca="false">IF(C136="","",DATE(YEAR(C136)-1,1,1))</f>
        <v>45658</v>
      </c>
      <c r="E136" s="14" t="n">
        <f aca="false">IF(C136="","",DATE(YEAR(C136),12,31))</f>
        <v>46387</v>
      </c>
      <c r="F136" s="15" t="n">
        <f aca="false">IF(OR(A136="",C136=""),"",SUMPRODUCT(('Training Detail'!$A$5:$A$5000=A136)*('Training Detail'!$M$5:$M$5000=Standards!A2)*('Training Detail'!$G$5:$G$5000&gt;=D136)*('Training Detail'!$G$5:$G$5000&lt;=E136)*('Training Detail'!$P$5:$P$5000)))</f>
        <v>12</v>
      </c>
      <c r="G136" s="15" t="n">
        <f aca="false">IF(OR(A136="",C136=""),"",SUMPRODUCT(('Training Detail'!$A$5:$A$5000=A136)*('Training Detail'!$M$5:$M$5000=Standards!A3)*('Training Detail'!$G$5:$G$5000&gt;=D136)*('Training Detail'!$G$5:$G$5000&lt;=E136)*('Training Detail'!$P$5:$P$5000)))</f>
        <v>13.5</v>
      </c>
      <c r="H136" s="15" t="n">
        <f aca="false">IF(OR(A136="",C136=""),"",SUMPRODUCT(('Training Detail'!$A$5:$A$5000=A136)*('Training Detail'!$M$5:$M$5000=Standards!A4)*('Training Detail'!$G$5:$G$5000&gt;=D136)*('Training Detail'!$G$5:$G$5000&lt;=E136)*('Training Detail'!$P$5:$P$5000)))</f>
        <v>13</v>
      </c>
      <c r="I136" s="15" t="n">
        <f aca="false">IF(OR(A136="",C136=""),"",SUMPRODUCT(('Training Detail'!$A$5:$A$5000=A136)*('Training Detail'!$M$5:$M$5000=Standards!A5)*('Training Detail'!$G$5:$G$5000&gt;=D136)*('Training Detail'!$G$5:$G$5000&lt;=E136)*('Training Detail'!$P$5:$P$5000)))</f>
        <v>15</v>
      </c>
      <c r="J136" s="15" t="n">
        <f aca="false">IF(OR(A136="",C136=""),"",SUMPRODUCT(('Training Detail'!$A$5:$A$5000=A136)*('Training Detail'!$M$5:$M$5000=Standards!A6)*('Training Detail'!$G$5:$G$5000&gt;=D136)*('Training Detail'!$G$5:$G$5000&lt;=E136)*('Training Detail'!$P$5:$P$5000)))</f>
        <v>1</v>
      </c>
      <c r="K136" s="15" t="n">
        <f aca="false">IF(OR(A136="",C136=""),"",SUMPRODUCT(('Training Detail'!$A$5:$A$5000=A136)*('Training Detail'!$M$5:$M$5000=Standards!A7)*('Training Detail'!$G$5:$G$5000&gt;=D136)*('Training Detail'!$G$5:$G$5000&lt;=E136)*('Training Detail'!$P$5:$P$5000)))</f>
        <v>0</v>
      </c>
      <c r="L136" s="15" t="n">
        <f aca="false">IF(OR(A136="",C136=""),"",SUMPRODUCT(('Training Detail'!$A$5:$A$5000=A136)*('Training Detail'!$M$5:$M$5000=Standards!A8)*('Training Detail'!$G$5:$G$5000&gt;=D136)*('Training Detail'!$G$5:$G$5000&lt;=E136)*('Training Detail'!$P$5:$P$5000)))</f>
        <v>0</v>
      </c>
      <c r="M136" s="16" t="n">
        <f aca="false">IF(OR(A136="",C136=""),"",SUMPRODUCT(('Training Detail'!$A$5:$A$5000=A136)*('Training Detail'!$M$5:$M$5000=Standards!A9)*('Training Detail'!$G$5:$G$5000&gt;=D136)*('Training Detail'!$G$5:$G$5000&lt;=E136)*('Training Detail'!$P$5:$P$5000)))</f>
        <v>0</v>
      </c>
      <c r="N136" s="17" t="str">
        <f aca="false">IF(A136="","",IF(C136="","Set exp date",IF(AND(F136&gt;=Requirements!B5,G136&gt;=Requirements!B6,H136&gt;=Requirements!B7,I136&gt;=Requirements!B8,J136&gt;=Requirements!B9,K136&gt;=Requirements!B10,L136&gt;=Requirements!B11,M136&gt;=Requirements!B12),"Met","Short")))</f>
        <v>Short</v>
      </c>
      <c r="O136" s="18" t="str">
        <f aca="false">IF(OR(A136="",C136=""),"",IF(N136="Met","",IF(F136&lt;Requirements!B5,Requirements!A5&amp;" "&amp;TEXT(Requirements!B5-F136,"0.##")&amp;"; ","")&amp;IF(G136&lt;Requirements!B6,Requirements!A6&amp;" "&amp;TEXT(Requirements!B6-G136,"0.##")&amp;"; ","")&amp;IF(H136&lt;Requirements!B7,Requirements!A7&amp;" "&amp;TEXT(Requirements!B7-H136,"0.##")&amp;"; ","")&amp;IF(I136&lt;Requirements!B8,Requirements!A8&amp;" "&amp;TEXT(Requirements!B8-I136,"0.##")&amp;"; ","")&amp;IF(J136&lt;Requirements!B9,Requirements!A9&amp;" "&amp;TEXT(Requirements!B9-J136,"0.##")&amp;"; ","")&amp;IF(K136&lt;Requirements!B10,Requirements!A10&amp;" "&amp;TEXT(Requirements!B10-K136,"0.##")&amp;"; ","")&amp;IF(L136&lt;Requirements!B11,Requirements!A11&amp;" "&amp;TEXT(Requirements!B11-L136,"0.##")&amp;"; ","")&amp;IF(M136&lt;Requirements!B12,Requirements!A12&amp;" "&amp;TEXT(Requirements!B12-M136,"0.##")&amp;"; ","")))</f>
        <v>Operations 1; PAHT 1; SVAT 1; CPR/AED 1; </v>
      </c>
    </row>
    <row r="137" customFormat="false" ht="15" hidden="false" customHeight="true" outlineLevel="0" collapsed="false">
      <c r="A137" s="19" t="s">
        <v>257</v>
      </c>
      <c r="B137" s="20" t="s">
        <v>258</v>
      </c>
      <c r="C137" s="13" t="n">
        <v>46387</v>
      </c>
      <c r="D137" s="21" t="n">
        <f aca="false">IF(C137="","",DATE(YEAR(C137)-1,1,1))</f>
        <v>45658</v>
      </c>
      <c r="E137" s="21" t="n">
        <f aca="false">IF(C137="","",DATE(YEAR(C137),12,31))</f>
        <v>46387</v>
      </c>
      <c r="F137" s="15" t="n">
        <f aca="false">IF(OR(A137="",C137=""),"",SUMPRODUCT(('Training Detail'!$A$5:$A$5000=A137)*('Training Detail'!$M$5:$M$5000=Standards!A2)*('Training Detail'!$G$5:$G$5000&gt;=D137)*('Training Detail'!$G$5:$G$5000&lt;=E137)*('Training Detail'!$P$5:$P$5000)))</f>
        <v>0</v>
      </c>
      <c r="G137" s="15" t="n">
        <f aca="false">IF(OR(A137="",C137=""),"",SUMPRODUCT(('Training Detail'!$A$5:$A$5000=A137)*('Training Detail'!$M$5:$M$5000=Standards!A3)*('Training Detail'!$G$5:$G$5000&gt;=D137)*('Training Detail'!$G$5:$G$5000&lt;=E137)*('Training Detail'!$P$5:$P$5000)))</f>
        <v>8.5</v>
      </c>
      <c r="H137" s="15" t="n">
        <f aca="false">IF(OR(A137="",C137=""),"",SUMPRODUCT(('Training Detail'!$A$5:$A$5000=A137)*('Training Detail'!$M$5:$M$5000=Standards!A4)*('Training Detail'!$G$5:$G$5000&gt;=D137)*('Training Detail'!$G$5:$G$5000&lt;=E137)*('Training Detail'!$P$5:$P$5000)))</f>
        <v>7</v>
      </c>
      <c r="I137" s="15" t="n">
        <f aca="false">IF(OR(A137="",C137=""),"",SUMPRODUCT(('Training Detail'!$A$5:$A$5000=A137)*('Training Detail'!$M$5:$M$5000=Standards!A5)*('Training Detail'!$G$5:$G$5000&gt;=D137)*('Training Detail'!$G$5:$G$5000&lt;=E137)*('Training Detail'!$P$5:$P$5000)))</f>
        <v>2</v>
      </c>
      <c r="J137" s="15" t="n">
        <f aca="false">IF(OR(A137="",C137=""),"",SUMPRODUCT(('Training Detail'!$A$5:$A$5000=A137)*('Training Detail'!$M$5:$M$5000=Standards!A6)*('Training Detail'!$G$5:$G$5000&gt;=D137)*('Training Detail'!$G$5:$G$5000&lt;=E137)*('Training Detail'!$P$5:$P$5000)))</f>
        <v>1</v>
      </c>
      <c r="K137" s="15" t="n">
        <f aca="false">IF(OR(A137="",C137=""),"",SUMPRODUCT(('Training Detail'!$A$5:$A$5000=A137)*('Training Detail'!$M$5:$M$5000=Standards!A7)*('Training Detail'!$G$5:$G$5000&gt;=D137)*('Training Detail'!$G$5:$G$5000&lt;=E137)*('Training Detail'!$P$5:$P$5000)))</f>
        <v>0</v>
      </c>
      <c r="L137" s="15" t="n">
        <f aca="false">IF(OR(A137="",C137=""),"",SUMPRODUCT(('Training Detail'!$A$5:$A$5000=A137)*('Training Detail'!$M$5:$M$5000=Standards!A8)*('Training Detail'!$G$5:$G$5000&gt;=D137)*('Training Detail'!$G$5:$G$5000&lt;=E137)*('Training Detail'!$P$5:$P$5000)))</f>
        <v>0</v>
      </c>
      <c r="M137" s="16" t="n">
        <f aca="false">IF(OR(A137="",C137=""),"",SUMPRODUCT(('Training Detail'!$A$5:$A$5000=A137)*('Training Detail'!$M$5:$M$5000=Standards!A9)*('Training Detail'!$G$5:$G$5000&gt;=D137)*('Training Detail'!$G$5:$G$5000&lt;=E137)*('Training Detail'!$P$5:$P$5000)))</f>
        <v>0</v>
      </c>
      <c r="N137" s="17" t="str">
        <f aca="false">IF(A137="","",IF(C137="","Set exp date",IF(AND(F137&gt;=Requirements!B5,G137&gt;=Requirements!B6,H137&gt;=Requirements!B7,I137&gt;=Requirements!B8,J137&gt;=Requirements!B9,K137&gt;=Requirements!B10,L137&gt;=Requirements!B11,M137&gt;=Requirements!B12),"Met","Short")))</f>
        <v>Short</v>
      </c>
      <c r="O137" s="18" t="str">
        <f aca="false">IF(OR(A137="",C137=""),"",IF(N137="Met","",IF(F137&lt;Requirements!B5,Requirements!A5&amp;" "&amp;TEXT(Requirements!B5-F137,"0.##")&amp;"; ","")&amp;IF(G137&lt;Requirements!B6,Requirements!A6&amp;" "&amp;TEXT(Requirements!B6-G137,"0.##")&amp;"; ","")&amp;IF(H137&lt;Requirements!B7,Requirements!A7&amp;" "&amp;TEXT(Requirements!B7-H137,"0.##")&amp;"; ","")&amp;IF(I137&lt;Requirements!B8,Requirements!A8&amp;" "&amp;TEXT(Requirements!B8-I137,"0.##")&amp;"; ","")&amp;IF(J137&lt;Requirements!B9,Requirements!A9&amp;" "&amp;TEXT(Requirements!B9-J137,"0.##")&amp;"; ","")&amp;IF(K137&lt;Requirements!B10,Requirements!A10&amp;" "&amp;TEXT(Requirements!B10-K137,"0.##")&amp;"; ","")&amp;IF(L137&lt;Requirements!B11,Requirements!A11&amp;" "&amp;TEXT(Requirements!B11-L137,"0.##")&amp;"; ","")&amp;IF(M137&lt;Requirements!B12,Requirements!A12&amp;" "&amp;TEXT(Requirements!B12-M137,"0.##")&amp;"; ","")))</f>
        <v>Airway 4; Medical 4; Operations 1; PAHT 1; SVAT 1; CPR/AED 1; </v>
      </c>
    </row>
    <row r="138" customFormat="false" ht="15" hidden="false" customHeight="true" outlineLevel="0" collapsed="false">
      <c r="A138" s="11" t="s">
        <v>259</v>
      </c>
      <c r="B138" s="12" t="s">
        <v>260</v>
      </c>
      <c r="C138" s="13" t="n">
        <v>46752</v>
      </c>
      <c r="D138" s="14" t="n">
        <f aca="false">IF(C138="","",DATE(YEAR(C138)-1,1,1))</f>
        <v>46023</v>
      </c>
      <c r="E138" s="14" t="n">
        <f aca="false">IF(C138="","",DATE(YEAR(C138),12,31))</f>
        <v>46752</v>
      </c>
      <c r="F138" s="15" t="n">
        <f aca="false">IF(OR(A138="",C138=""),"",SUMPRODUCT(('Training Detail'!$A$5:$A$5000=A138)*('Training Detail'!$M$5:$M$5000=Standards!A2)*('Training Detail'!$G$5:$G$5000&gt;=D138)*('Training Detail'!$G$5:$G$5000&lt;=E138)*('Training Detail'!$P$5:$P$5000)))</f>
        <v>5</v>
      </c>
      <c r="G138" s="15" t="n">
        <f aca="false">IF(OR(A138="",C138=""),"",SUMPRODUCT(('Training Detail'!$A$5:$A$5000=A138)*('Training Detail'!$M$5:$M$5000=Standards!A3)*('Training Detail'!$G$5:$G$5000&gt;=D138)*('Training Detail'!$G$5:$G$5000&lt;=E138)*('Training Detail'!$P$5:$P$5000)))</f>
        <v>0</v>
      </c>
      <c r="H138" s="15" t="n">
        <f aca="false">IF(OR(A138="",C138=""),"",SUMPRODUCT(('Training Detail'!$A$5:$A$5000=A138)*('Training Detail'!$M$5:$M$5000=Standards!A4)*('Training Detail'!$G$5:$G$5000&gt;=D138)*('Training Detail'!$G$5:$G$5000&lt;=E138)*('Training Detail'!$P$5:$P$5000)))</f>
        <v>3</v>
      </c>
      <c r="I138" s="15" t="n">
        <f aca="false">IF(OR(A138="",C138=""),"",SUMPRODUCT(('Training Detail'!$A$5:$A$5000=A138)*('Training Detail'!$M$5:$M$5000=Standards!A5)*('Training Detail'!$G$5:$G$5000&gt;=D138)*('Training Detail'!$G$5:$G$5000&lt;=E138)*('Training Detail'!$P$5:$P$5000)))</f>
        <v>2</v>
      </c>
      <c r="J138" s="15" t="n">
        <f aca="false">IF(OR(A138="",C138=""),"",SUMPRODUCT(('Training Detail'!$A$5:$A$5000=A138)*('Training Detail'!$M$5:$M$5000=Standards!A6)*('Training Detail'!$G$5:$G$5000&gt;=D138)*('Training Detail'!$G$5:$G$5000&lt;=E138)*('Training Detail'!$P$5:$P$5000)))</f>
        <v>2</v>
      </c>
      <c r="K138" s="15" t="n">
        <f aca="false">IF(OR(A138="",C138=""),"",SUMPRODUCT(('Training Detail'!$A$5:$A$5000=A138)*('Training Detail'!$M$5:$M$5000=Standards!A7)*('Training Detail'!$G$5:$G$5000&gt;=D138)*('Training Detail'!$G$5:$G$5000&lt;=E138)*('Training Detail'!$P$5:$P$5000)))</f>
        <v>0</v>
      </c>
      <c r="L138" s="15" t="n">
        <f aca="false">IF(OR(A138="",C138=""),"",SUMPRODUCT(('Training Detail'!$A$5:$A$5000=A138)*('Training Detail'!$M$5:$M$5000=Standards!A8)*('Training Detail'!$G$5:$G$5000&gt;=D138)*('Training Detail'!$G$5:$G$5000&lt;=E138)*('Training Detail'!$P$5:$P$5000)))</f>
        <v>0</v>
      </c>
      <c r="M138" s="16" t="n">
        <f aca="false">IF(OR(A138="",C138=""),"",SUMPRODUCT(('Training Detail'!$A$5:$A$5000=A138)*('Training Detail'!$M$5:$M$5000=Standards!A9)*('Training Detail'!$G$5:$G$5000&gt;=D138)*('Training Detail'!$G$5:$G$5000&lt;=E138)*('Training Detail'!$P$5:$P$5000)))</f>
        <v>0</v>
      </c>
      <c r="N138" s="17" t="str">
        <f aca="false">IF(A138="","",IF(C138="","Set exp date",IF(AND(F138&gt;=Requirements!B5,G138&gt;=Requirements!B6,H138&gt;=Requirements!B7,I138&gt;=Requirements!B8,J138&gt;=Requirements!B9,K138&gt;=Requirements!B10,L138&gt;=Requirements!B11,M138&gt;=Requirements!B12),"Met","Short")))</f>
        <v>Short</v>
      </c>
      <c r="O138" s="18" t="str">
        <f aca="false">IF(OR(A138="",C138=""),"",IF(N138="Met","",IF(F138&lt;Requirements!B5,Requirements!A5&amp;" "&amp;TEXT(Requirements!B5-F138,"0.##")&amp;"; ","")&amp;IF(G138&lt;Requirements!B6,Requirements!A6&amp;" "&amp;TEXT(Requirements!B6-G138,"0.##")&amp;"; ","")&amp;IF(H138&lt;Requirements!B7,Requirements!A7&amp;" "&amp;TEXT(Requirements!B7-H138,"0.##")&amp;"; ","")&amp;IF(I138&lt;Requirements!B8,Requirements!A8&amp;" "&amp;TEXT(Requirements!B8-I138,"0.##")&amp;"; ","")&amp;IF(J138&lt;Requirements!B9,Requirements!A9&amp;" "&amp;TEXT(Requirements!B9-J138,"0.##")&amp;"; ","")&amp;IF(K138&lt;Requirements!B10,Requirements!A10&amp;" "&amp;TEXT(Requirements!B10-K138,"0.##")&amp;"; ","")&amp;IF(L138&lt;Requirements!B11,Requirements!A11&amp;" "&amp;TEXT(Requirements!B11-L138,"0.##")&amp;"; ","")&amp;IF(M138&lt;Requirements!B12,Requirements!A12&amp;" "&amp;TEXT(Requirements!B12-M138,"0.##")&amp;"; ","")))</f>
        <v>Cardiovascular 5; Medical 4; PAHT 1; SVAT 1; CPR/AED 1; </v>
      </c>
    </row>
    <row r="139" customFormat="false" ht="15" hidden="false" customHeight="true" outlineLevel="0" collapsed="false">
      <c r="A139" s="19" t="s">
        <v>261</v>
      </c>
      <c r="B139" s="20" t="s">
        <v>262</v>
      </c>
      <c r="C139" s="13" t="n">
        <v>46752</v>
      </c>
      <c r="D139" s="21" t="n">
        <f aca="false">IF(C139="","",DATE(YEAR(C139)-1,1,1))</f>
        <v>46023</v>
      </c>
      <c r="E139" s="21" t="n">
        <f aca="false">IF(C139="","",DATE(YEAR(C139),12,31))</f>
        <v>46752</v>
      </c>
      <c r="F139" s="15" t="n">
        <f aca="false">IF(OR(A139="",C139=""),"",SUMPRODUCT(('Training Detail'!$A$5:$A$5000=A139)*('Training Detail'!$M$5:$M$5000=Standards!A2)*('Training Detail'!$G$5:$G$5000&gt;=D139)*('Training Detail'!$G$5:$G$5000&lt;=E139)*('Training Detail'!$P$5:$P$5000)))</f>
        <v>0</v>
      </c>
      <c r="G139" s="15" t="n">
        <f aca="false">IF(OR(A139="",C139=""),"",SUMPRODUCT(('Training Detail'!$A$5:$A$5000=A139)*('Training Detail'!$M$5:$M$5000=Standards!A3)*('Training Detail'!$G$5:$G$5000&gt;=D139)*('Training Detail'!$G$5:$G$5000&lt;=E139)*('Training Detail'!$P$5:$P$5000)))</f>
        <v>2</v>
      </c>
      <c r="H139" s="15" t="n">
        <f aca="false">IF(OR(A139="",C139=""),"",SUMPRODUCT(('Training Detail'!$A$5:$A$5000=A139)*('Training Detail'!$M$5:$M$5000=Standards!A4)*('Training Detail'!$G$5:$G$5000&gt;=D139)*('Training Detail'!$G$5:$G$5000&lt;=E139)*('Training Detail'!$P$5:$P$5000)))</f>
        <v>1</v>
      </c>
      <c r="I139" s="15" t="n">
        <f aca="false">IF(OR(A139="",C139=""),"",SUMPRODUCT(('Training Detail'!$A$5:$A$5000=A139)*('Training Detail'!$M$5:$M$5000=Standards!A5)*('Training Detail'!$G$5:$G$5000&gt;=D139)*('Training Detail'!$G$5:$G$5000&lt;=E139)*('Training Detail'!$P$5:$P$5000)))</f>
        <v>4</v>
      </c>
      <c r="J139" s="15" t="n">
        <f aca="false">IF(OR(A139="",C139=""),"",SUMPRODUCT(('Training Detail'!$A$5:$A$5000=A139)*('Training Detail'!$M$5:$M$5000=Standards!A6)*('Training Detail'!$G$5:$G$5000&gt;=D139)*('Training Detail'!$G$5:$G$5000&lt;=E139)*('Training Detail'!$P$5:$P$5000)))</f>
        <v>2</v>
      </c>
      <c r="K139" s="15" t="n">
        <f aca="false">IF(OR(A139="",C139=""),"",SUMPRODUCT(('Training Detail'!$A$5:$A$5000=A139)*('Training Detail'!$M$5:$M$5000=Standards!A7)*('Training Detail'!$G$5:$G$5000&gt;=D139)*('Training Detail'!$G$5:$G$5000&lt;=E139)*('Training Detail'!$P$5:$P$5000)))</f>
        <v>0</v>
      </c>
      <c r="L139" s="15" t="n">
        <f aca="false">IF(OR(A139="",C139=""),"",SUMPRODUCT(('Training Detail'!$A$5:$A$5000=A139)*('Training Detail'!$M$5:$M$5000=Standards!A8)*('Training Detail'!$G$5:$G$5000&gt;=D139)*('Training Detail'!$G$5:$G$5000&lt;=E139)*('Training Detail'!$P$5:$P$5000)))</f>
        <v>0</v>
      </c>
      <c r="M139" s="16" t="n">
        <f aca="false">IF(OR(A139="",C139=""),"",SUMPRODUCT(('Training Detail'!$A$5:$A$5000=A139)*('Training Detail'!$M$5:$M$5000=Standards!A9)*('Training Detail'!$G$5:$G$5000&gt;=D139)*('Training Detail'!$G$5:$G$5000&lt;=E139)*('Training Detail'!$P$5:$P$5000)))</f>
        <v>0</v>
      </c>
      <c r="N139" s="17" t="str">
        <f aca="false">IF(A139="","",IF(C139="","Set exp date",IF(AND(F139&gt;=Requirements!B5,G139&gt;=Requirements!B6,H139&gt;=Requirements!B7,I139&gt;=Requirements!B8,J139&gt;=Requirements!B9,K139&gt;=Requirements!B10,L139&gt;=Requirements!B11,M139&gt;=Requirements!B12),"Met","Short")))</f>
        <v>Short</v>
      </c>
      <c r="O139" s="18" t="str">
        <f aca="false">IF(OR(A139="",C139=""),"",IF(N139="Met","",IF(F139&lt;Requirements!B5,Requirements!A5&amp;" "&amp;TEXT(Requirements!B5-F139,"0.##")&amp;"; ","")&amp;IF(G139&lt;Requirements!B6,Requirements!A6&amp;" "&amp;TEXT(Requirements!B6-G139,"0.##")&amp;"; ","")&amp;IF(H139&lt;Requirements!B7,Requirements!A7&amp;" "&amp;TEXT(Requirements!B7-H139,"0.##")&amp;"; ","")&amp;IF(I139&lt;Requirements!B8,Requirements!A8&amp;" "&amp;TEXT(Requirements!B8-I139,"0.##")&amp;"; ","")&amp;IF(J139&lt;Requirements!B9,Requirements!A9&amp;" "&amp;TEXT(Requirements!B9-J139,"0.##")&amp;"; ","")&amp;IF(K139&lt;Requirements!B10,Requirements!A10&amp;" "&amp;TEXT(Requirements!B10-K139,"0.##")&amp;"; ","")&amp;IF(L139&lt;Requirements!B11,Requirements!A11&amp;" "&amp;TEXT(Requirements!B11-L139,"0.##")&amp;"; ","")&amp;IF(M139&lt;Requirements!B12,Requirements!A12&amp;" "&amp;TEXT(Requirements!B12-M139,"0.##")&amp;"; ","")))</f>
        <v>Airway 4; Cardiovascular 3; Trauma 2; Medical 2; PAHT 1; SVAT 1; CPR/AED 1; </v>
      </c>
    </row>
    <row r="140" customFormat="false" ht="15" hidden="false" customHeight="true" outlineLevel="0" collapsed="false">
      <c r="A140" s="11" t="s">
        <v>263</v>
      </c>
      <c r="B140" s="12" t="s">
        <v>264</v>
      </c>
      <c r="C140" s="13" t="n">
        <v>46752</v>
      </c>
      <c r="D140" s="14" t="n">
        <f aca="false">IF(C140="","",DATE(YEAR(C140)-1,1,1))</f>
        <v>46023</v>
      </c>
      <c r="E140" s="14" t="n">
        <f aca="false">IF(C140="","",DATE(YEAR(C140),12,31))</f>
        <v>46752</v>
      </c>
      <c r="F140" s="15" t="n">
        <f aca="false">IF(OR(A140="",C140=""),"",SUMPRODUCT(('Training Detail'!$A$5:$A$5000=A140)*('Training Detail'!$M$5:$M$5000=Standards!A2)*('Training Detail'!$G$5:$G$5000&gt;=D140)*('Training Detail'!$G$5:$G$5000&lt;=E140)*('Training Detail'!$P$5:$P$5000)))</f>
        <v>1</v>
      </c>
      <c r="G140" s="15" t="n">
        <f aca="false">IF(OR(A140="",C140=""),"",SUMPRODUCT(('Training Detail'!$A$5:$A$5000=A140)*('Training Detail'!$M$5:$M$5000=Standards!A3)*('Training Detail'!$G$5:$G$5000&gt;=D140)*('Training Detail'!$G$5:$G$5000&lt;=E140)*('Training Detail'!$P$5:$P$5000)))</f>
        <v>1</v>
      </c>
      <c r="H140" s="15" t="n">
        <f aca="false">IF(OR(A140="",C140=""),"",SUMPRODUCT(('Training Detail'!$A$5:$A$5000=A140)*('Training Detail'!$M$5:$M$5000=Standards!A4)*('Training Detail'!$G$5:$G$5000&gt;=D140)*('Training Detail'!$G$5:$G$5000&lt;=E140)*('Training Detail'!$P$5:$P$5000)))</f>
        <v>4</v>
      </c>
      <c r="I140" s="15" t="n">
        <f aca="false">IF(OR(A140="",C140=""),"",SUMPRODUCT(('Training Detail'!$A$5:$A$5000=A140)*('Training Detail'!$M$5:$M$5000=Standards!A5)*('Training Detail'!$G$5:$G$5000&gt;=D140)*('Training Detail'!$G$5:$G$5000&lt;=E140)*('Training Detail'!$P$5:$P$5000)))</f>
        <v>1</v>
      </c>
      <c r="J140" s="15" t="n">
        <f aca="false">IF(OR(A140="",C140=""),"",SUMPRODUCT(('Training Detail'!$A$5:$A$5000=A140)*('Training Detail'!$M$5:$M$5000=Standards!A6)*('Training Detail'!$G$5:$G$5000&gt;=D140)*('Training Detail'!$G$5:$G$5000&lt;=E140)*('Training Detail'!$P$5:$P$5000)))</f>
        <v>3</v>
      </c>
      <c r="K140" s="15" t="n">
        <f aca="false">IF(OR(A140="",C140=""),"",SUMPRODUCT(('Training Detail'!$A$5:$A$5000=A140)*('Training Detail'!$M$5:$M$5000=Standards!A7)*('Training Detail'!$G$5:$G$5000&gt;=D140)*('Training Detail'!$G$5:$G$5000&lt;=E140)*('Training Detail'!$P$5:$P$5000)))</f>
        <v>0</v>
      </c>
      <c r="L140" s="15" t="n">
        <f aca="false">IF(OR(A140="",C140=""),"",SUMPRODUCT(('Training Detail'!$A$5:$A$5000=A140)*('Training Detail'!$M$5:$M$5000=Standards!A8)*('Training Detail'!$G$5:$G$5000&gt;=D140)*('Training Detail'!$G$5:$G$5000&lt;=E140)*('Training Detail'!$P$5:$P$5000)))</f>
        <v>0</v>
      </c>
      <c r="M140" s="16" t="n">
        <f aca="false">IF(OR(A140="",C140=""),"",SUMPRODUCT(('Training Detail'!$A$5:$A$5000=A140)*('Training Detail'!$M$5:$M$5000=Standards!A9)*('Training Detail'!$G$5:$G$5000&gt;=D140)*('Training Detail'!$G$5:$G$5000&lt;=E140)*('Training Detail'!$P$5:$P$5000)))</f>
        <v>0</v>
      </c>
      <c r="N140" s="17" t="str">
        <f aca="false">IF(A140="","",IF(C140="","Set exp date",IF(AND(F140&gt;=Requirements!B5,G140&gt;=Requirements!B6,H140&gt;=Requirements!B7,I140&gt;=Requirements!B8,J140&gt;=Requirements!B9,K140&gt;=Requirements!B10,L140&gt;=Requirements!B11,M140&gt;=Requirements!B12),"Met","Short")))</f>
        <v>Short</v>
      </c>
      <c r="O140" s="18" t="str">
        <f aca="false">IF(OR(A140="",C140=""),"",IF(N140="Met","",IF(F140&lt;Requirements!B5,Requirements!A5&amp;" "&amp;TEXT(Requirements!B5-F140,"0.##")&amp;"; ","")&amp;IF(G140&lt;Requirements!B6,Requirements!A6&amp;" "&amp;TEXT(Requirements!B6-G140,"0.##")&amp;"; ","")&amp;IF(H140&lt;Requirements!B7,Requirements!A7&amp;" "&amp;TEXT(Requirements!B7-H140,"0.##")&amp;"; ","")&amp;IF(I140&lt;Requirements!B8,Requirements!A8&amp;" "&amp;TEXT(Requirements!B8-I140,"0.##")&amp;"; ","")&amp;IF(J140&lt;Requirements!B9,Requirements!A9&amp;" "&amp;TEXT(Requirements!B9-J140,"0.##")&amp;"; ","")&amp;IF(K140&lt;Requirements!B10,Requirements!A10&amp;" "&amp;TEXT(Requirements!B10-K140,"0.##")&amp;"; ","")&amp;IF(L140&lt;Requirements!B11,Requirements!A11&amp;" "&amp;TEXT(Requirements!B11-L140,"0.##")&amp;"; ","")&amp;IF(M140&lt;Requirements!B12,Requirements!A12&amp;" "&amp;TEXT(Requirements!B12-M140,"0.##")&amp;"; ","")))</f>
        <v>Airway 3; Cardiovascular 4; Medical 5; PAHT 1; SVAT 1; CPR/AED 1; </v>
      </c>
    </row>
    <row r="141" customFormat="false" ht="15" hidden="false" customHeight="true" outlineLevel="0" collapsed="false">
      <c r="A141" s="19" t="s">
        <v>265</v>
      </c>
      <c r="B141" s="20" t="s">
        <v>266</v>
      </c>
      <c r="C141" s="13" t="n">
        <v>46752</v>
      </c>
      <c r="D141" s="21" t="n">
        <f aca="false">IF(C141="","",DATE(YEAR(C141)-1,1,1))</f>
        <v>46023</v>
      </c>
      <c r="E141" s="21" t="n">
        <f aca="false">IF(C141="","",DATE(YEAR(C141),12,31))</f>
        <v>46752</v>
      </c>
      <c r="F141" s="15" t="n">
        <f aca="false">IF(OR(A141="",C141=""),"",SUMPRODUCT(('Training Detail'!$A$5:$A$5000=A141)*('Training Detail'!$M$5:$M$5000=Standards!A2)*('Training Detail'!$G$5:$G$5000&gt;=D141)*('Training Detail'!$G$5:$G$5000&lt;=E141)*('Training Detail'!$P$5:$P$5000)))</f>
        <v>2</v>
      </c>
      <c r="G141" s="15" t="n">
        <f aca="false">IF(OR(A141="",C141=""),"",SUMPRODUCT(('Training Detail'!$A$5:$A$5000=A141)*('Training Detail'!$M$5:$M$5000=Standards!A3)*('Training Detail'!$G$5:$G$5000&gt;=D141)*('Training Detail'!$G$5:$G$5000&lt;=E141)*('Training Detail'!$P$5:$P$5000)))</f>
        <v>0</v>
      </c>
      <c r="H141" s="15" t="n">
        <f aca="false">IF(OR(A141="",C141=""),"",SUMPRODUCT(('Training Detail'!$A$5:$A$5000=A141)*('Training Detail'!$M$5:$M$5000=Standards!A4)*('Training Detail'!$G$5:$G$5000&gt;=D141)*('Training Detail'!$G$5:$G$5000&lt;=E141)*('Training Detail'!$P$5:$P$5000)))</f>
        <v>0</v>
      </c>
      <c r="I141" s="15" t="n">
        <f aca="false">IF(OR(A141="",C141=""),"",SUMPRODUCT(('Training Detail'!$A$5:$A$5000=A141)*('Training Detail'!$M$5:$M$5000=Standards!A5)*('Training Detail'!$G$5:$G$5000&gt;=D141)*('Training Detail'!$G$5:$G$5000&lt;=E141)*('Training Detail'!$P$5:$P$5000)))</f>
        <v>1</v>
      </c>
      <c r="J141" s="15" t="n">
        <f aca="false">IF(OR(A141="",C141=""),"",SUMPRODUCT(('Training Detail'!$A$5:$A$5000=A141)*('Training Detail'!$M$5:$M$5000=Standards!A6)*('Training Detail'!$G$5:$G$5000&gt;=D141)*('Training Detail'!$G$5:$G$5000&lt;=E141)*('Training Detail'!$P$5:$P$5000)))</f>
        <v>2</v>
      </c>
      <c r="K141" s="15" t="n">
        <f aca="false">IF(OR(A141="",C141=""),"",SUMPRODUCT(('Training Detail'!$A$5:$A$5000=A141)*('Training Detail'!$M$5:$M$5000=Standards!A7)*('Training Detail'!$G$5:$G$5000&gt;=D141)*('Training Detail'!$G$5:$G$5000&lt;=E141)*('Training Detail'!$P$5:$P$5000)))</f>
        <v>0</v>
      </c>
      <c r="L141" s="15" t="n">
        <f aca="false">IF(OR(A141="",C141=""),"",SUMPRODUCT(('Training Detail'!$A$5:$A$5000=A141)*('Training Detail'!$M$5:$M$5000=Standards!A8)*('Training Detail'!$G$5:$G$5000&gt;=D141)*('Training Detail'!$G$5:$G$5000&lt;=E141)*('Training Detail'!$P$5:$P$5000)))</f>
        <v>0</v>
      </c>
      <c r="M141" s="16" t="n">
        <f aca="false">IF(OR(A141="",C141=""),"",SUMPRODUCT(('Training Detail'!$A$5:$A$5000=A141)*('Training Detail'!$M$5:$M$5000=Standards!A9)*('Training Detail'!$G$5:$G$5000&gt;=D141)*('Training Detail'!$G$5:$G$5000&lt;=E141)*('Training Detail'!$P$5:$P$5000)))</f>
        <v>0</v>
      </c>
      <c r="N141" s="17" t="str">
        <f aca="false">IF(A141="","",IF(C141="","Set exp date",IF(AND(F141&gt;=Requirements!B5,G141&gt;=Requirements!B6,H141&gt;=Requirements!B7,I141&gt;=Requirements!B8,J141&gt;=Requirements!B9,K141&gt;=Requirements!B10,L141&gt;=Requirements!B11,M141&gt;=Requirements!B12),"Met","Short")))</f>
        <v>Short</v>
      </c>
      <c r="O141" s="18" t="str">
        <f aca="false">IF(OR(A141="",C141=""),"",IF(N141="Met","",IF(F141&lt;Requirements!B5,Requirements!A5&amp;" "&amp;TEXT(Requirements!B5-F141,"0.##")&amp;"; ","")&amp;IF(G141&lt;Requirements!B6,Requirements!A6&amp;" "&amp;TEXT(Requirements!B6-G141,"0.##")&amp;"; ","")&amp;IF(H141&lt;Requirements!B7,Requirements!A7&amp;" "&amp;TEXT(Requirements!B7-H141,"0.##")&amp;"; ","")&amp;IF(I141&lt;Requirements!B8,Requirements!A8&amp;" "&amp;TEXT(Requirements!B8-I141,"0.##")&amp;"; ","")&amp;IF(J141&lt;Requirements!B9,Requirements!A9&amp;" "&amp;TEXT(Requirements!B9-J141,"0.##")&amp;"; ","")&amp;IF(K141&lt;Requirements!B10,Requirements!A10&amp;" "&amp;TEXT(Requirements!B10-K141,"0.##")&amp;"; ","")&amp;IF(L141&lt;Requirements!B11,Requirements!A11&amp;" "&amp;TEXT(Requirements!B11-L141,"0.##")&amp;"; ","")&amp;IF(M141&lt;Requirements!B12,Requirements!A12&amp;" "&amp;TEXT(Requirements!B12-M141,"0.##")&amp;"; ","")))</f>
        <v>Airway 2; Cardiovascular 5; Trauma 3; Medical 5; PAHT 1; SVAT 1; CPR/AED 1; </v>
      </c>
    </row>
    <row r="142" customFormat="false" ht="15" hidden="false" customHeight="true" outlineLevel="0" collapsed="false">
      <c r="A142" s="11" t="s">
        <v>267</v>
      </c>
      <c r="B142" s="12" t="s">
        <v>268</v>
      </c>
      <c r="C142" s="13" t="n">
        <v>46387</v>
      </c>
      <c r="D142" s="14" t="n">
        <f aca="false">IF(C142="","",DATE(YEAR(C142)-1,1,1))</f>
        <v>45658</v>
      </c>
      <c r="E142" s="14" t="n">
        <f aca="false">IF(C142="","",DATE(YEAR(C142),12,31))</f>
        <v>46387</v>
      </c>
      <c r="F142" s="15" t="n">
        <f aca="false">IF(OR(A142="",C142=""),"",SUMPRODUCT(('Training Detail'!$A$5:$A$5000=A142)*('Training Detail'!$M$5:$M$5000=Standards!A2)*('Training Detail'!$G$5:$G$5000&gt;=D142)*('Training Detail'!$G$5:$G$5000&lt;=E142)*('Training Detail'!$P$5:$P$5000)))</f>
        <v>0</v>
      </c>
      <c r="G142" s="15" t="n">
        <f aca="false">IF(OR(A142="",C142=""),"",SUMPRODUCT(('Training Detail'!$A$5:$A$5000=A142)*('Training Detail'!$M$5:$M$5000=Standards!A3)*('Training Detail'!$G$5:$G$5000&gt;=D142)*('Training Detail'!$G$5:$G$5000&lt;=E142)*('Training Detail'!$P$5:$P$5000)))</f>
        <v>2</v>
      </c>
      <c r="H142" s="15" t="n">
        <f aca="false">IF(OR(A142="",C142=""),"",SUMPRODUCT(('Training Detail'!$A$5:$A$5000=A142)*('Training Detail'!$M$5:$M$5000=Standards!A4)*('Training Detail'!$G$5:$G$5000&gt;=D142)*('Training Detail'!$G$5:$G$5000&lt;=E142)*('Training Detail'!$P$5:$P$5000)))</f>
        <v>7</v>
      </c>
      <c r="I142" s="15" t="n">
        <f aca="false">IF(OR(A142="",C142=""),"",SUMPRODUCT(('Training Detail'!$A$5:$A$5000=A142)*('Training Detail'!$M$5:$M$5000=Standards!A5)*('Training Detail'!$G$5:$G$5000&gt;=D142)*('Training Detail'!$G$5:$G$5000&lt;=E142)*('Training Detail'!$P$5:$P$5000)))</f>
        <v>1</v>
      </c>
      <c r="J142" s="15" t="n">
        <f aca="false">IF(OR(A142="",C142=""),"",SUMPRODUCT(('Training Detail'!$A$5:$A$5000=A142)*('Training Detail'!$M$5:$M$5000=Standards!A6)*('Training Detail'!$G$5:$G$5000&gt;=D142)*('Training Detail'!$G$5:$G$5000&lt;=E142)*('Training Detail'!$P$5:$P$5000)))</f>
        <v>2</v>
      </c>
      <c r="K142" s="15" t="n">
        <f aca="false">IF(OR(A142="",C142=""),"",SUMPRODUCT(('Training Detail'!$A$5:$A$5000=A142)*('Training Detail'!$M$5:$M$5000=Standards!A7)*('Training Detail'!$G$5:$G$5000&gt;=D142)*('Training Detail'!$G$5:$G$5000&lt;=E142)*('Training Detail'!$P$5:$P$5000)))</f>
        <v>0</v>
      </c>
      <c r="L142" s="15" t="n">
        <f aca="false">IF(OR(A142="",C142=""),"",SUMPRODUCT(('Training Detail'!$A$5:$A$5000=A142)*('Training Detail'!$M$5:$M$5000=Standards!A8)*('Training Detail'!$G$5:$G$5000&gt;=D142)*('Training Detail'!$G$5:$G$5000&lt;=E142)*('Training Detail'!$P$5:$P$5000)))</f>
        <v>0</v>
      </c>
      <c r="M142" s="16" t="n">
        <f aca="false">IF(OR(A142="",C142=""),"",SUMPRODUCT(('Training Detail'!$A$5:$A$5000=A142)*('Training Detail'!$M$5:$M$5000=Standards!A9)*('Training Detail'!$G$5:$G$5000&gt;=D142)*('Training Detail'!$G$5:$G$5000&lt;=E142)*('Training Detail'!$P$5:$P$5000)))</f>
        <v>2</v>
      </c>
      <c r="N142" s="17" t="str">
        <f aca="false">IF(A142="","",IF(C142="","Set exp date",IF(AND(F142&gt;=Requirements!B5,G142&gt;=Requirements!B6,H142&gt;=Requirements!B7,I142&gt;=Requirements!B8,J142&gt;=Requirements!B9,K142&gt;=Requirements!B10,L142&gt;=Requirements!B11,M142&gt;=Requirements!B12),"Met","Short")))</f>
        <v>Short</v>
      </c>
      <c r="O142" s="18" t="str">
        <f aca="false">IF(OR(A142="",C142=""),"",IF(N142="Met","",IF(F142&lt;Requirements!B5,Requirements!A5&amp;" "&amp;TEXT(Requirements!B5-F142,"0.##")&amp;"; ","")&amp;IF(G142&lt;Requirements!B6,Requirements!A6&amp;" "&amp;TEXT(Requirements!B6-G142,"0.##")&amp;"; ","")&amp;IF(H142&lt;Requirements!B7,Requirements!A7&amp;" "&amp;TEXT(Requirements!B7-H142,"0.##")&amp;"; ","")&amp;IF(I142&lt;Requirements!B8,Requirements!A8&amp;" "&amp;TEXT(Requirements!B8-I142,"0.##")&amp;"; ","")&amp;IF(J142&lt;Requirements!B9,Requirements!A9&amp;" "&amp;TEXT(Requirements!B9-J142,"0.##")&amp;"; ","")&amp;IF(K142&lt;Requirements!B10,Requirements!A10&amp;" "&amp;TEXT(Requirements!B10-K142,"0.##")&amp;"; ","")&amp;IF(L142&lt;Requirements!B11,Requirements!A11&amp;" "&amp;TEXT(Requirements!B11-L142,"0.##")&amp;"; ","")&amp;IF(M142&lt;Requirements!B12,Requirements!A12&amp;" "&amp;TEXT(Requirements!B12-M142,"0.##")&amp;"; ","")))</f>
        <v>Airway 4; Cardiovascular 3; Medical 5; PAHT 1; SVAT 1; </v>
      </c>
    </row>
    <row r="143" customFormat="false" ht="15" hidden="false" customHeight="true" outlineLevel="0" collapsed="false">
      <c r="A143" s="19" t="s">
        <v>269</v>
      </c>
      <c r="B143" s="20" t="s">
        <v>270</v>
      </c>
      <c r="C143" s="13" t="n">
        <v>46387</v>
      </c>
      <c r="D143" s="21" t="n">
        <f aca="false">IF(C143="","",DATE(YEAR(C143)-1,1,1))</f>
        <v>45658</v>
      </c>
      <c r="E143" s="21" t="n">
        <f aca="false">IF(C143="","",DATE(YEAR(C143),12,31))</f>
        <v>46387</v>
      </c>
      <c r="F143" s="15" t="n">
        <f aca="false">IF(OR(A143="",C143=""),"",SUMPRODUCT(('Training Detail'!$A$5:$A$5000=A143)*('Training Detail'!$M$5:$M$5000=Standards!A2)*('Training Detail'!$G$5:$G$5000&gt;=D143)*('Training Detail'!$G$5:$G$5000&lt;=E143)*('Training Detail'!$P$5:$P$5000)))</f>
        <v>1</v>
      </c>
      <c r="G143" s="15" t="n">
        <f aca="false">IF(OR(A143="",C143=""),"",SUMPRODUCT(('Training Detail'!$A$5:$A$5000=A143)*('Training Detail'!$M$5:$M$5000=Standards!A3)*('Training Detail'!$G$5:$G$5000&gt;=D143)*('Training Detail'!$G$5:$G$5000&lt;=E143)*('Training Detail'!$P$5:$P$5000)))</f>
        <v>3</v>
      </c>
      <c r="H143" s="15" t="n">
        <f aca="false">IF(OR(A143="",C143=""),"",SUMPRODUCT(('Training Detail'!$A$5:$A$5000=A143)*('Training Detail'!$M$5:$M$5000=Standards!A4)*('Training Detail'!$G$5:$G$5000&gt;=D143)*('Training Detail'!$G$5:$G$5000&lt;=E143)*('Training Detail'!$P$5:$P$5000)))</f>
        <v>7</v>
      </c>
      <c r="I143" s="15" t="n">
        <f aca="false">IF(OR(A143="",C143=""),"",SUMPRODUCT(('Training Detail'!$A$5:$A$5000=A143)*('Training Detail'!$M$5:$M$5000=Standards!A5)*('Training Detail'!$G$5:$G$5000&gt;=D143)*('Training Detail'!$G$5:$G$5000&lt;=E143)*('Training Detail'!$P$5:$P$5000)))</f>
        <v>8.5</v>
      </c>
      <c r="J143" s="15" t="n">
        <f aca="false">IF(OR(A143="",C143=""),"",SUMPRODUCT(('Training Detail'!$A$5:$A$5000=A143)*('Training Detail'!$M$5:$M$5000=Standards!A6)*('Training Detail'!$G$5:$G$5000&gt;=D143)*('Training Detail'!$G$5:$G$5000&lt;=E143)*('Training Detail'!$P$5:$P$5000)))</f>
        <v>0</v>
      </c>
      <c r="K143" s="15" t="n">
        <f aca="false">IF(OR(A143="",C143=""),"",SUMPRODUCT(('Training Detail'!$A$5:$A$5000=A143)*('Training Detail'!$M$5:$M$5000=Standards!A7)*('Training Detail'!$G$5:$G$5000&gt;=D143)*('Training Detail'!$G$5:$G$5000&lt;=E143)*('Training Detail'!$P$5:$P$5000)))</f>
        <v>0</v>
      </c>
      <c r="L143" s="15" t="n">
        <f aca="false">IF(OR(A143="",C143=""),"",SUMPRODUCT(('Training Detail'!$A$5:$A$5000=A143)*('Training Detail'!$M$5:$M$5000=Standards!A8)*('Training Detail'!$G$5:$G$5000&gt;=D143)*('Training Detail'!$G$5:$G$5000&lt;=E143)*('Training Detail'!$P$5:$P$5000)))</f>
        <v>0</v>
      </c>
      <c r="M143" s="16" t="n">
        <f aca="false">IF(OR(A143="",C143=""),"",SUMPRODUCT(('Training Detail'!$A$5:$A$5000=A143)*('Training Detail'!$M$5:$M$5000=Standards!A9)*('Training Detail'!$G$5:$G$5000&gt;=D143)*('Training Detail'!$G$5:$G$5000&lt;=E143)*('Training Detail'!$P$5:$P$5000)))</f>
        <v>3</v>
      </c>
      <c r="N143" s="17" t="str">
        <f aca="false">IF(A143="","",IF(C143="","Set exp date",IF(AND(F143&gt;=Requirements!B5,G143&gt;=Requirements!B6,H143&gt;=Requirements!B7,I143&gt;=Requirements!B8,J143&gt;=Requirements!B9,K143&gt;=Requirements!B10,L143&gt;=Requirements!B11,M143&gt;=Requirements!B12),"Met","Short")))</f>
        <v>Short</v>
      </c>
      <c r="O143" s="18" t="str">
        <f aca="false">IF(OR(A143="",C143=""),"",IF(N143="Met","",IF(F143&lt;Requirements!B5,Requirements!A5&amp;" "&amp;TEXT(Requirements!B5-F143,"0.##")&amp;"; ","")&amp;IF(G143&lt;Requirements!B6,Requirements!A6&amp;" "&amp;TEXT(Requirements!B6-G143,"0.##")&amp;"; ","")&amp;IF(H143&lt;Requirements!B7,Requirements!A7&amp;" "&amp;TEXT(Requirements!B7-H143,"0.##")&amp;"; ","")&amp;IF(I143&lt;Requirements!B8,Requirements!A8&amp;" "&amp;TEXT(Requirements!B8-I143,"0.##")&amp;"; ","")&amp;IF(J143&lt;Requirements!B9,Requirements!A9&amp;" "&amp;TEXT(Requirements!B9-J143,"0.##")&amp;"; ","")&amp;IF(K143&lt;Requirements!B10,Requirements!A10&amp;" "&amp;TEXT(Requirements!B10-K143,"0.##")&amp;"; ","")&amp;IF(L143&lt;Requirements!B11,Requirements!A11&amp;" "&amp;TEXT(Requirements!B11-L143,"0.##")&amp;"; ","")&amp;IF(M143&lt;Requirements!B12,Requirements!A12&amp;" "&amp;TEXT(Requirements!B12-M143,"0.##")&amp;"; ","")))</f>
        <v>Airway 3; Cardiovascular 2; Operations 2; PAHT 1; SVAT 1; </v>
      </c>
    </row>
    <row r="144" customFormat="false" ht="15" hidden="false" customHeight="true" outlineLevel="0" collapsed="false">
      <c r="A144" s="11" t="s">
        <v>271</v>
      </c>
      <c r="B144" s="12" t="s">
        <v>272</v>
      </c>
      <c r="C144" s="13" t="n">
        <v>46387</v>
      </c>
      <c r="D144" s="14" t="n">
        <f aca="false">IF(C144="","",DATE(YEAR(C144)-1,1,1))</f>
        <v>45658</v>
      </c>
      <c r="E144" s="14" t="n">
        <f aca="false">IF(C144="","",DATE(YEAR(C144),12,31))</f>
        <v>46387</v>
      </c>
      <c r="F144" s="15" t="n">
        <f aca="false">IF(OR(A144="",C144=""),"",SUMPRODUCT(('Training Detail'!$A$5:$A$5000=A144)*('Training Detail'!$M$5:$M$5000=Standards!A2)*('Training Detail'!$G$5:$G$5000&gt;=D144)*('Training Detail'!$G$5:$G$5000&lt;=E144)*('Training Detail'!$P$5:$P$5000)))</f>
        <v>0</v>
      </c>
      <c r="G144" s="15" t="n">
        <f aca="false">IF(OR(A144="",C144=""),"",SUMPRODUCT(('Training Detail'!$A$5:$A$5000=A144)*('Training Detail'!$M$5:$M$5000=Standards!A3)*('Training Detail'!$G$5:$G$5000&gt;=D144)*('Training Detail'!$G$5:$G$5000&lt;=E144)*('Training Detail'!$P$5:$P$5000)))</f>
        <v>8.5</v>
      </c>
      <c r="H144" s="15" t="n">
        <f aca="false">IF(OR(A144="",C144=""),"",SUMPRODUCT(('Training Detail'!$A$5:$A$5000=A144)*('Training Detail'!$M$5:$M$5000=Standards!A4)*('Training Detail'!$G$5:$G$5000&gt;=D144)*('Training Detail'!$G$5:$G$5000&lt;=E144)*('Training Detail'!$P$5:$P$5000)))</f>
        <v>3</v>
      </c>
      <c r="I144" s="15" t="n">
        <f aca="false">IF(OR(A144="",C144=""),"",SUMPRODUCT(('Training Detail'!$A$5:$A$5000=A144)*('Training Detail'!$M$5:$M$5000=Standards!A5)*('Training Detail'!$G$5:$G$5000&gt;=D144)*('Training Detail'!$G$5:$G$5000&lt;=E144)*('Training Detail'!$P$5:$P$5000)))</f>
        <v>5</v>
      </c>
      <c r="J144" s="15" t="n">
        <f aca="false">IF(OR(A144="",C144=""),"",SUMPRODUCT(('Training Detail'!$A$5:$A$5000=A144)*('Training Detail'!$M$5:$M$5000=Standards!A6)*('Training Detail'!$G$5:$G$5000&gt;=D144)*('Training Detail'!$G$5:$G$5000&lt;=E144)*('Training Detail'!$P$5:$P$5000)))</f>
        <v>9</v>
      </c>
      <c r="K144" s="15" t="n">
        <f aca="false">IF(OR(A144="",C144=""),"",SUMPRODUCT(('Training Detail'!$A$5:$A$5000=A144)*('Training Detail'!$M$5:$M$5000=Standards!A7)*('Training Detail'!$G$5:$G$5000&gt;=D144)*('Training Detail'!$G$5:$G$5000&lt;=E144)*('Training Detail'!$P$5:$P$5000)))</f>
        <v>0</v>
      </c>
      <c r="L144" s="15" t="n">
        <f aca="false">IF(OR(A144="",C144=""),"",SUMPRODUCT(('Training Detail'!$A$5:$A$5000=A144)*('Training Detail'!$M$5:$M$5000=Standards!A8)*('Training Detail'!$G$5:$G$5000&gt;=D144)*('Training Detail'!$G$5:$G$5000&lt;=E144)*('Training Detail'!$P$5:$P$5000)))</f>
        <v>0</v>
      </c>
      <c r="M144" s="16" t="n">
        <f aca="false">IF(OR(A144="",C144=""),"",SUMPRODUCT(('Training Detail'!$A$5:$A$5000=A144)*('Training Detail'!$M$5:$M$5000=Standards!A9)*('Training Detail'!$G$5:$G$5000&gt;=D144)*('Training Detail'!$G$5:$G$5000&lt;=E144)*('Training Detail'!$P$5:$P$5000)))</f>
        <v>0</v>
      </c>
      <c r="N144" s="17" t="str">
        <f aca="false">IF(A144="","",IF(C144="","Set exp date",IF(AND(F144&gt;=Requirements!B5,G144&gt;=Requirements!B6,H144&gt;=Requirements!B7,I144&gt;=Requirements!B8,J144&gt;=Requirements!B9,K144&gt;=Requirements!B10,L144&gt;=Requirements!B11,M144&gt;=Requirements!B12),"Met","Short")))</f>
        <v>Short</v>
      </c>
      <c r="O144" s="18" t="str">
        <f aca="false">IF(OR(A144="",C144=""),"",IF(N144="Met","",IF(F144&lt;Requirements!B5,Requirements!A5&amp;" "&amp;TEXT(Requirements!B5-F144,"0.##")&amp;"; ","")&amp;IF(G144&lt;Requirements!B6,Requirements!A6&amp;" "&amp;TEXT(Requirements!B6-G144,"0.##")&amp;"; ","")&amp;IF(H144&lt;Requirements!B7,Requirements!A7&amp;" "&amp;TEXT(Requirements!B7-H144,"0.##")&amp;"; ","")&amp;IF(I144&lt;Requirements!B8,Requirements!A8&amp;" "&amp;TEXT(Requirements!B8-I144,"0.##")&amp;"; ","")&amp;IF(J144&lt;Requirements!B9,Requirements!A9&amp;" "&amp;TEXT(Requirements!B9-J144,"0.##")&amp;"; ","")&amp;IF(K144&lt;Requirements!B10,Requirements!A10&amp;" "&amp;TEXT(Requirements!B10-K144,"0.##")&amp;"; ","")&amp;IF(L144&lt;Requirements!B11,Requirements!A11&amp;" "&amp;TEXT(Requirements!B11-L144,"0.##")&amp;"; ","")&amp;IF(M144&lt;Requirements!B12,Requirements!A12&amp;" "&amp;TEXT(Requirements!B12-M144,"0.##")&amp;"; ","")))</f>
        <v>Airway 4; Medical 1; PAHT 1; SVAT 1; CPR/AED 1; </v>
      </c>
    </row>
    <row r="145" customFormat="false" ht="15" hidden="false" customHeight="true" outlineLevel="0" collapsed="false">
      <c r="A145" s="19" t="s">
        <v>273</v>
      </c>
      <c r="B145" s="20" t="s">
        <v>274</v>
      </c>
      <c r="C145" s="13" t="n">
        <v>46752</v>
      </c>
      <c r="D145" s="21" t="n">
        <f aca="false">IF(C145="","",DATE(YEAR(C145)-1,1,1))</f>
        <v>46023</v>
      </c>
      <c r="E145" s="21" t="n">
        <f aca="false">IF(C145="","",DATE(YEAR(C145),12,31))</f>
        <v>46752</v>
      </c>
      <c r="F145" s="15" t="n">
        <f aca="false">IF(OR(A145="",C145=""),"",SUMPRODUCT(('Training Detail'!$A$5:$A$5000=A145)*('Training Detail'!$M$5:$M$5000=Standards!A2)*('Training Detail'!$G$5:$G$5000&gt;=D145)*('Training Detail'!$G$5:$G$5000&lt;=E145)*('Training Detail'!$P$5:$P$5000)))</f>
        <v>1</v>
      </c>
      <c r="G145" s="15" t="n">
        <f aca="false">IF(OR(A145="",C145=""),"",SUMPRODUCT(('Training Detail'!$A$5:$A$5000=A145)*('Training Detail'!$M$5:$M$5000=Standards!A3)*('Training Detail'!$G$5:$G$5000&gt;=D145)*('Training Detail'!$G$5:$G$5000&lt;=E145)*('Training Detail'!$P$5:$P$5000)))</f>
        <v>0</v>
      </c>
      <c r="H145" s="15" t="n">
        <f aca="false">IF(OR(A145="",C145=""),"",SUMPRODUCT(('Training Detail'!$A$5:$A$5000=A145)*('Training Detail'!$M$5:$M$5000=Standards!A4)*('Training Detail'!$G$5:$G$5000&gt;=D145)*('Training Detail'!$G$5:$G$5000&lt;=E145)*('Training Detail'!$P$5:$P$5000)))</f>
        <v>5</v>
      </c>
      <c r="I145" s="15" t="n">
        <f aca="false">IF(OR(A145="",C145=""),"",SUMPRODUCT(('Training Detail'!$A$5:$A$5000=A145)*('Training Detail'!$M$5:$M$5000=Standards!A5)*('Training Detail'!$G$5:$G$5000&gt;=D145)*('Training Detail'!$G$5:$G$5000&lt;=E145)*('Training Detail'!$P$5:$P$5000)))</f>
        <v>1</v>
      </c>
      <c r="J145" s="15" t="n">
        <f aca="false">IF(OR(A145="",C145=""),"",SUMPRODUCT(('Training Detail'!$A$5:$A$5000=A145)*('Training Detail'!$M$5:$M$5000=Standards!A6)*('Training Detail'!$G$5:$G$5000&gt;=D145)*('Training Detail'!$G$5:$G$5000&lt;=E145)*('Training Detail'!$P$5:$P$5000)))</f>
        <v>7.5</v>
      </c>
      <c r="K145" s="15" t="n">
        <f aca="false">IF(OR(A145="",C145=""),"",SUMPRODUCT(('Training Detail'!$A$5:$A$5000=A145)*('Training Detail'!$M$5:$M$5000=Standards!A7)*('Training Detail'!$G$5:$G$5000&gt;=D145)*('Training Detail'!$G$5:$G$5000&lt;=E145)*('Training Detail'!$P$5:$P$5000)))</f>
        <v>0</v>
      </c>
      <c r="L145" s="15" t="n">
        <f aca="false">IF(OR(A145="",C145=""),"",SUMPRODUCT(('Training Detail'!$A$5:$A$5000=A145)*('Training Detail'!$M$5:$M$5000=Standards!A8)*('Training Detail'!$G$5:$G$5000&gt;=D145)*('Training Detail'!$G$5:$G$5000&lt;=E145)*('Training Detail'!$P$5:$P$5000)))</f>
        <v>0</v>
      </c>
      <c r="M145" s="16" t="n">
        <f aca="false">IF(OR(A145="",C145=""),"",SUMPRODUCT(('Training Detail'!$A$5:$A$5000=A145)*('Training Detail'!$M$5:$M$5000=Standards!A9)*('Training Detail'!$G$5:$G$5000&gt;=D145)*('Training Detail'!$G$5:$G$5000&lt;=E145)*('Training Detail'!$P$5:$P$5000)))</f>
        <v>1</v>
      </c>
      <c r="N145" s="17" t="str">
        <f aca="false">IF(A145="","",IF(C145="","Set exp date",IF(AND(F145&gt;=Requirements!B5,G145&gt;=Requirements!B6,H145&gt;=Requirements!B7,I145&gt;=Requirements!B8,J145&gt;=Requirements!B9,K145&gt;=Requirements!B10,L145&gt;=Requirements!B11,M145&gt;=Requirements!B12),"Met","Short")))</f>
        <v>Short</v>
      </c>
      <c r="O145" s="18" t="str">
        <f aca="false">IF(OR(A145="",C145=""),"",IF(N145="Met","",IF(F145&lt;Requirements!B5,Requirements!A5&amp;" "&amp;TEXT(Requirements!B5-F145,"0.##")&amp;"; ","")&amp;IF(G145&lt;Requirements!B6,Requirements!A6&amp;" "&amp;TEXT(Requirements!B6-G145,"0.##")&amp;"; ","")&amp;IF(H145&lt;Requirements!B7,Requirements!A7&amp;" "&amp;TEXT(Requirements!B7-H145,"0.##")&amp;"; ","")&amp;IF(I145&lt;Requirements!B8,Requirements!A8&amp;" "&amp;TEXT(Requirements!B8-I145,"0.##")&amp;"; ","")&amp;IF(J145&lt;Requirements!B9,Requirements!A9&amp;" "&amp;TEXT(Requirements!B9-J145,"0.##")&amp;"; ","")&amp;IF(K145&lt;Requirements!B10,Requirements!A10&amp;" "&amp;TEXT(Requirements!B10-K145,"0.##")&amp;"; ","")&amp;IF(L145&lt;Requirements!B11,Requirements!A11&amp;" "&amp;TEXT(Requirements!B11-L145,"0.##")&amp;"; ","")&amp;IF(M145&lt;Requirements!B12,Requirements!A12&amp;" "&amp;TEXT(Requirements!B12-M145,"0.##")&amp;"; ","")))</f>
        <v>Airway 3; Cardiovascular 5; Medical 5; PAHT 1; SVAT 1; </v>
      </c>
    </row>
    <row r="146" customFormat="false" ht="15" hidden="false" customHeight="true" outlineLevel="0" collapsed="false">
      <c r="A146" s="11" t="s">
        <v>275</v>
      </c>
      <c r="B146" s="12"/>
      <c r="C146" s="13"/>
      <c r="D146" s="14" t="str">
        <f aca="false">IF(C146="","",DATE(YEAR(C146)-1,1,1))</f>
        <v/>
      </c>
      <c r="E146" s="14" t="str">
        <f aca="false">IF(C146="","",DATE(YEAR(C146),12,31))</f>
        <v/>
      </c>
      <c r="F146" s="15" t="str">
        <f aca="false">IF(OR(A146="",C146=""),"",SUMPRODUCT(('Training Detail'!$A$5:$A$5000=A146)*('Training Detail'!$M$5:$M$5000=Standards!A2)*('Training Detail'!$G$5:$G$5000&gt;=D146)*('Training Detail'!$G$5:$G$5000&lt;=E146)*('Training Detail'!$P$5:$P$5000)))</f>
        <v/>
      </c>
      <c r="G146" s="15" t="str">
        <f aca="false">IF(OR(A146="",C146=""),"",SUMPRODUCT(('Training Detail'!$A$5:$A$5000=A146)*('Training Detail'!$M$5:$M$5000=Standards!A3)*('Training Detail'!$G$5:$G$5000&gt;=D146)*('Training Detail'!$G$5:$G$5000&lt;=E146)*('Training Detail'!$P$5:$P$5000)))</f>
        <v/>
      </c>
      <c r="H146" s="15" t="str">
        <f aca="false">IF(OR(A146="",C146=""),"",SUMPRODUCT(('Training Detail'!$A$5:$A$5000=A146)*('Training Detail'!$M$5:$M$5000=Standards!A4)*('Training Detail'!$G$5:$G$5000&gt;=D146)*('Training Detail'!$G$5:$G$5000&lt;=E146)*('Training Detail'!$P$5:$P$5000)))</f>
        <v/>
      </c>
      <c r="I146" s="15" t="str">
        <f aca="false">IF(OR(A146="",C146=""),"",SUMPRODUCT(('Training Detail'!$A$5:$A$5000=A146)*('Training Detail'!$M$5:$M$5000=Standards!A5)*('Training Detail'!$G$5:$G$5000&gt;=D146)*('Training Detail'!$G$5:$G$5000&lt;=E146)*('Training Detail'!$P$5:$P$5000)))</f>
        <v/>
      </c>
      <c r="J146" s="15" t="str">
        <f aca="false">IF(OR(A146="",C146=""),"",SUMPRODUCT(('Training Detail'!$A$5:$A$5000=A146)*('Training Detail'!$M$5:$M$5000=Standards!A6)*('Training Detail'!$G$5:$G$5000&gt;=D146)*('Training Detail'!$G$5:$G$5000&lt;=E146)*('Training Detail'!$P$5:$P$5000)))</f>
        <v/>
      </c>
      <c r="K146" s="15" t="str">
        <f aca="false">IF(OR(A146="",C146=""),"",SUMPRODUCT(('Training Detail'!$A$5:$A$5000=A146)*('Training Detail'!$M$5:$M$5000=Standards!A7)*('Training Detail'!$G$5:$G$5000&gt;=D146)*('Training Detail'!$G$5:$G$5000&lt;=E146)*('Training Detail'!$P$5:$P$5000)))</f>
        <v/>
      </c>
      <c r="L146" s="15" t="str">
        <f aca="false">IF(OR(A146="",C146=""),"",SUMPRODUCT(('Training Detail'!$A$5:$A$5000=A146)*('Training Detail'!$M$5:$M$5000=Standards!A8)*('Training Detail'!$G$5:$G$5000&gt;=D146)*('Training Detail'!$G$5:$G$5000&lt;=E146)*('Training Detail'!$P$5:$P$5000)))</f>
        <v/>
      </c>
      <c r="M146" s="16" t="str">
        <f aca="false">IF(OR(A146="",C146=""),"",SUMPRODUCT(('Training Detail'!$A$5:$A$5000=A146)*('Training Detail'!$M$5:$M$5000=Standards!A9)*('Training Detail'!$G$5:$G$5000&gt;=D146)*('Training Detail'!$G$5:$G$5000&lt;=E146)*('Training Detail'!$P$5:$P$5000)))</f>
        <v/>
      </c>
      <c r="N146" s="17" t="str">
        <f aca="false">IF(A146="","",IF(C146="","Set exp date",IF(AND(F146&gt;=Requirements!B5,G146&gt;=Requirements!B6,H146&gt;=Requirements!B7,I146&gt;=Requirements!B8,J146&gt;=Requirements!B9,K146&gt;=Requirements!B10,L146&gt;=Requirements!B11,M146&gt;=Requirements!B12),"Met","Short")))</f>
        <v>Set exp date</v>
      </c>
      <c r="O146" s="18" t="str">
        <f aca="false">IF(OR(A146="",C146=""),"",IF(N146="Met","",IF(F146&lt;Requirements!B5,Requirements!A5&amp;" "&amp;TEXT(Requirements!B5-F146,"0.##")&amp;"; ","")&amp;IF(G146&lt;Requirements!B6,Requirements!A6&amp;" "&amp;TEXT(Requirements!B6-G146,"0.##")&amp;"; ","")&amp;IF(H146&lt;Requirements!B7,Requirements!A7&amp;" "&amp;TEXT(Requirements!B7-H146,"0.##")&amp;"; ","")&amp;IF(I146&lt;Requirements!B8,Requirements!A8&amp;" "&amp;TEXT(Requirements!B8-I146,"0.##")&amp;"; ","")&amp;IF(J146&lt;Requirements!B9,Requirements!A9&amp;" "&amp;TEXT(Requirements!B9-J146,"0.##")&amp;"; ","")&amp;IF(K146&lt;Requirements!B10,Requirements!A10&amp;" "&amp;TEXT(Requirements!B10-K146,"0.##")&amp;"; ","")&amp;IF(L146&lt;Requirements!B11,Requirements!A11&amp;" "&amp;TEXT(Requirements!B11-L146,"0.##")&amp;"; ","")&amp;IF(M146&lt;Requirements!B12,Requirements!A12&amp;" "&amp;TEXT(Requirements!B12-M146,"0.##")&amp;"; ","")))</f>
        <v/>
      </c>
    </row>
    <row r="147" customFormat="false" ht="15" hidden="false" customHeight="true" outlineLevel="0" collapsed="false">
      <c r="A147" s="19" t="s">
        <v>276</v>
      </c>
      <c r="B147" s="20" t="s">
        <v>277</v>
      </c>
      <c r="C147" s="13" t="n">
        <v>46387</v>
      </c>
      <c r="D147" s="21" t="n">
        <f aca="false">IF(C147="","",DATE(YEAR(C147)-1,1,1))</f>
        <v>45658</v>
      </c>
      <c r="E147" s="21" t="n">
        <f aca="false">IF(C147="","",DATE(YEAR(C147),12,31))</f>
        <v>46387</v>
      </c>
      <c r="F147" s="15" t="n">
        <f aca="false">IF(OR(A147="",C147=""),"",SUMPRODUCT(('Training Detail'!$A$5:$A$5000=A147)*('Training Detail'!$M$5:$M$5000=Standards!A2)*('Training Detail'!$G$5:$G$5000&gt;=D147)*('Training Detail'!$G$5:$G$5000&lt;=E147)*('Training Detail'!$P$5:$P$5000)))</f>
        <v>5.5</v>
      </c>
      <c r="G147" s="15" t="n">
        <f aca="false">IF(OR(A147="",C147=""),"",SUMPRODUCT(('Training Detail'!$A$5:$A$5000=A147)*('Training Detail'!$M$5:$M$5000=Standards!A3)*('Training Detail'!$G$5:$G$5000&gt;=D147)*('Training Detail'!$G$5:$G$5000&lt;=E147)*('Training Detail'!$P$5:$P$5000)))</f>
        <v>1.5</v>
      </c>
      <c r="H147" s="15" t="n">
        <f aca="false">IF(OR(A147="",C147=""),"",SUMPRODUCT(('Training Detail'!$A$5:$A$5000=A147)*('Training Detail'!$M$5:$M$5000=Standards!A4)*('Training Detail'!$G$5:$G$5000&gt;=D147)*('Training Detail'!$G$5:$G$5000&lt;=E147)*('Training Detail'!$P$5:$P$5000)))</f>
        <v>9.25</v>
      </c>
      <c r="I147" s="15" t="n">
        <f aca="false">IF(OR(A147="",C147=""),"",SUMPRODUCT(('Training Detail'!$A$5:$A$5000=A147)*('Training Detail'!$M$5:$M$5000=Standards!A5)*('Training Detail'!$G$5:$G$5000&gt;=D147)*('Training Detail'!$G$5:$G$5000&lt;=E147)*('Training Detail'!$P$5:$P$5000)))</f>
        <v>7.5</v>
      </c>
      <c r="J147" s="15" t="n">
        <f aca="false">IF(OR(A147="",C147=""),"",SUMPRODUCT(('Training Detail'!$A$5:$A$5000=A147)*('Training Detail'!$M$5:$M$5000=Standards!A6)*('Training Detail'!$G$5:$G$5000&gt;=D147)*('Training Detail'!$G$5:$G$5000&lt;=E147)*('Training Detail'!$P$5:$P$5000)))</f>
        <v>1</v>
      </c>
      <c r="K147" s="15" t="n">
        <f aca="false">IF(OR(A147="",C147=""),"",SUMPRODUCT(('Training Detail'!$A$5:$A$5000=A147)*('Training Detail'!$M$5:$M$5000=Standards!A7)*('Training Detail'!$G$5:$G$5000&gt;=D147)*('Training Detail'!$G$5:$G$5000&lt;=E147)*('Training Detail'!$P$5:$P$5000)))</f>
        <v>0</v>
      </c>
      <c r="L147" s="15" t="n">
        <f aca="false">IF(OR(A147="",C147=""),"",SUMPRODUCT(('Training Detail'!$A$5:$A$5000=A147)*('Training Detail'!$M$5:$M$5000=Standards!A8)*('Training Detail'!$G$5:$G$5000&gt;=D147)*('Training Detail'!$G$5:$G$5000&lt;=E147)*('Training Detail'!$P$5:$P$5000)))</f>
        <v>0</v>
      </c>
      <c r="M147" s="16" t="n">
        <f aca="false">IF(OR(A147="",C147=""),"",SUMPRODUCT(('Training Detail'!$A$5:$A$5000=A147)*('Training Detail'!$M$5:$M$5000=Standards!A9)*('Training Detail'!$G$5:$G$5000&gt;=D147)*('Training Detail'!$G$5:$G$5000&lt;=E147)*('Training Detail'!$P$5:$P$5000)))</f>
        <v>1</v>
      </c>
      <c r="N147" s="17" t="str">
        <f aca="false">IF(A147="","",IF(C147="","Set exp date",IF(AND(F147&gt;=Requirements!B5,G147&gt;=Requirements!B6,H147&gt;=Requirements!B7,I147&gt;=Requirements!B8,J147&gt;=Requirements!B9,K147&gt;=Requirements!B10,L147&gt;=Requirements!B11,M147&gt;=Requirements!B12),"Met","Short")))</f>
        <v>Short</v>
      </c>
      <c r="O147" s="18" t="str">
        <f aca="false">IF(OR(A147="",C147=""),"",IF(N147="Met","",IF(F147&lt;Requirements!B5,Requirements!A5&amp;" "&amp;TEXT(Requirements!B5-F147,"0.##")&amp;"; ","")&amp;IF(G147&lt;Requirements!B6,Requirements!A6&amp;" "&amp;TEXT(Requirements!B6-G147,"0.##")&amp;"; ","")&amp;IF(H147&lt;Requirements!B7,Requirements!A7&amp;" "&amp;TEXT(Requirements!B7-H147,"0.##")&amp;"; ","")&amp;IF(I147&lt;Requirements!B8,Requirements!A8&amp;" "&amp;TEXT(Requirements!B8-I147,"0.##")&amp;"; ","")&amp;IF(J147&lt;Requirements!B9,Requirements!A9&amp;" "&amp;TEXT(Requirements!B9-J147,"0.##")&amp;"; ","")&amp;IF(K147&lt;Requirements!B10,Requirements!A10&amp;" "&amp;TEXT(Requirements!B10-K147,"0.##")&amp;"; ","")&amp;IF(L147&lt;Requirements!B11,Requirements!A11&amp;" "&amp;TEXT(Requirements!B11-L147,"0.##")&amp;"; ","")&amp;IF(M147&lt;Requirements!B12,Requirements!A12&amp;" "&amp;TEXT(Requirements!B12-M147,"0.##")&amp;"; ","")))</f>
        <v>Cardiovascular 3.5; Operations 1; PAHT 1; SVAT 1; </v>
      </c>
    </row>
    <row r="148" customFormat="false" ht="15" hidden="false" customHeight="true" outlineLevel="0" collapsed="false">
      <c r="A148" s="11" t="s">
        <v>278</v>
      </c>
      <c r="B148" s="12" t="s">
        <v>279</v>
      </c>
      <c r="C148" s="13" t="n">
        <v>46752</v>
      </c>
      <c r="D148" s="14" t="n">
        <f aca="false">IF(C148="","",DATE(YEAR(C148)-1,1,1))</f>
        <v>46023</v>
      </c>
      <c r="E148" s="14" t="n">
        <f aca="false">IF(C148="","",DATE(YEAR(C148),12,31))</f>
        <v>46752</v>
      </c>
      <c r="F148" s="15" t="n">
        <f aca="false">IF(OR(A148="",C148=""),"",SUMPRODUCT(('Training Detail'!$A$5:$A$5000=A148)*('Training Detail'!$M$5:$M$5000=Standards!A2)*('Training Detail'!$G$5:$G$5000&gt;=D148)*('Training Detail'!$G$5:$G$5000&lt;=E148)*('Training Detail'!$P$5:$P$5000)))</f>
        <v>0</v>
      </c>
      <c r="G148" s="15" t="n">
        <f aca="false">IF(OR(A148="",C148=""),"",SUMPRODUCT(('Training Detail'!$A$5:$A$5000=A148)*('Training Detail'!$M$5:$M$5000=Standards!A3)*('Training Detail'!$G$5:$G$5000&gt;=D148)*('Training Detail'!$G$5:$G$5000&lt;=E148)*('Training Detail'!$P$5:$P$5000)))</f>
        <v>0</v>
      </c>
      <c r="H148" s="15" t="n">
        <f aca="false">IF(OR(A148="",C148=""),"",SUMPRODUCT(('Training Detail'!$A$5:$A$5000=A148)*('Training Detail'!$M$5:$M$5000=Standards!A4)*('Training Detail'!$G$5:$G$5000&gt;=D148)*('Training Detail'!$G$5:$G$5000&lt;=E148)*('Training Detail'!$P$5:$P$5000)))</f>
        <v>2</v>
      </c>
      <c r="I148" s="15" t="n">
        <f aca="false">IF(OR(A148="",C148=""),"",SUMPRODUCT(('Training Detail'!$A$5:$A$5000=A148)*('Training Detail'!$M$5:$M$5000=Standards!A5)*('Training Detail'!$G$5:$G$5000&gt;=D148)*('Training Detail'!$G$5:$G$5000&lt;=E148)*('Training Detail'!$P$5:$P$5000)))</f>
        <v>1</v>
      </c>
      <c r="J148" s="15" t="n">
        <f aca="false">IF(OR(A148="",C148=""),"",SUMPRODUCT(('Training Detail'!$A$5:$A$5000=A148)*('Training Detail'!$M$5:$M$5000=Standards!A6)*('Training Detail'!$G$5:$G$5000&gt;=D148)*('Training Detail'!$G$5:$G$5000&lt;=E148)*('Training Detail'!$P$5:$P$5000)))</f>
        <v>1</v>
      </c>
      <c r="K148" s="15" t="n">
        <f aca="false">IF(OR(A148="",C148=""),"",SUMPRODUCT(('Training Detail'!$A$5:$A$5000=A148)*('Training Detail'!$M$5:$M$5000=Standards!A7)*('Training Detail'!$G$5:$G$5000&gt;=D148)*('Training Detail'!$G$5:$G$5000&lt;=E148)*('Training Detail'!$P$5:$P$5000)))</f>
        <v>1.5</v>
      </c>
      <c r="L148" s="15" t="n">
        <f aca="false">IF(OR(A148="",C148=""),"",SUMPRODUCT(('Training Detail'!$A$5:$A$5000=A148)*('Training Detail'!$M$5:$M$5000=Standards!A8)*('Training Detail'!$G$5:$G$5000&gt;=D148)*('Training Detail'!$G$5:$G$5000&lt;=E148)*('Training Detail'!$P$5:$P$5000)))</f>
        <v>0</v>
      </c>
      <c r="M148" s="16" t="n">
        <f aca="false">IF(OR(A148="",C148=""),"",SUMPRODUCT(('Training Detail'!$A$5:$A$5000=A148)*('Training Detail'!$M$5:$M$5000=Standards!A9)*('Training Detail'!$G$5:$G$5000&gt;=D148)*('Training Detail'!$G$5:$G$5000&lt;=E148)*('Training Detail'!$P$5:$P$5000)))</f>
        <v>0</v>
      </c>
      <c r="N148" s="17" t="str">
        <f aca="false">IF(A148="","",IF(C148="","Set exp date",IF(AND(F148&gt;=Requirements!B5,G148&gt;=Requirements!B6,H148&gt;=Requirements!B7,I148&gt;=Requirements!B8,J148&gt;=Requirements!B9,K148&gt;=Requirements!B10,L148&gt;=Requirements!B11,M148&gt;=Requirements!B12),"Met","Short")))</f>
        <v>Short</v>
      </c>
      <c r="O148" s="18" t="str">
        <f aca="false">IF(OR(A148="",C148=""),"",IF(N148="Met","",IF(F148&lt;Requirements!B5,Requirements!A5&amp;" "&amp;TEXT(Requirements!B5-F148,"0.##")&amp;"; ","")&amp;IF(G148&lt;Requirements!B6,Requirements!A6&amp;" "&amp;TEXT(Requirements!B6-G148,"0.##")&amp;"; ","")&amp;IF(H148&lt;Requirements!B7,Requirements!A7&amp;" "&amp;TEXT(Requirements!B7-H148,"0.##")&amp;"; ","")&amp;IF(I148&lt;Requirements!B8,Requirements!A8&amp;" "&amp;TEXT(Requirements!B8-I148,"0.##")&amp;"; ","")&amp;IF(J148&lt;Requirements!B9,Requirements!A9&amp;" "&amp;TEXT(Requirements!B9-J148,"0.##")&amp;"; ","")&amp;IF(K148&lt;Requirements!B10,Requirements!A10&amp;" "&amp;TEXT(Requirements!B10-K148,"0.##")&amp;"; ","")&amp;IF(L148&lt;Requirements!B11,Requirements!A11&amp;" "&amp;TEXT(Requirements!B11-L148,"0.##")&amp;"; ","")&amp;IF(M148&lt;Requirements!B12,Requirements!A12&amp;" "&amp;TEXT(Requirements!B12-M148,"0.##")&amp;"; ","")))</f>
        <v>Airway 4; Cardiovascular 5; Trauma 1; Medical 5; Operations 1; SVAT 1; CPR/AED 1; </v>
      </c>
    </row>
    <row r="149" customFormat="false" ht="15" hidden="false" customHeight="true" outlineLevel="0" collapsed="false">
      <c r="A149" s="19" t="s">
        <v>280</v>
      </c>
      <c r="B149" s="20"/>
      <c r="C149" s="13"/>
      <c r="D149" s="21" t="str">
        <f aca="false">IF(C149="","",DATE(YEAR(C149)-1,1,1))</f>
        <v/>
      </c>
      <c r="E149" s="21" t="str">
        <f aca="false">IF(C149="","",DATE(YEAR(C149),12,31))</f>
        <v/>
      </c>
      <c r="F149" s="15" t="str">
        <f aca="false">IF(OR(A149="",C149=""),"",SUMPRODUCT(('Training Detail'!$A$5:$A$5000=A149)*('Training Detail'!$M$5:$M$5000=Standards!A2)*('Training Detail'!$G$5:$G$5000&gt;=D149)*('Training Detail'!$G$5:$G$5000&lt;=E149)*('Training Detail'!$P$5:$P$5000)))</f>
        <v/>
      </c>
      <c r="G149" s="15" t="str">
        <f aca="false">IF(OR(A149="",C149=""),"",SUMPRODUCT(('Training Detail'!$A$5:$A$5000=A149)*('Training Detail'!$M$5:$M$5000=Standards!A3)*('Training Detail'!$G$5:$G$5000&gt;=D149)*('Training Detail'!$G$5:$G$5000&lt;=E149)*('Training Detail'!$P$5:$P$5000)))</f>
        <v/>
      </c>
      <c r="H149" s="15" t="str">
        <f aca="false">IF(OR(A149="",C149=""),"",SUMPRODUCT(('Training Detail'!$A$5:$A$5000=A149)*('Training Detail'!$M$5:$M$5000=Standards!A4)*('Training Detail'!$G$5:$G$5000&gt;=D149)*('Training Detail'!$G$5:$G$5000&lt;=E149)*('Training Detail'!$P$5:$P$5000)))</f>
        <v/>
      </c>
      <c r="I149" s="15" t="str">
        <f aca="false">IF(OR(A149="",C149=""),"",SUMPRODUCT(('Training Detail'!$A$5:$A$5000=A149)*('Training Detail'!$M$5:$M$5000=Standards!A5)*('Training Detail'!$G$5:$G$5000&gt;=D149)*('Training Detail'!$G$5:$G$5000&lt;=E149)*('Training Detail'!$P$5:$P$5000)))</f>
        <v/>
      </c>
      <c r="J149" s="15" t="str">
        <f aca="false">IF(OR(A149="",C149=""),"",SUMPRODUCT(('Training Detail'!$A$5:$A$5000=A149)*('Training Detail'!$M$5:$M$5000=Standards!A6)*('Training Detail'!$G$5:$G$5000&gt;=D149)*('Training Detail'!$G$5:$G$5000&lt;=E149)*('Training Detail'!$P$5:$P$5000)))</f>
        <v/>
      </c>
      <c r="K149" s="15" t="str">
        <f aca="false">IF(OR(A149="",C149=""),"",SUMPRODUCT(('Training Detail'!$A$5:$A$5000=A149)*('Training Detail'!$M$5:$M$5000=Standards!A7)*('Training Detail'!$G$5:$G$5000&gt;=D149)*('Training Detail'!$G$5:$G$5000&lt;=E149)*('Training Detail'!$P$5:$P$5000)))</f>
        <v/>
      </c>
      <c r="L149" s="15" t="str">
        <f aca="false">IF(OR(A149="",C149=""),"",SUMPRODUCT(('Training Detail'!$A$5:$A$5000=A149)*('Training Detail'!$M$5:$M$5000=Standards!A8)*('Training Detail'!$G$5:$G$5000&gt;=D149)*('Training Detail'!$G$5:$G$5000&lt;=E149)*('Training Detail'!$P$5:$P$5000)))</f>
        <v/>
      </c>
      <c r="M149" s="16" t="str">
        <f aca="false">IF(OR(A149="",C149=""),"",SUMPRODUCT(('Training Detail'!$A$5:$A$5000=A149)*('Training Detail'!$M$5:$M$5000=Standards!A9)*('Training Detail'!$G$5:$G$5000&gt;=D149)*('Training Detail'!$G$5:$G$5000&lt;=E149)*('Training Detail'!$P$5:$P$5000)))</f>
        <v/>
      </c>
      <c r="N149" s="17" t="str">
        <f aca="false">IF(A149="","",IF(C149="","Set exp date",IF(AND(F149&gt;=Requirements!B5,G149&gt;=Requirements!B6,H149&gt;=Requirements!B7,I149&gt;=Requirements!B8,J149&gt;=Requirements!B9,K149&gt;=Requirements!B10,L149&gt;=Requirements!B11,M149&gt;=Requirements!B12),"Met","Short")))</f>
        <v>Set exp date</v>
      </c>
      <c r="O149" s="18" t="str">
        <f aca="false">IF(OR(A149="",C149=""),"",IF(N149="Met","",IF(F149&lt;Requirements!B5,Requirements!A5&amp;" "&amp;TEXT(Requirements!B5-F149,"0.##")&amp;"; ","")&amp;IF(G149&lt;Requirements!B6,Requirements!A6&amp;" "&amp;TEXT(Requirements!B6-G149,"0.##")&amp;"; ","")&amp;IF(H149&lt;Requirements!B7,Requirements!A7&amp;" "&amp;TEXT(Requirements!B7-H149,"0.##")&amp;"; ","")&amp;IF(I149&lt;Requirements!B8,Requirements!A8&amp;" "&amp;TEXT(Requirements!B8-I149,"0.##")&amp;"; ","")&amp;IF(J149&lt;Requirements!B9,Requirements!A9&amp;" "&amp;TEXT(Requirements!B9-J149,"0.##")&amp;"; ","")&amp;IF(K149&lt;Requirements!B10,Requirements!A10&amp;" "&amp;TEXT(Requirements!B10-K149,"0.##")&amp;"; ","")&amp;IF(L149&lt;Requirements!B11,Requirements!A11&amp;" "&amp;TEXT(Requirements!B11-L149,"0.##")&amp;"; ","")&amp;IF(M149&lt;Requirements!B12,Requirements!A12&amp;" "&amp;TEXT(Requirements!B12-M149,"0.##")&amp;"; ","")))</f>
        <v/>
      </c>
    </row>
    <row r="150" customFormat="false" ht="15" hidden="false" customHeight="true" outlineLevel="0" collapsed="false">
      <c r="A150" s="11" t="s">
        <v>281</v>
      </c>
      <c r="B150" s="12" t="s">
        <v>282</v>
      </c>
      <c r="C150" s="13" t="n">
        <v>46387</v>
      </c>
      <c r="D150" s="14" t="n">
        <f aca="false">IF(C150="","",DATE(YEAR(C150)-1,1,1))</f>
        <v>45658</v>
      </c>
      <c r="E150" s="14" t="n">
        <f aca="false">IF(C150="","",DATE(YEAR(C150),12,31))</f>
        <v>46387</v>
      </c>
      <c r="F150" s="15" t="n">
        <f aca="false">IF(OR(A150="",C150=""),"",SUMPRODUCT(('Training Detail'!$A$5:$A$5000=A150)*('Training Detail'!$M$5:$M$5000=Standards!A2)*('Training Detail'!$G$5:$G$5000&gt;=D150)*('Training Detail'!$G$5:$G$5000&lt;=E150)*('Training Detail'!$P$5:$P$5000)))</f>
        <v>3</v>
      </c>
      <c r="G150" s="15" t="n">
        <f aca="false">IF(OR(A150="",C150=""),"",SUMPRODUCT(('Training Detail'!$A$5:$A$5000=A150)*('Training Detail'!$M$5:$M$5000=Standards!A3)*('Training Detail'!$G$5:$G$5000&gt;=D150)*('Training Detail'!$G$5:$G$5000&lt;=E150)*('Training Detail'!$P$5:$P$5000)))</f>
        <v>6</v>
      </c>
      <c r="H150" s="15" t="n">
        <f aca="false">IF(OR(A150="",C150=""),"",SUMPRODUCT(('Training Detail'!$A$5:$A$5000=A150)*('Training Detail'!$M$5:$M$5000=Standards!A4)*('Training Detail'!$G$5:$G$5000&gt;=D150)*('Training Detail'!$G$5:$G$5000&lt;=E150)*('Training Detail'!$P$5:$P$5000)))</f>
        <v>9</v>
      </c>
      <c r="I150" s="15" t="n">
        <f aca="false">IF(OR(A150="",C150=""),"",SUMPRODUCT(('Training Detail'!$A$5:$A$5000=A150)*('Training Detail'!$M$5:$M$5000=Standards!A5)*('Training Detail'!$G$5:$G$5000&gt;=D150)*('Training Detail'!$G$5:$G$5000&lt;=E150)*('Training Detail'!$P$5:$P$5000)))</f>
        <v>12</v>
      </c>
      <c r="J150" s="15" t="n">
        <f aca="false">IF(OR(A150="",C150=""),"",SUMPRODUCT(('Training Detail'!$A$5:$A$5000=A150)*('Training Detail'!$M$5:$M$5000=Standards!A6)*('Training Detail'!$G$5:$G$5000&gt;=D150)*('Training Detail'!$G$5:$G$5000&lt;=E150)*('Training Detail'!$P$5:$P$5000)))</f>
        <v>3</v>
      </c>
      <c r="K150" s="15" t="n">
        <f aca="false">IF(OR(A150="",C150=""),"",SUMPRODUCT(('Training Detail'!$A$5:$A$5000=A150)*('Training Detail'!$M$5:$M$5000=Standards!A7)*('Training Detail'!$G$5:$G$5000&gt;=D150)*('Training Detail'!$G$5:$G$5000&lt;=E150)*('Training Detail'!$P$5:$P$5000)))</f>
        <v>1</v>
      </c>
      <c r="L150" s="15" t="n">
        <f aca="false">IF(OR(A150="",C150=""),"",SUMPRODUCT(('Training Detail'!$A$5:$A$5000=A150)*('Training Detail'!$M$5:$M$5000=Standards!A8)*('Training Detail'!$G$5:$G$5000&gt;=D150)*('Training Detail'!$G$5:$G$5000&lt;=E150)*('Training Detail'!$P$5:$P$5000)))</f>
        <v>1</v>
      </c>
      <c r="M150" s="16" t="n">
        <f aca="false">IF(OR(A150="",C150=""),"",SUMPRODUCT(('Training Detail'!$A$5:$A$5000=A150)*('Training Detail'!$M$5:$M$5000=Standards!A9)*('Training Detail'!$G$5:$G$5000&gt;=D150)*('Training Detail'!$G$5:$G$5000&lt;=E150)*('Training Detail'!$P$5:$P$5000)))</f>
        <v>1</v>
      </c>
      <c r="N150" s="17" t="str">
        <f aca="false">IF(A150="","",IF(C150="","Set exp date",IF(AND(F150&gt;=Requirements!B5,G150&gt;=Requirements!B6,H150&gt;=Requirements!B7,I150&gt;=Requirements!B8,J150&gt;=Requirements!B9,K150&gt;=Requirements!B10,L150&gt;=Requirements!B11,M150&gt;=Requirements!B12),"Met","Short")))</f>
        <v>Short</v>
      </c>
      <c r="O150" s="18" t="str">
        <f aca="false">IF(OR(A150="",C150=""),"",IF(N150="Met","",IF(F150&lt;Requirements!B5,Requirements!A5&amp;" "&amp;TEXT(Requirements!B5-F150,"0.##")&amp;"; ","")&amp;IF(G150&lt;Requirements!B6,Requirements!A6&amp;" "&amp;TEXT(Requirements!B6-G150,"0.##")&amp;"; ","")&amp;IF(H150&lt;Requirements!B7,Requirements!A7&amp;" "&amp;TEXT(Requirements!B7-H150,"0.##")&amp;"; ","")&amp;IF(I150&lt;Requirements!B8,Requirements!A8&amp;" "&amp;TEXT(Requirements!B8-I150,"0.##")&amp;"; ","")&amp;IF(J150&lt;Requirements!B9,Requirements!A9&amp;" "&amp;TEXT(Requirements!B9-J150,"0.##")&amp;"; ","")&amp;IF(K150&lt;Requirements!B10,Requirements!A10&amp;" "&amp;TEXT(Requirements!B10-K150,"0.##")&amp;"; ","")&amp;IF(L150&lt;Requirements!B11,Requirements!A11&amp;" "&amp;TEXT(Requirements!B11-L150,"0.##")&amp;"; ","")&amp;IF(M150&lt;Requirements!B12,Requirements!A12&amp;" "&amp;TEXT(Requirements!B12-M150,"0.##")&amp;"; ","")))</f>
        <v>Airway 1; </v>
      </c>
    </row>
    <row r="151" customFormat="false" ht="15" hidden="false" customHeight="true" outlineLevel="0" collapsed="false">
      <c r="A151" s="19" t="s">
        <v>283</v>
      </c>
      <c r="B151" s="20" t="s">
        <v>284</v>
      </c>
      <c r="C151" s="13" t="n">
        <v>46387</v>
      </c>
      <c r="D151" s="21" t="n">
        <f aca="false">IF(C151="","",DATE(YEAR(C151)-1,1,1))</f>
        <v>45658</v>
      </c>
      <c r="E151" s="21" t="n">
        <f aca="false">IF(C151="","",DATE(YEAR(C151),12,31))</f>
        <v>46387</v>
      </c>
      <c r="F151" s="15" t="n">
        <f aca="false">IF(OR(A151="",C151=""),"",SUMPRODUCT(('Training Detail'!$A$5:$A$5000=A151)*('Training Detail'!$M$5:$M$5000=Standards!A2)*('Training Detail'!$G$5:$G$5000&gt;=D151)*('Training Detail'!$G$5:$G$5000&lt;=E151)*('Training Detail'!$P$5:$P$5000)))</f>
        <v>1</v>
      </c>
      <c r="G151" s="15" t="n">
        <f aca="false">IF(OR(A151="",C151=""),"",SUMPRODUCT(('Training Detail'!$A$5:$A$5000=A151)*('Training Detail'!$M$5:$M$5000=Standards!A3)*('Training Detail'!$G$5:$G$5000&gt;=D151)*('Training Detail'!$G$5:$G$5000&lt;=E151)*('Training Detail'!$P$5:$P$5000)))</f>
        <v>2</v>
      </c>
      <c r="H151" s="15" t="n">
        <f aca="false">IF(OR(A151="",C151=""),"",SUMPRODUCT(('Training Detail'!$A$5:$A$5000=A151)*('Training Detail'!$M$5:$M$5000=Standards!A4)*('Training Detail'!$G$5:$G$5000&gt;=D151)*('Training Detail'!$G$5:$G$5000&lt;=E151)*('Training Detail'!$P$5:$P$5000)))</f>
        <v>10</v>
      </c>
      <c r="I151" s="15" t="n">
        <f aca="false">IF(OR(A151="",C151=""),"",SUMPRODUCT(('Training Detail'!$A$5:$A$5000=A151)*('Training Detail'!$M$5:$M$5000=Standards!A5)*('Training Detail'!$G$5:$G$5000&gt;=D151)*('Training Detail'!$G$5:$G$5000&lt;=E151)*('Training Detail'!$P$5:$P$5000)))</f>
        <v>8</v>
      </c>
      <c r="J151" s="15" t="n">
        <f aca="false">IF(OR(A151="",C151=""),"",SUMPRODUCT(('Training Detail'!$A$5:$A$5000=A151)*('Training Detail'!$M$5:$M$5000=Standards!A6)*('Training Detail'!$G$5:$G$5000&gt;=D151)*('Training Detail'!$G$5:$G$5000&lt;=E151)*('Training Detail'!$P$5:$P$5000)))</f>
        <v>0</v>
      </c>
      <c r="K151" s="15" t="n">
        <f aca="false">IF(OR(A151="",C151=""),"",SUMPRODUCT(('Training Detail'!$A$5:$A$5000=A151)*('Training Detail'!$M$5:$M$5000=Standards!A7)*('Training Detail'!$G$5:$G$5000&gt;=D151)*('Training Detail'!$G$5:$G$5000&lt;=E151)*('Training Detail'!$P$5:$P$5000)))</f>
        <v>1</v>
      </c>
      <c r="L151" s="15" t="n">
        <f aca="false">IF(OR(A151="",C151=""),"",SUMPRODUCT(('Training Detail'!$A$5:$A$5000=A151)*('Training Detail'!$M$5:$M$5000=Standards!A8)*('Training Detail'!$G$5:$G$5000&gt;=D151)*('Training Detail'!$G$5:$G$5000&lt;=E151)*('Training Detail'!$P$5:$P$5000)))</f>
        <v>1</v>
      </c>
      <c r="M151" s="16" t="n">
        <f aca="false">IF(OR(A151="",C151=""),"",SUMPRODUCT(('Training Detail'!$A$5:$A$5000=A151)*('Training Detail'!$M$5:$M$5000=Standards!A9)*('Training Detail'!$G$5:$G$5000&gt;=D151)*('Training Detail'!$G$5:$G$5000&lt;=E151)*('Training Detail'!$P$5:$P$5000)))</f>
        <v>0</v>
      </c>
      <c r="N151" s="17" t="str">
        <f aca="false">IF(A151="","",IF(C151="","Set exp date",IF(AND(F151&gt;=Requirements!B5,G151&gt;=Requirements!B6,H151&gt;=Requirements!B7,I151&gt;=Requirements!B8,J151&gt;=Requirements!B9,K151&gt;=Requirements!B10,L151&gt;=Requirements!B11,M151&gt;=Requirements!B12),"Met","Short")))</f>
        <v>Short</v>
      </c>
      <c r="O151" s="18" t="str">
        <f aca="false">IF(OR(A151="",C151=""),"",IF(N151="Met","",IF(F151&lt;Requirements!B5,Requirements!A5&amp;" "&amp;TEXT(Requirements!B5-F151,"0.##")&amp;"; ","")&amp;IF(G151&lt;Requirements!B6,Requirements!A6&amp;" "&amp;TEXT(Requirements!B6-G151,"0.##")&amp;"; ","")&amp;IF(H151&lt;Requirements!B7,Requirements!A7&amp;" "&amp;TEXT(Requirements!B7-H151,"0.##")&amp;"; ","")&amp;IF(I151&lt;Requirements!B8,Requirements!A8&amp;" "&amp;TEXT(Requirements!B8-I151,"0.##")&amp;"; ","")&amp;IF(J151&lt;Requirements!B9,Requirements!A9&amp;" "&amp;TEXT(Requirements!B9-J151,"0.##")&amp;"; ","")&amp;IF(K151&lt;Requirements!B10,Requirements!A10&amp;" "&amp;TEXT(Requirements!B10-K151,"0.##")&amp;"; ","")&amp;IF(L151&lt;Requirements!B11,Requirements!A11&amp;" "&amp;TEXT(Requirements!B11-L151,"0.##")&amp;"; ","")&amp;IF(M151&lt;Requirements!B12,Requirements!A12&amp;" "&amp;TEXT(Requirements!B12-M151,"0.##")&amp;"; ","")))</f>
        <v>Airway 3; Cardiovascular 3; Operations 2; CPR/AED 1; </v>
      </c>
    </row>
    <row r="152" customFormat="false" ht="15" hidden="false" customHeight="true" outlineLevel="0" collapsed="false">
      <c r="A152" s="11" t="s">
        <v>285</v>
      </c>
      <c r="B152" s="12"/>
      <c r="C152" s="13"/>
      <c r="D152" s="14" t="str">
        <f aca="false">IF(C152="","",DATE(YEAR(C152)-1,1,1))</f>
        <v/>
      </c>
      <c r="E152" s="14" t="str">
        <f aca="false">IF(C152="","",DATE(YEAR(C152),12,31))</f>
        <v/>
      </c>
      <c r="F152" s="15" t="str">
        <f aca="false">IF(OR(A152="",C152=""),"",SUMPRODUCT(('Training Detail'!$A$5:$A$5000=A152)*('Training Detail'!$M$5:$M$5000=Standards!A2)*('Training Detail'!$G$5:$G$5000&gt;=D152)*('Training Detail'!$G$5:$G$5000&lt;=E152)*('Training Detail'!$P$5:$P$5000)))</f>
        <v/>
      </c>
      <c r="G152" s="15" t="str">
        <f aca="false">IF(OR(A152="",C152=""),"",SUMPRODUCT(('Training Detail'!$A$5:$A$5000=A152)*('Training Detail'!$M$5:$M$5000=Standards!A3)*('Training Detail'!$G$5:$G$5000&gt;=D152)*('Training Detail'!$G$5:$G$5000&lt;=E152)*('Training Detail'!$P$5:$P$5000)))</f>
        <v/>
      </c>
      <c r="H152" s="15" t="str">
        <f aca="false">IF(OR(A152="",C152=""),"",SUMPRODUCT(('Training Detail'!$A$5:$A$5000=A152)*('Training Detail'!$M$5:$M$5000=Standards!A4)*('Training Detail'!$G$5:$G$5000&gt;=D152)*('Training Detail'!$G$5:$G$5000&lt;=E152)*('Training Detail'!$P$5:$P$5000)))</f>
        <v/>
      </c>
      <c r="I152" s="15" t="str">
        <f aca="false">IF(OR(A152="",C152=""),"",SUMPRODUCT(('Training Detail'!$A$5:$A$5000=A152)*('Training Detail'!$M$5:$M$5000=Standards!A5)*('Training Detail'!$G$5:$G$5000&gt;=D152)*('Training Detail'!$G$5:$G$5000&lt;=E152)*('Training Detail'!$P$5:$P$5000)))</f>
        <v/>
      </c>
      <c r="J152" s="15" t="str">
        <f aca="false">IF(OR(A152="",C152=""),"",SUMPRODUCT(('Training Detail'!$A$5:$A$5000=A152)*('Training Detail'!$M$5:$M$5000=Standards!A6)*('Training Detail'!$G$5:$G$5000&gt;=D152)*('Training Detail'!$G$5:$G$5000&lt;=E152)*('Training Detail'!$P$5:$P$5000)))</f>
        <v/>
      </c>
      <c r="K152" s="15" t="str">
        <f aca="false">IF(OR(A152="",C152=""),"",SUMPRODUCT(('Training Detail'!$A$5:$A$5000=A152)*('Training Detail'!$M$5:$M$5000=Standards!A7)*('Training Detail'!$G$5:$G$5000&gt;=D152)*('Training Detail'!$G$5:$G$5000&lt;=E152)*('Training Detail'!$P$5:$P$5000)))</f>
        <v/>
      </c>
      <c r="L152" s="15" t="str">
        <f aca="false">IF(OR(A152="",C152=""),"",SUMPRODUCT(('Training Detail'!$A$5:$A$5000=A152)*('Training Detail'!$M$5:$M$5000=Standards!A8)*('Training Detail'!$G$5:$G$5000&gt;=D152)*('Training Detail'!$G$5:$G$5000&lt;=E152)*('Training Detail'!$P$5:$P$5000)))</f>
        <v/>
      </c>
      <c r="M152" s="16" t="str">
        <f aca="false">IF(OR(A152="",C152=""),"",SUMPRODUCT(('Training Detail'!$A$5:$A$5000=A152)*('Training Detail'!$M$5:$M$5000=Standards!A9)*('Training Detail'!$G$5:$G$5000&gt;=D152)*('Training Detail'!$G$5:$G$5000&lt;=E152)*('Training Detail'!$P$5:$P$5000)))</f>
        <v/>
      </c>
      <c r="N152" s="17" t="str">
        <f aca="false">IF(A152="","",IF(C152="","Set exp date",IF(AND(F152&gt;=Requirements!B5,G152&gt;=Requirements!B6,H152&gt;=Requirements!B7,I152&gt;=Requirements!B8,J152&gt;=Requirements!B9,K152&gt;=Requirements!B10,L152&gt;=Requirements!B11,M152&gt;=Requirements!B12),"Met","Short")))</f>
        <v>Set exp date</v>
      </c>
      <c r="O152" s="18" t="str">
        <f aca="false">IF(OR(A152="",C152=""),"",IF(N152="Met","",IF(F152&lt;Requirements!B5,Requirements!A5&amp;" "&amp;TEXT(Requirements!B5-F152,"0.##")&amp;"; ","")&amp;IF(G152&lt;Requirements!B6,Requirements!A6&amp;" "&amp;TEXT(Requirements!B6-G152,"0.##")&amp;"; ","")&amp;IF(H152&lt;Requirements!B7,Requirements!A7&amp;" "&amp;TEXT(Requirements!B7-H152,"0.##")&amp;"; ","")&amp;IF(I152&lt;Requirements!B8,Requirements!A8&amp;" "&amp;TEXT(Requirements!B8-I152,"0.##")&amp;"; ","")&amp;IF(J152&lt;Requirements!B9,Requirements!A9&amp;" "&amp;TEXT(Requirements!B9-J152,"0.##")&amp;"; ","")&amp;IF(K152&lt;Requirements!B10,Requirements!A10&amp;" "&amp;TEXT(Requirements!B10-K152,"0.##")&amp;"; ","")&amp;IF(L152&lt;Requirements!B11,Requirements!A11&amp;" "&amp;TEXT(Requirements!B11-L152,"0.##")&amp;"; ","")&amp;IF(M152&lt;Requirements!B12,Requirements!A12&amp;" "&amp;TEXT(Requirements!B12-M152,"0.##")&amp;"; ","")))</f>
        <v/>
      </c>
    </row>
    <row r="153" customFormat="false" ht="15" hidden="false" customHeight="true" outlineLevel="0" collapsed="false">
      <c r="A153" s="19" t="s">
        <v>286</v>
      </c>
      <c r="B153" s="20" t="s">
        <v>287</v>
      </c>
      <c r="C153" s="13" t="n">
        <v>46752</v>
      </c>
      <c r="D153" s="21" t="n">
        <f aca="false">IF(C153="","",DATE(YEAR(C153)-1,1,1))</f>
        <v>46023</v>
      </c>
      <c r="E153" s="21" t="n">
        <f aca="false">IF(C153="","",DATE(YEAR(C153),12,31))</f>
        <v>46752</v>
      </c>
      <c r="F153" s="15" t="n">
        <f aca="false">IF(OR(A153="",C153=""),"",SUMPRODUCT(('Training Detail'!$A$5:$A$5000=A153)*('Training Detail'!$M$5:$M$5000=Standards!A2)*('Training Detail'!$G$5:$G$5000&gt;=D153)*('Training Detail'!$G$5:$G$5000&lt;=E153)*('Training Detail'!$P$5:$P$5000)))</f>
        <v>0</v>
      </c>
      <c r="G153" s="15" t="n">
        <f aca="false">IF(OR(A153="",C153=""),"",SUMPRODUCT(('Training Detail'!$A$5:$A$5000=A153)*('Training Detail'!$M$5:$M$5000=Standards!A3)*('Training Detail'!$G$5:$G$5000&gt;=D153)*('Training Detail'!$G$5:$G$5000&lt;=E153)*('Training Detail'!$P$5:$P$5000)))</f>
        <v>0</v>
      </c>
      <c r="H153" s="15" t="n">
        <f aca="false">IF(OR(A153="",C153=""),"",SUMPRODUCT(('Training Detail'!$A$5:$A$5000=A153)*('Training Detail'!$M$5:$M$5000=Standards!A4)*('Training Detail'!$G$5:$G$5000&gt;=D153)*('Training Detail'!$G$5:$G$5000&lt;=E153)*('Training Detail'!$P$5:$P$5000)))</f>
        <v>1</v>
      </c>
      <c r="I153" s="15" t="n">
        <f aca="false">IF(OR(A153="",C153=""),"",SUMPRODUCT(('Training Detail'!$A$5:$A$5000=A153)*('Training Detail'!$M$5:$M$5000=Standards!A5)*('Training Detail'!$G$5:$G$5000&gt;=D153)*('Training Detail'!$G$5:$G$5000&lt;=E153)*('Training Detail'!$P$5:$P$5000)))</f>
        <v>2</v>
      </c>
      <c r="J153" s="15" t="n">
        <f aca="false">IF(OR(A153="",C153=""),"",SUMPRODUCT(('Training Detail'!$A$5:$A$5000=A153)*('Training Detail'!$M$5:$M$5000=Standards!A6)*('Training Detail'!$G$5:$G$5000&gt;=D153)*('Training Detail'!$G$5:$G$5000&lt;=E153)*('Training Detail'!$P$5:$P$5000)))</f>
        <v>2</v>
      </c>
      <c r="K153" s="15" t="n">
        <f aca="false">IF(OR(A153="",C153=""),"",SUMPRODUCT(('Training Detail'!$A$5:$A$5000=A153)*('Training Detail'!$M$5:$M$5000=Standards!A7)*('Training Detail'!$G$5:$G$5000&gt;=D153)*('Training Detail'!$G$5:$G$5000&lt;=E153)*('Training Detail'!$P$5:$P$5000)))</f>
        <v>0</v>
      </c>
      <c r="L153" s="15" t="n">
        <f aca="false">IF(OR(A153="",C153=""),"",SUMPRODUCT(('Training Detail'!$A$5:$A$5000=A153)*('Training Detail'!$M$5:$M$5000=Standards!A8)*('Training Detail'!$G$5:$G$5000&gt;=D153)*('Training Detail'!$G$5:$G$5000&lt;=E153)*('Training Detail'!$P$5:$P$5000)))</f>
        <v>0</v>
      </c>
      <c r="M153" s="16" t="n">
        <f aca="false">IF(OR(A153="",C153=""),"",SUMPRODUCT(('Training Detail'!$A$5:$A$5000=A153)*('Training Detail'!$M$5:$M$5000=Standards!A9)*('Training Detail'!$G$5:$G$5000&gt;=D153)*('Training Detail'!$G$5:$G$5000&lt;=E153)*('Training Detail'!$P$5:$P$5000)))</f>
        <v>0</v>
      </c>
      <c r="N153" s="17" t="str">
        <f aca="false">IF(A153="","",IF(C153="","Set exp date",IF(AND(F153&gt;=Requirements!B5,G153&gt;=Requirements!B6,H153&gt;=Requirements!B7,I153&gt;=Requirements!B8,J153&gt;=Requirements!B9,K153&gt;=Requirements!B10,L153&gt;=Requirements!B11,M153&gt;=Requirements!B12),"Met","Short")))</f>
        <v>Short</v>
      </c>
      <c r="O153" s="18" t="str">
        <f aca="false">IF(OR(A153="",C153=""),"",IF(N153="Met","",IF(F153&lt;Requirements!B5,Requirements!A5&amp;" "&amp;TEXT(Requirements!B5-F153,"0.##")&amp;"; ","")&amp;IF(G153&lt;Requirements!B6,Requirements!A6&amp;" "&amp;TEXT(Requirements!B6-G153,"0.##")&amp;"; ","")&amp;IF(H153&lt;Requirements!B7,Requirements!A7&amp;" "&amp;TEXT(Requirements!B7-H153,"0.##")&amp;"; ","")&amp;IF(I153&lt;Requirements!B8,Requirements!A8&amp;" "&amp;TEXT(Requirements!B8-I153,"0.##")&amp;"; ","")&amp;IF(J153&lt;Requirements!B9,Requirements!A9&amp;" "&amp;TEXT(Requirements!B9-J153,"0.##")&amp;"; ","")&amp;IF(K153&lt;Requirements!B10,Requirements!A10&amp;" "&amp;TEXT(Requirements!B10-K153,"0.##")&amp;"; ","")&amp;IF(L153&lt;Requirements!B11,Requirements!A11&amp;" "&amp;TEXT(Requirements!B11-L153,"0.##")&amp;"; ","")&amp;IF(M153&lt;Requirements!B12,Requirements!A12&amp;" "&amp;TEXT(Requirements!B12-M153,"0.##")&amp;"; ","")))</f>
        <v>Airway 4; Cardiovascular 5; Trauma 2; Medical 4; PAHT 1; SVAT 1; CPR/AED 1; </v>
      </c>
    </row>
    <row r="154" customFormat="false" ht="15" hidden="false" customHeight="true" outlineLevel="0" collapsed="false">
      <c r="A154" s="11" t="s">
        <v>288</v>
      </c>
      <c r="B154" s="12" t="s">
        <v>289</v>
      </c>
      <c r="C154" s="13" t="n">
        <v>46752</v>
      </c>
      <c r="D154" s="14" t="n">
        <f aca="false">IF(C154="","",DATE(YEAR(C154)-1,1,1))</f>
        <v>46023</v>
      </c>
      <c r="E154" s="14" t="n">
        <f aca="false">IF(C154="","",DATE(YEAR(C154),12,31))</f>
        <v>46752</v>
      </c>
      <c r="F154" s="15" t="n">
        <f aca="false">IF(OR(A154="",C154=""),"",SUMPRODUCT(('Training Detail'!$A$5:$A$5000=A154)*('Training Detail'!$M$5:$M$5000=Standards!A2)*('Training Detail'!$G$5:$G$5000&gt;=D154)*('Training Detail'!$G$5:$G$5000&lt;=E154)*('Training Detail'!$P$5:$P$5000)))</f>
        <v>0</v>
      </c>
      <c r="G154" s="15" t="n">
        <f aca="false">IF(OR(A154="",C154=""),"",SUMPRODUCT(('Training Detail'!$A$5:$A$5000=A154)*('Training Detail'!$M$5:$M$5000=Standards!A3)*('Training Detail'!$G$5:$G$5000&gt;=D154)*('Training Detail'!$G$5:$G$5000&lt;=E154)*('Training Detail'!$P$5:$P$5000)))</f>
        <v>0</v>
      </c>
      <c r="H154" s="15" t="n">
        <f aca="false">IF(OR(A154="",C154=""),"",SUMPRODUCT(('Training Detail'!$A$5:$A$5000=A154)*('Training Detail'!$M$5:$M$5000=Standards!A4)*('Training Detail'!$G$5:$G$5000&gt;=D154)*('Training Detail'!$G$5:$G$5000&lt;=E154)*('Training Detail'!$P$5:$P$5000)))</f>
        <v>5</v>
      </c>
      <c r="I154" s="15" t="n">
        <f aca="false">IF(OR(A154="",C154=""),"",SUMPRODUCT(('Training Detail'!$A$5:$A$5000=A154)*('Training Detail'!$M$5:$M$5000=Standards!A5)*('Training Detail'!$G$5:$G$5000&gt;=D154)*('Training Detail'!$G$5:$G$5000&lt;=E154)*('Training Detail'!$P$5:$P$5000)))</f>
        <v>2</v>
      </c>
      <c r="J154" s="15" t="n">
        <f aca="false">IF(OR(A154="",C154=""),"",SUMPRODUCT(('Training Detail'!$A$5:$A$5000=A154)*('Training Detail'!$M$5:$M$5000=Standards!A6)*('Training Detail'!$G$5:$G$5000&gt;=D154)*('Training Detail'!$G$5:$G$5000&lt;=E154)*('Training Detail'!$P$5:$P$5000)))</f>
        <v>1</v>
      </c>
      <c r="K154" s="15" t="n">
        <f aca="false">IF(OR(A154="",C154=""),"",SUMPRODUCT(('Training Detail'!$A$5:$A$5000=A154)*('Training Detail'!$M$5:$M$5000=Standards!A7)*('Training Detail'!$G$5:$G$5000&gt;=D154)*('Training Detail'!$G$5:$G$5000&lt;=E154)*('Training Detail'!$P$5:$P$5000)))</f>
        <v>1</v>
      </c>
      <c r="L154" s="15" t="n">
        <f aca="false">IF(OR(A154="",C154=""),"",SUMPRODUCT(('Training Detail'!$A$5:$A$5000=A154)*('Training Detail'!$M$5:$M$5000=Standards!A8)*('Training Detail'!$G$5:$G$5000&gt;=D154)*('Training Detail'!$G$5:$G$5000&lt;=E154)*('Training Detail'!$P$5:$P$5000)))</f>
        <v>0</v>
      </c>
      <c r="M154" s="16" t="n">
        <f aca="false">IF(OR(A154="",C154=""),"",SUMPRODUCT(('Training Detail'!$A$5:$A$5000=A154)*('Training Detail'!$M$5:$M$5000=Standards!A9)*('Training Detail'!$G$5:$G$5000&gt;=D154)*('Training Detail'!$G$5:$G$5000&lt;=E154)*('Training Detail'!$P$5:$P$5000)))</f>
        <v>0</v>
      </c>
      <c r="N154" s="17" t="str">
        <f aca="false">IF(A154="","",IF(C154="","Set exp date",IF(AND(F154&gt;=Requirements!B5,G154&gt;=Requirements!B6,H154&gt;=Requirements!B7,I154&gt;=Requirements!B8,J154&gt;=Requirements!B9,K154&gt;=Requirements!B10,L154&gt;=Requirements!B11,M154&gt;=Requirements!B12),"Met","Short")))</f>
        <v>Short</v>
      </c>
      <c r="O154" s="18" t="str">
        <f aca="false">IF(OR(A154="",C154=""),"",IF(N154="Met","",IF(F154&lt;Requirements!B5,Requirements!A5&amp;" "&amp;TEXT(Requirements!B5-F154,"0.##")&amp;"; ","")&amp;IF(G154&lt;Requirements!B6,Requirements!A6&amp;" "&amp;TEXT(Requirements!B6-G154,"0.##")&amp;"; ","")&amp;IF(H154&lt;Requirements!B7,Requirements!A7&amp;" "&amp;TEXT(Requirements!B7-H154,"0.##")&amp;"; ","")&amp;IF(I154&lt;Requirements!B8,Requirements!A8&amp;" "&amp;TEXT(Requirements!B8-I154,"0.##")&amp;"; ","")&amp;IF(J154&lt;Requirements!B9,Requirements!A9&amp;" "&amp;TEXT(Requirements!B9-J154,"0.##")&amp;"; ","")&amp;IF(K154&lt;Requirements!B10,Requirements!A10&amp;" "&amp;TEXT(Requirements!B10-K154,"0.##")&amp;"; ","")&amp;IF(L154&lt;Requirements!B11,Requirements!A11&amp;" "&amp;TEXT(Requirements!B11-L154,"0.##")&amp;"; ","")&amp;IF(M154&lt;Requirements!B12,Requirements!A12&amp;" "&amp;TEXT(Requirements!B12-M154,"0.##")&amp;"; ","")))</f>
        <v>Airway 4; Cardiovascular 5; Medical 4; Operations 1; SVAT 1; CPR/AED 1; </v>
      </c>
    </row>
    <row r="155" customFormat="false" ht="15" hidden="false" customHeight="true" outlineLevel="0" collapsed="false">
      <c r="A155" s="19" t="s">
        <v>290</v>
      </c>
      <c r="B155" s="20" t="s">
        <v>291</v>
      </c>
      <c r="C155" s="13" t="n">
        <v>46387</v>
      </c>
      <c r="D155" s="21" t="n">
        <f aca="false">IF(C155="","",DATE(YEAR(C155)-1,1,1))</f>
        <v>45658</v>
      </c>
      <c r="E155" s="21" t="n">
        <f aca="false">IF(C155="","",DATE(YEAR(C155),12,31))</f>
        <v>46387</v>
      </c>
      <c r="F155" s="15" t="n">
        <f aca="false">IF(OR(A155="",C155=""),"",SUMPRODUCT(('Training Detail'!$A$5:$A$5000=A155)*('Training Detail'!$M$5:$M$5000=Standards!A2)*('Training Detail'!$G$5:$G$5000&gt;=D155)*('Training Detail'!$G$5:$G$5000&lt;=E155)*('Training Detail'!$P$5:$P$5000)))</f>
        <v>0</v>
      </c>
      <c r="G155" s="15" t="n">
        <f aca="false">IF(OR(A155="",C155=""),"",SUMPRODUCT(('Training Detail'!$A$5:$A$5000=A155)*('Training Detail'!$M$5:$M$5000=Standards!A3)*('Training Detail'!$G$5:$G$5000&gt;=D155)*('Training Detail'!$G$5:$G$5000&lt;=E155)*('Training Detail'!$P$5:$P$5000)))</f>
        <v>5.5</v>
      </c>
      <c r="H155" s="15" t="n">
        <f aca="false">IF(OR(A155="",C155=""),"",SUMPRODUCT(('Training Detail'!$A$5:$A$5000=A155)*('Training Detail'!$M$5:$M$5000=Standards!A4)*('Training Detail'!$G$5:$G$5000&gt;=D155)*('Training Detail'!$G$5:$G$5000&lt;=E155)*('Training Detail'!$P$5:$P$5000)))</f>
        <v>6</v>
      </c>
      <c r="I155" s="15" t="n">
        <f aca="false">IF(OR(A155="",C155=""),"",SUMPRODUCT(('Training Detail'!$A$5:$A$5000=A155)*('Training Detail'!$M$5:$M$5000=Standards!A5)*('Training Detail'!$G$5:$G$5000&gt;=D155)*('Training Detail'!$G$5:$G$5000&lt;=E155)*('Training Detail'!$P$5:$P$5000)))</f>
        <v>8</v>
      </c>
      <c r="J155" s="15" t="n">
        <f aca="false">IF(OR(A155="",C155=""),"",SUMPRODUCT(('Training Detail'!$A$5:$A$5000=A155)*('Training Detail'!$M$5:$M$5000=Standards!A6)*('Training Detail'!$G$5:$G$5000&gt;=D155)*('Training Detail'!$G$5:$G$5000&lt;=E155)*('Training Detail'!$P$5:$P$5000)))</f>
        <v>3</v>
      </c>
      <c r="K155" s="15" t="n">
        <f aca="false">IF(OR(A155="",C155=""),"",SUMPRODUCT(('Training Detail'!$A$5:$A$5000=A155)*('Training Detail'!$M$5:$M$5000=Standards!A7)*('Training Detail'!$G$5:$G$5000&gt;=D155)*('Training Detail'!$G$5:$G$5000&lt;=E155)*('Training Detail'!$P$5:$P$5000)))</f>
        <v>0</v>
      </c>
      <c r="L155" s="15" t="n">
        <f aca="false">IF(OR(A155="",C155=""),"",SUMPRODUCT(('Training Detail'!$A$5:$A$5000=A155)*('Training Detail'!$M$5:$M$5000=Standards!A8)*('Training Detail'!$G$5:$G$5000&gt;=D155)*('Training Detail'!$G$5:$G$5000&lt;=E155)*('Training Detail'!$P$5:$P$5000)))</f>
        <v>0</v>
      </c>
      <c r="M155" s="16" t="n">
        <f aca="false">IF(OR(A155="",C155=""),"",SUMPRODUCT(('Training Detail'!$A$5:$A$5000=A155)*('Training Detail'!$M$5:$M$5000=Standards!A9)*('Training Detail'!$G$5:$G$5000&gt;=D155)*('Training Detail'!$G$5:$G$5000&lt;=E155)*('Training Detail'!$P$5:$P$5000)))</f>
        <v>0</v>
      </c>
      <c r="N155" s="17" t="str">
        <f aca="false">IF(A155="","",IF(C155="","Set exp date",IF(AND(F155&gt;=Requirements!B5,G155&gt;=Requirements!B6,H155&gt;=Requirements!B7,I155&gt;=Requirements!B8,J155&gt;=Requirements!B9,K155&gt;=Requirements!B10,L155&gt;=Requirements!B11,M155&gt;=Requirements!B12),"Met","Short")))</f>
        <v>Short</v>
      </c>
      <c r="O155" s="18" t="str">
        <f aca="false">IF(OR(A155="",C155=""),"",IF(N155="Met","",IF(F155&lt;Requirements!B5,Requirements!A5&amp;" "&amp;TEXT(Requirements!B5-F155,"0.##")&amp;"; ","")&amp;IF(G155&lt;Requirements!B6,Requirements!A6&amp;" "&amp;TEXT(Requirements!B6-G155,"0.##")&amp;"; ","")&amp;IF(H155&lt;Requirements!B7,Requirements!A7&amp;" "&amp;TEXT(Requirements!B7-H155,"0.##")&amp;"; ","")&amp;IF(I155&lt;Requirements!B8,Requirements!A8&amp;" "&amp;TEXT(Requirements!B8-I155,"0.##")&amp;"; ","")&amp;IF(J155&lt;Requirements!B9,Requirements!A9&amp;" "&amp;TEXT(Requirements!B9-J155,"0.##")&amp;"; ","")&amp;IF(K155&lt;Requirements!B10,Requirements!A10&amp;" "&amp;TEXT(Requirements!B10-K155,"0.##")&amp;"; ","")&amp;IF(L155&lt;Requirements!B11,Requirements!A11&amp;" "&amp;TEXT(Requirements!B11-L155,"0.##")&amp;"; ","")&amp;IF(M155&lt;Requirements!B12,Requirements!A12&amp;" "&amp;TEXT(Requirements!B12-M155,"0.##")&amp;"; ","")))</f>
        <v>Airway 4; PAHT 1; SVAT 1; CPR/AED 1; </v>
      </c>
    </row>
    <row r="156" customFormat="false" ht="15" hidden="false" customHeight="true" outlineLevel="0" collapsed="false">
      <c r="A156" s="11" t="s">
        <v>292</v>
      </c>
      <c r="B156" s="12" t="s">
        <v>293</v>
      </c>
      <c r="C156" s="13" t="n">
        <v>46387</v>
      </c>
      <c r="D156" s="14" t="n">
        <f aca="false">IF(C156="","",DATE(YEAR(C156)-1,1,1))</f>
        <v>45658</v>
      </c>
      <c r="E156" s="14" t="n">
        <f aca="false">IF(C156="","",DATE(YEAR(C156),12,31))</f>
        <v>46387</v>
      </c>
      <c r="F156" s="15" t="n">
        <f aca="false">IF(OR(A156="",C156=""),"",SUMPRODUCT(('Training Detail'!$A$5:$A$5000=A156)*('Training Detail'!$M$5:$M$5000=Standards!A2)*('Training Detail'!$G$5:$G$5000&gt;=D156)*('Training Detail'!$G$5:$G$5000&lt;=E156)*('Training Detail'!$P$5:$P$5000)))</f>
        <v>0</v>
      </c>
      <c r="G156" s="15" t="n">
        <f aca="false">IF(OR(A156="",C156=""),"",SUMPRODUCT(('Training Detail'!$A$5:$A$5000=A156)*('Training Detail'!$M$5:$M$5000=Standards!A3)*('Training Detail'!$G$5:$G$5000&gt;=D156)*('Training Detail'!$G$5:$G$5000&lt;=E156)*('Training Detail'!$P$5:$P$5000)))</f>
        <v>5</v>
      </c>
      <c r="H156" s="15" t="n">
        <f aca="false">IF(OR(A156="",C156=""),"",SUMPRODUCT(('Training Detail'!$A$5:$A$5000=A156)*('Training Detail'!$M$5:$M$5000=Standards!A4)*('Training Detail'!$G$5:$G$5000&gt;=D156)*('Training Detail'!$G$5:$G$5000&lt;=E156)*('Training Detail'!$P$5:$P$5000)))</f>
        <v>4</v>
      </c>
      <c r="I156" s="15" t="n">
        <f aca="false">IF(OR(A156="",C156=""),"",SUMPRODUCT(('Training Detail'!$A$5:$A$5000=A156)*('Training Detail'!$M$5:$M$5000=Standards!A5)*('Training Detail'!$G$5:$G$5000&gt;=D156)*('Training Detail'!$G$5:$G$5000&lt;=E156)*('Training Detail'!$P$5:$P$5000)))</f>
        <v>0</v>
      </c>
      <c r="J156" s="15" t="n">
        <f aca="false">IF(OR(A156="",C156=""),"",SUMPRODUCT(('Training Detail'!$A$5:$A$5000=A156)*('Training Detail'!$M$5:$M$5000=Standards!A6)*('Training Detail'!$G$5:$G$5000&gt;=D156)*('Training Detail'!$G$5:$G$5000&lt;=E156)*('Training Detail'!$P$5:$P$5000)))</f>
        <v>0</v>
      </c>
      <c r="K156" s="15" t="n">
        <f aca="false">IF(OR(A156="",C156=""),"",SUMPRODUCT(('Training Detail'!$A$5:$A$5000=A156)*('Training Detail'!$M$5:$M$5000=Standards!A7)*('Training Detail'!$G$5:$G$5000&gt;=D156)*('Training Detail'!$G$5:$G$5000&lt;=E156)*('Training Detail'!$P$5:$P$5000)))</f>
        <v>0</v>
      </c>
      <c r="L156" s="15" t="n">
        <f aca="false">IF(OR(A156="",C156=""),"",SUMPRODUCT(('Training Detail'!$A$5:$A$5000=A156)*('Training Detail'!$M$5:$M$5000=Standards!A8)*('Training Detail'!$G$5:$G$5000&gt;=D156)*('Training Detail'!$G$5:$G$5000&lt;=E156)*('Training Detail'!$P$5:$P$5000)))</f>
        <v>0</v>
      </c>
      <c r="M156" s="16" t="n">
        <f aca="false">IF(OR(A156="",C156=""),"",SUMPRODUCT(('Training Detail'!$A$5:$A$5000=A156)*('Training Detail'!$M$5:$M$5000=Standards!A9)*('Training Detail'!$G$5:$G$5000&gt;=D156)*('Training Detail'!$G$5:$G$5000&lt;=E156)*('Training Detail'!$P$5:$P$5000)))</f>
        <v>0</v>
      </c>
      <c r="N156" s="17" t="str">
        <f aca="false">IF(A156="","",IF(C156="","Set exp date",IF(AND(F156&gt;=Requirements!B5,G156&gt;=Requirements!B6,H156&gt;=Requirements!B7,I156&gt;=Requirements!B8,J156&gt;=Requirements!B9,K156&gt;=Requirements!B10,L156&gt;=Requirements!B11,M156&gt;=Requirements!B12),"Met","Short")))</f>
        <v>Short</v>
      </c>
      <c r="O156" s="18" t="str">
        <f aca="false">IF(OR(A156="",C156=""),"",IF(N156="Met","",IF(F156&lt;Requirements!B5,Requirements!A5&amp;" "&amp;TEXT(Requirements!B5-F156,"0.##")&amp;"; ","")&amp;IF(G156&lt;Requirements!B6,Requirements!A6&amp;" "&amp;TEXT(Requirements!B6-G156,"0.##")&amp;"; ","")&amp;IF(H156&lt;Requirements!B7,Requirements!A7&amp;" "&amp;TEXT(Requirements!B7-H156,"0.##")&amp;"; ","")&amp;IF(I156&lt;Requirements!B8,Requirements!A8&amp;" "&amp;TEXT(Requirements!B8-I156,"0.##")&amp;"; ","")&amp;IF(J156&lt;Requirements!B9,Requirements!A9&amp;" "&amp;TEXT(Requirements!B9-J156,"0.##")&amp;"; ","")&amp;IF(K156&lt;Requirements!B10,Requirements!A10&amp;" "&amp;TEXT(Requirements!B10-K156,"0.##")&amp;"; ","")&amp;IF(L156&lt;Requirements!B11,Requirements!A11&amp;" "&amp;TEXT(Requirements!B11-L156,"0.##")&amp;"; ","")&amp;IF(M156&lt;Requirements!B12,Requirements!A12&amp;" "&amp;TEXT(Requirements!B12-M156,"0.##")&amp;"; ","")))</f>
        <v>Airway 4; Medical 6; Operations 2; PAHT 1; SVAT 1; CPR/AED 1; </v>
      </c>
    </row>
    <row r="157" customFormat="false" ht="15" hidden="false" customHeight="true" outlineLevel="0" collapsed="false">
      <c r="A157" s="19" t="s">
        <v>294</v>
      </c>
      <c r="B157" s="20" t="s">
        <v>295</v>
      </c>
      <c r="C157" s="13" t="n">
        <v>46752</v>
      </c>
      <c r="D157" s="21" t="n">
        <f aca="false">IF(C157="","",DATE(YEAR(C157)-1,1,1))</f>
        <v>46023</v>
      </c>
      <c r="E157" s="21" t="n">
        <f aca="false">IF(C157="","",DATE(YEAR(C157),12,31))</f>
        <v>46752</v>
      </c>
      <c r="F157" s="15" t="n">
        <f aca="false">IF(OR(A157="",C157=""),"",SUMPRODUCT(('Training Detail'!$A$5:$A$5000=A157)*('Training Detail'!$M$5:$M$5000=Standards!A2)*('Training Detail'!$G$5:$G$5000&gt;=D157)*('Training Detail'!$G$5:$G$5000&lt;=E157)*('Training Detail'!$P$5:$P$5000)))</f>
        <v>0</v>
      </c>
      <c r="G157" s="15" t="n">
        <f aca="false">IF(OR(A157="",C157=""),"",SUMPRODUCT(('Training Detail'!$A$5:$A$5000=A157)*('Training Detail'!$M$5:$M$5000=Standards!A3)*('Training Detail'!$G$5:$G$5000&gt;=D157)*('Training Detail'!$G$5:$G$5000&lt;=E157)*('Training Detail'!$P$5:$P$5000)))</f>
        <v>0</v>
      </c>
      <c r="H157" s="15" t="n">
        <f aca="false">IF(OR(A157="",C157=""),"",SUMPRODUCT(('Training Detail'!$A$5:$A$5000=A157)*('Training Detail'!$M$5:$M$5000=Standards!A4)*('Training Detail'!$G$5:$G$5000&gt;=D157)*('Training Detail'!$G$5:$G$5000&lt;=E157)*('Training Detail'!$P$5:$P$5000)))</f>
        <v>4</v>
      </c>
      <c r="I157" s="15" t="n">
        <f aca="false">IF(OR(A157="",C157=""),"",SUMPRODUCT(('Training Detail'!$A$5:$A$5000=A157)*('Training Detail'!$M$5:$M$5000=Standards!A5)*('Training Detail'!$G$5:$G$5000&gt;=D157)*('Training Detail'!$G$5:$G$5000&lt;=E157)*('Training Detail'!$P$5:$P$5000)))</f>
        <v>0.5</v>
      </c>
      <c r="J157" s="15" t="n">
        <f aca="false">IF(OR(A157="",C157=""),"",SUMPRODUCT(('Training Detail'!$A$5:$A$5000=A157)*('Training Detail'!$M$5:$M$5000=Standards!A6)*('Training Detail'!$G$5:$G$5000&gt;=D157)*('Training Detail'!$G$5:$G$5000&lt;=E157)*('Training Detail'!$P$5:$P$5000)))</f>
        <v>2</v>
      </c>
      <c r="K157" s="15" t="n">
        <f aca="false">IF(OR(A157="",C157=""),"",SUMPRODUCT(('Training Detail'!$A$5:$A$5000=A157)*('Training Detail'!$M$5:$M$5000=Standards!A7)*('Training Detail'!$G$5:$G$5000&gt;=D157)*('Training Detail'!$G$5:$G$5000&lt;=E157)*('Training Detail'!$P$5:$P$5000)))</f>
        <v>0</v>
      </c>
      <c r="L157" s="15" t="n">
        <f aca="false">IF(OR(A157="",C157=""),"",SUMPRODUCT(('Training Detail'!$A$5:$A$5000=A157)*('Training Detail'!$M$5:$M$5000=Standards!A8)*('Training Detail'!$G$5:$G$5000&gt;=D157)*('Training Detail'!$G$5:$G$5000&lt;=E157)*('Training Detail'!$P$5:$P$5000)))</f>
        <v>0</v>
      </c>
      <c r="M157" s="16" t="n">
        <f aca="false">IF(OR(A157="",C157=""),"",SUMPRODUCT(('Training Detail'!$A$5:$A$5000=A157)*('Training Detail'!$M$5:$M$5000=Standards!A9)*('Training Detail'!$G$5:$G$5000&gt;=D157)*('Training Detail'!$G$5:$G$5000&lt;=E157)*('Training Detail'!$P$5:$P$5000)))</f>
        <v>0</v>
      </c>
      <c r="N157" s="17" t="str">
        <f aca="false">IF(A157="","",IF(C157="","Set exp date",IF(AND(F157&gt;=Requirements!B5,G157&gt;=Requirements!B6,H157&gt;=Requirements!B7,I157&gt;=Requirements!B8,J157&gt;=Requirements!B9,K157&gt;=Requirements!B10,L157&gt;=Requirements!B11,M157&gt;=Requirements!B12),"Met","Short")))</f>
        <v>Short</v>
      </c>
      <c r="O157" s="18" t="str">
        <f aca="false">IF(OR(A157="",C157=""),"",IF(N157="Met","",IF(F157&lt;Requirements!B5,Requirements!A5&amp;" "&amp;TEXT(Requirements!B5-F157,"0.##")&amp;"; ","")&amp;IF(G157&lt;Requirements!B6,Requirements!A6&amp;" "&amp;TEXT(Requirements!B6-G157,"0.##")&amp;"; ","")&amp;IF(H157&lt;Requirements!B7,Requirements!A7&amp;" "&amp;TEXT(Requirements!B7-H157,"0.##")&amp;"; ","")&amp;IF(I157&lt;Requirements!B8,Requirements!A8&amp;" "&amp;TEXT(Requirements!B8-I157,"0.##")&amp;"; ","")&amp;IF(J157&lt;Requirements!B9,Requirements!A9&amp;" "&amp;TEXT(Requirements!B9-J157,"0.##")&amp;"; ","")&amp;IF(K157&lt;Requirements!B10,Requirements!A10&amp;" "&amp;TEXT(Requirements!B10-K157,"0.##")&amp;"; ","")&amp;IF(L157&lt;Requirements!B11,Requirements!A11&amp;" "&amp;TEXT(Requirements!B11-L157,"0.##")&amp;"; ","")&amp;IF(M157&lt;Requirements!B12,Requirements!A12&amp;" "&amp;TEXT(Requirements!B12-M157,"0.##")&amp;"; ","")))</f>
        <v>Airway 4; Cardiovascular 5; Medical 5.5; PAHT 1; SVAT 1; CPR/AED 1; </v>
      </c>
    </row>
    <row r="158" customFormat="false" ht="15" hidden="false" customHeight="true" outlineLevel="0" collapsed="false">
      <c r="A158" s="11" t="s">
        <v>296</v>
      </c>
      <c r="B158" s="12" t="s">
        <v>297</v>
      </c>
      <c r="C158" s="13" t="n">
        <v>46387</v>
      </c>
      <c r="D158" s="14" t="n">
        <f aca="false">IF(C158="","",DATE(YEAR(C158)-1,1,1))</f>
        <v>45658</v>
      </c>
      <c r="E158" s="14" t="n">
        <f aca="false">IF(C158="","",DATE(YEAR(C158),12,31))</f>
        <v>46387</v>
      </c>
      <c r="F158" s="15" t="n">
        <f aca="false">IF(OR(A158="",C158=""),"",SUMPRODUCT(('Training Detail'!$A$5:$A$5000=A158)*('Training Detail'!$M$5:$M$5000=Standards!A2)*('Training Detail'!$G$5:$G$5000&gt;=D158)*('Training Detail'!$G$5:$G$5000&lt;=E158)*('Training Detail'!$P$5:$P$5000)))</f>
        <v>2</v>
      </c>
      <c r="G158" s="15" t="n">
        <f aca="false">IF(OR(A158="",C158=""),"",SUMPRODUCT(('Training Detail'!$A$5:$A$5000=A158)*('Training Detail'!$M$5:$M$5000=Standards!A3)*('Training Detail'!$G$5:$G$5000&gt;=D158)*('Training Detail'!$G$5:$G$5000&lt;=E158)*('Training Detail'!$P$5:$P$5000)))</f>
        <v>6</v>
      </c>
      <c r="H158" s="15" t="n">
        <f aca="false">IF(OR(A158="",C158=""),"",SUMPRODUCT(('Training Detail'!$A$5:$A$5000=A158)*('Training Detail'!$M$5:$M$5000=Standards!A4)*('Training Detail'!$G$5:$G$5000&gt;=D158)*('Training Detail'!$G$5:$G$5000&lt;=E158)*('Training Detail'!$P$5:$P$5000)))</f>
        <v>6</v>
      </c>
      <c r="I158" s="15" t="n">
        <f aca="false">IF(OR(A158="",C158=""),"",SUMPRODUCT(('Training Detail'!$A$5:$A$5000=A158)*('Training Detail'!$M$5:$M$5000=Standards!A5)*('Training Detail'!$G$5:$G$5000&gt;=D158)*('Training Detail'!$G$5:$G$5000&lt;=E158)*('Training Detail'!$P$5:$P$5000)))</f>
        <v>1</v>
      </c>
      <c r="J158" s="15" t="n">
        <f aca="false">IF(OR(A158="",C158=""),"",SUMPRODUCT(('Training Detail'!$A$5:$A$5000=A158)*('Training Detail'!$M$5:$M$5000=Standards!A6)*('Training Detail'!$G$5:$G$5000&gt;=D158)*('Training Detail'!$G$5:$G$5000&lt;=E158)*('Training Detail'!$P$5:$P$5000)))</f>
        <v>0</v>
      </c>
      <c r="K158" s="15" t="n">
        <f aca="false">IF(OR(A158="",C158=""),"",SUMPRODUCT(('Training Detail'!$A$5:$A$5000=A158)*('Training Detail'!$M$5:$M$5000=Standards!A7)*('Training Detail'!$G$5:$G$5000&gt;=D158)*('Training Detail'!$G$5:$G$5000&lt;=E158)*('Training Detail'!$P$5:$P$5000)))</f>
        <v>0</v>
      </c>
      <c r="L158" s="15" t="n">
        <f aca="false">IF(OR(A158="",C158=""),"",SUMPRODUCT(('Training Detail'!$A$5:$A$5000=A158)*('Training Detail'!$M$5:$M$5000=Standards!A8)*('Training Detail'!$G$5:$G$5000&gt;=D158)*('Training Detail'!$G$5:$G$5000&lt;=E158)*('Training Detail'!$P$5:$P$5000)))</f>
        <v>0</v>
      </c>
      <c r="M158" s="16" t="n">
        <f aca="false">IF(OR(A158="",C158=""),"",SUMPRODUCT(('Training Detail'!$A$5:$A$5000=A158)*('Training Detail'!$M$5:$M$5000=Standards!A9)*('Training Detail'!$G$5:$G$5000&gt;=D158)*('Training Detail'!$G$5:$G$5000&lt;=E158)*('Training Detail'!$P$5:$P$5000)))</f>
        <v>0</v>
      </c>
      <c r="N158" s="17" t="str">
        <f aca="false">IF(A158="","",IF(C158="","Set exp date",IF(AND(F158&gt;=Requirements!B5,G158&gt;=Requirements!B6,H158&gt;=Requirements!B7,I158&gt;=Requirements!B8,J158&gt;=Requirements!B9,K158&gt;=Requirements!B10,L158&gt;=Requirements!B11,M158&gt;=Requirements!B12),"Met","Short")))</f>
        <v>Short</v>
      </c>
      <c r="O158" s="18" t="str">
        <f aca="false">IF(OR(A158="",C158=""),"",IF(N158="Met","",IF(F158&lt;Requirements!B5,Requirements!A5&amp;" "&amp;TEXT(Requirements!B5-F158,"0.##")&amp;"; ","")&amp;IF(G158&lt;Requirements!B6,Requirements!A6&amp;" "&amp;TEXT(Requirements!B6-G158,"0.##")&amp;"; ","")&amp;IF(H158&lt;Requirements!B7,Requirements!A7&amp;" "&amp;TEXT(Requirements!B7-H158,"0.##")&amp;"; ","")&amp;IF(I158&lt;Requirements!B8,Requirements!A8&amp;" "&amp;TEXT(Requirements!B8-I158,"0.##")&amp;"; ","")&amp;IF(J158&lt;Requirements!B9,Requirements!A9&amp;" "&amp;TEXT(Requirements!B9-J158,"0.##")&amp;"; ","")&amp;IF(K158&lt;Requirements!B10,Requirements!A10&amp;" "&amp;TEXT(Requirements!B10-K158,"0.##")&amp;"; ","")&amp;IF(L158&lt;Requirements!B11,Requirements!A11&amp;" "&amp;TEXT(Requirements!B11-L158,"0.##")&amp;"; ","")&amp;IF(M158&lt;Requirements!B12,Requirements!A12&amp;" "&amp;TEXT(Requirements!B12-M158,"0.##")&amp;"; ","")))</f>
        <v>Airway 2; Medical 5; Operations 2; PAHT 1; SVAT 1; CPR/AED 1; </v>
      </c>
    </row>
    <row r="159" customFormat="false" ht="15" hidden="false" customHeight="true" outlineLevel="0" collapsed="false">
      <c r="A159" s="19" t="s">
        <v>298</v>
      </c>
      <c r="B159" s="20"/>
      <c r="C159" s="13"/>
      <c r="D159" s="21" t="str">
        <f aca="false">IF(C159="","",DATE(YEAR(C159)-1,1,1))</f>
        <v/>
      </c>
      <c r="E159" s="21" t="str">
        <f aca="false">IF(C159="","",DATE(YEAR(C159),12,31))</f>
        <v/>
      </c>
      <c r="F159" s="15" t="str">
        <f aca="false">IF(OR(A159="",C159=""),"",SUMPRODUCT(('Training Detail'!$A$5:$A$5000=A159)*('Training Detail'!$M$5:$M$5000=Standards!A2)*('Training Detail'!$G$5:$G$5000&gt;=D159)*('Training Detail'!$G$5:$G$5000&lt;=E159)*('Training Detail'!$P$5:$P$5000)))</f>
        <v/>
      </c>
      <c r="G159" s="15" t="str">
        <f aca="false">IF(OR(A159="",C159=""),"",SUMPRODUCT(('Training Detail'!$A$5:$A$5000=A159)*('Training Detail'!$M$5:$M$5000=Standards!A3)*('Training Detail'!$G$5:$G$5000&gt;=D159)*('Training Detail'!$G$5:$G$5000&lt;=E159)*('Training Detail'!$P$5:$P$5000)))</f>
        <v/>
      </c>
      <c r="H159" s="15" t="str">
        <f aca="false">IF(OR(A159="",C159=""),"",SUMPRODUCT(('Training Detail'!$A$5:$A$5000=A159)*('Training Detail'!$M$5:$M$5000=Standards!A4)*('Training Detail'!$G$5:$G$5000&gt;=D159)*('Training Detail'!$G$5:$G$5000&lt;=E159)*('Training Detail'!$P$5:$P$5000)))</f>
        <v/>
      </c>
      <c r="I159" s="15" t="str">
        <f aca="false">IF(OR(A159="",C159=""),"",SUMPRODUCT(('Training Detail'!$A$5:$A$5000=A159)*('Training Detail'!$M$5:$M$5000=Standards!A5)*('Training Detail'!$G$5:$G$5000&gt;=D159)*('Training Detail'!$G$5:$G$5000&lt;=E159)*('Training Detail'!$P$5:$P$5000)))</f>
        <v/>
      </c>
      <c r="J159" s="15" t="str">
        <f aca="false">IF(OR(A159="",C159=""),"",SUMPRODUCT(('Training Detail'!$A$5:$A$5000=A159)*('Training Detail'!$M$5:$M$5000=Standards!A6)*('Training Detail'!$G$5:$G$5000&gt;=D159)*('Training Detail'!$G$5:$G$5000&lt;=E159)*('Training Detail'!$P$5:$P$5000)))</f>
        <v/>
      </c>
      <c r="K159" s="15" t="str">
        <f aca="false">IF(OR(A159="",C159=""),"",SUMPRODUCT(('Training Detail'!$A$5:$A$5000=A159)*('Training Detail'!$M$5:$M$5000=Standards!A7)*('Training Detail'!$G$5:$G$5000&gt;=D159)*('Training Detail'!$G$5:$G$5000&lt;=E159)*('Training Detail'!$P$5:$P$5000)))</f>
        <v/>
      </c>
      <c r="L159" s="15" t="str">
        <f aca="false">IF(OR(A159="",C159=""),"",SUMPRODUCT(('Training Detail'!$A$5:$A$5000=A159)*('Training Detail'!$M$5:$M$5000=Standards!A8)*('Training Detail'!$G$5:$G$5000&gt;=D159)*('Training Detail'!$G$5:$G$5000&lt;=E159)*('Training Detail'!$P$5:$P$5000)))</f>
        <v/>
      </c>
      <c r="M159" s="16" t="str">
        <f aca="false">IF(OR(A159="",C159=""),"",SUMPRODUCT(('Training Detail'!$A$5:$A$5000=A159)*('Training Detail'!$M$5:$M$5000=Standards!A9)*('Training Detail'!$G$5:$G$5000&gt;=D159)*('Training Detail'!$G$5:$G$5000&lt;=E159)*('Training Detail'!$P$5:$P$5000)))</f>
        <v/>
      </c>
      <c r="N159" s="17" t="str">
        <f aca="false">IF(A159="","",IF(C159="","Set exp date",IF(AND(F159&gt;=Requirements!B5,G159&gt;=Requirements!B6,H159&gt;=Requirements!B7,I159&gt;=Requirements!B8,J159&gt;=Requirements!B9,K159&gt;=Requirements!B10,L159&gt;=Requirements!B11,M159&gt;=Requirements!B12),"Met","Short")))</f>
        <v>Set exp date</v>
      </c>
      <c r="O159" s="18" t="str">
        <f aca="false">IF(OR(A159="",C159=""),"",IF(N159="Met","",IF(F159&lt;Requirements!B5,Requirements!A5&amp;" "&amp;TEXT(Requirements!B5-F159,"0.##")&amp;"; ","")&amp;IF(G159&lt;Requirements!B6,Requirements!A6&amp;" "&amp;TEXT(Requirements!B6-G159,"0.##")&amp;"; ","")&amp;IF(H159&lt;Requirements!B7,Requirements!A7&amp;" "&amp;TEXT(Requirements!B7-H159,"0.##")&amp;"; ","")&amp;IF(I159&lt;Requirements!B8,Requirements!A8&amp;" "&amp;TEXT(Requirements!B8-I159,"0.##")&amp;"; ","")&amp;IF(J159&lt;Requirements!B9,Requirements!A9&amp;" "&amp;TEXT(Requirements!B9-J159,"0.##")&amp;"; ","")&amp;IF(K159&lt;Requirements!B10,Requirements!A10&amp;" "&amp;TEXT(Requirements!B10-K159,"0.##")&amp;"; ","")&amp;IF(L159&lt;Requirements!B11,Requirements!A11&amp;" "&amp;TEXT(Requirements!B11-L159,"0.##")&amp;"; ","")&amp;IF(M159&lt;Requirements!B12,Requirements!A12&amp;" "&amp;TEXT(Requirements!B12-M159,"0.##")&amp;"; ","")))</f>
        <v/>
      </c>
    </row>
    <row r="160" customFormat="false" ht="15" hidden="false" customHeight="true" outlineLevel="0" collapsed="false">
      <c r="A160" s="11" t="s">
        <v>299</v>
      </c>
      <c r="B160" s="12" t="s">
        <v>300</v>
      </c>
      <c r="C160" s="13" t="n">
        <v>46752</v>
      </c>
      <c r="D160" s="14" t="n">
        <f aca="false">IF(C160="","",DATE(YEAR(C160)-1,1,1))</f>
        <v>46023</v>
      </c>
      <c r="E160" s="14" t="n">
        <f aca="false">IF(C160="","",DATE(YEAR(C160),12,31))</f>
        <v>46752</v>
      </c>
      <c r="F160" s="15" t="n">
        <f aca="false">IF(OR(A160="",C160=""),"",SUMPRODUCT(('Training Detail'!$A$5:$A$5000=A160)*('Training Detail'!$M$5:$M$5000=Standards!A2)*('Training Detail'!$G$5:$G$5000&gt;=D160)*('Training Detail'!$G$5:$G$5000&lt;=E160)*('Training Detail'!$P$5:$P$5000)))</f>
        <v>0</v>
      </c>
      <c r="G160" s="15" t="n">
        <f aca="false">IF(OR(A160="",C160=""),"",SUMPRODUCT(('Training Detail'!$A$5:$A$5000=A160)*('Training Detail'!$M$5:$M$5000=Standards!A3)*('Training Detail'!$G$5:$G$5000&gt;=D160)*('Training Detail'!$G$5:$G$5000&lt;=E160)*('Training Detail'!$P$5:$P$5000)))</f>
        <v>0</v>
      </c>
      <c r="H160" s="15" t="n">
        <f aca="false">IF(OR(A160="",C160=""),"",SUMPRODUCT(('Training Detail'!$A$5:$A$5000=A160)*('Training Detail'!$M$5:$M$5000=Standards!A4)*('Training Detail'!$G$5:$G$5000&gt;=D160)*('Training Detail'!$G$5:$G$5000&lt;=E160)*('Training Detail'!$P$5:$P$5000)))</f>
        <v>3</v>
      </c>
      <c r="I160" s="15" t="n">
        <f aca="false">IF(OR(A160="",C160=""),"",SUMPRODUCT(('Training Detail'!$A$5:$A$5000=A160)*('Training Detail'!$M$5:$M$5000=Standards!A5)*('Training Detail'!$G$5:$G$5000&gt;=D160)*('Training Detail'!$G$5:$G$5000&lt;=E160)*('Training Detail'!$P$5:$P$5000)))</f>
        <v>0</v>
      </c>
      <c r="J160" s="15" t="n">
        <f aca="false">IF(OR(A160="",C160=""),"",SUMPRODUCT(('Training Detail'!$A$5:$A$5000=A160)*('Training Detail'!$M$5:$M$5000=Standards!A6)*('Training Detail'!$G$5:$G$5000&gt;=D160)*('Training Detail'!$G$5:$G$5000&lt;=E160)*('Training Detail'!$P$5:$P$5000)))</f>
        <v>1</v>
      </c>
      <c r="K160" s="15" t="n">
        <f aca="false">IF(OR(A160="",C160=""),"",SUMPRODUCT(('Training Detail'!$A$5:$A$5000=A160)*('Training Detail'!$M$5:$M$5000=Standards!A7)*('Training Detail'!$G$5:$G$5000&gt;=D160)*('Training Detail'!$G$5:$G$5000&lt;=E160)*('Training Detail'!$P$5:$P$5000)))</f>
        <v>1</v>
      </c>
      <c r="L160" s="15" t="n">
        <f aca="false">IF(OR(A160="",C160=""),"",SUMPRODUCT(('Training Detail'!$A$5:$A$5000=A160)*('Training Detail'!$M$5:$M$5000=Standards!A8)*('Training Detail'!$G$5:$G$5000&gt;=D160)*('Training Detail'!$G$5:$G$5000&lt;=E160)*('Training Detail'!$P$5:$P$5000)))</f>
        <v>1</v>
      </c>
      <c r="M160" s="16" t="n">
        <f aca="false">IF(OR(A160="",C160=""),"",SUMPRODUCT(('Training Detail'!$A$5:$A$5000=A160)*('Training Detail'!$M$5:$M$5000=Standards!A9)*('Training Detail'!$G$5:$G$5000&gt;=D160)*('Training Detail'!$G$5:$G$5000&lt;=E160)*('Training Detail'!$P$5:$P$5000)))</f>
        <v>0</v>
      </c>
      <c r="N160" s="17" t="str">
        <f aca="false">IF(A160="","",IF(C160="","Set exp date",IF(AND(F160&gt;=Requirements!B5,G160&gt;=Requirements!B6,H160&gt;=Requirements!B7,I160&gt;=Requirements!B8,J160&gt;=Requirements!B9,K160&gt;=Requirements!B10,L160&gt;=Requirements!B11,M160&gt;=Requirements!B12),"Met","Short")))</f>
        <v>Short</v>
      </c>
      <c r="O160" s="18" t="str">
        <f aca="false">IF(OR(A160="",C160=""),"",IF(N160="Met","",IF(F160&lt;Requirements!B5,Requirements!A5&amp;" "&amp;TEXT(Requirements!B5-F160,"0.##")&amp;"; ","")&amp;IF(G160&lt;Requirements!B6,Requirements!A6&amp;" "&amp;TEXT(Requirements!B6-G160,"0.##")&amp;"; ","")&amp;IF(H160&lt;Requirements!B7,Requirements!A7&amp;" "&amp;TEXT(Requirements!B7-H160,"0.##")&amp;"; ","")&amp;IF(I160&lt;Requirements!B8,Requirements!A8&amp;" "&amp;TEXT(Requirements!B8-I160,"0.##")&amp;"; ","")&amp;IF(J160&lt;Requirements!B9,Requirements!A9&amp;" "&amp;TEXT(Requirements!B9-J160,"0.##")&amp;"; ","")&amp;IF(K160&lt;Requirements!B10,Requirements!A10&amp;" "&amp;TEXT(Requirements!B10-K160,"0.##")&amp;"; ","")&amp;IF(L160&lt;Requirements!B11,Requirements!A11&amp;" "&amp;TEXT(Requirements!B11-L160,"0.##")&amp;"; ","")&amp;IF(M160&lt;Requirements!B12,Requirements!A12&amp;" "&amp;TEXT(Requirements!B12-M160,"0.##")&amp;"; ","")))</f>
        <v>Airway 4; Cardiovascular 5; Medical 6; Operations 1; CPR/AED 1; </v>
      </c>
    </row>
    <row r="161" customFormat="false" ht="15" hidden="false" customHeight="true" outlineLevel="0" collapsed="false">
      <c r="A161" s="19" t="s">
        <v>301</v>
      </c>
      <c r="B161" s="20" t="s">
        <v>302</v>
      </c>
      <c r="C161" s="13" t="n">
        <v>46752</v>
      </c>
      <c r="D161" s="21" t="n">
        <f aca="false">IF(C161="","",DATE(YEAR(C161)-1,1,1))</f>
        <v>46023</v>
      </c>
      <c r="E161" s="21" t="n">
        <f aca="false">IF(C161="","",DATE(YEAR(C161),12,31))</f>
        <v>46752</v>
      </c>
      <c r="F161" s="15" t="n">
        <f aca="false">IF(OR(A161="",C161=""),"",SUMPRODUCT(('Training Detail'!$A$5:$A$5000=A161)*('Training Detail'!$M$5:$M$5000=Standards!A2)*('Training Detail'!$G$5:$G$5000&gt;=D161)*('Training Detail'!$G$5:$G$5000&lt;=E161)*('Training Detail'!$P$5:$P$5000)))</f>
        <v>0</v>
      </c>
      <c r="G161" s="15" t="n">
        <f aca="false">IF(OR(A161="",C161=""),"",SUMPRODUCT(('Training Detail'!$A$5:$A$5000=A161)*('Training Detail'!$M$5:$M$5000=Standards!A3)*('Training Detail'!$G$5:$G$5000&gt;=D161)*('Training Detail'!$G$5:$G$5000&lt;=E161)*('Training Detail'!$P$5:$P$5000)))</f>
        <v>0</v>
      </c>
      <c r="H161" s="15" t="n">
        <f aca="false">IF(OR(A161="",C161=""),"",SUMPRODUCT(('Training Detail'!$A$5:$A$5000=A161)*('Training Detail'!$M$5:$M$5000=Standards!A4)*('Training Detail'!$G$5:$G$5000&gt;=D161)*('Training Detail'!$G$5:$G$5000&lt;=E161)*('Training Detail'!$P$5:$P$5000)))</f>
        <v>0</v>
      </c>
      <c r="I161" s="15" t="n">
        <f aca="false">IF(OR(A161="",C161=""),"",SUMPRODUCT(('Training Detail'!$A$5:$A$5000=A161)*('Training Detail'!$M$5:$M$5000=Standards!A5)*('Training Detail'!$G$5:$G$5000&gt;=D161)*('Training Detail'!$G$5:$G$5000&lt;=E161)*('Training Detail'!$P$5:$P$5000)))</f>
        <v>1</v>
      </c>
      <c r="J161" s="15" t="n">
        <f aca="false">IF(OR(A161="",C161=""),"",SUMPRODUCT(('Training Detail'!$A$5:$A$5000=A161)*('Training Detail'!$M$5:$M$5000=Standards!A6)*('Training Detail'!$G$5:$G$5000&gt;=D161)*('Training Detail'!$G$5:$G$5000&lt;=E161)*('Training Detail'!$P$5:$P$5000)))</f>
        <v>1</v>
      </c>
      <c r="K161" s="15" t="n">
        <f aca="false">IF(OR(A161="",C161=""),"",SUMPRODUCT(('Training Detail'!$A$5:$A$5000=A161)*('Training Detail'!$M$5:$M$5000=Standards!A7)*('Training Detail'!$G$5:$G$5000&gt;=D161)*('Training Detail'!$G$5:$G$5000&lt;=E161)*('Training Detail'!$P$5:$P$5000)))</f>
        <v>0</v>
      </c>
      <c r="L161" s="15" t="n">
        <f aca="false">IF(OR(A161="",C161=""),"",SUMPRODUCT(('Training Detail'!$A$5:$A$5000=A161)*('Training Detail'!$M$5:$M$5000=Standards!A8)*('Training Detail'!$G$5:$G$5000&gt;=D161)*('Training Detail'!$G$5:$G$5000&lt;=E161)*('Training Detail'!$P$5:$P$5000)))</f>
        <v>0</v>
      </c>
      <c r="M161" s="16" t="n">
        <f aca="false">IF(OR(A161="",C161=""),"",SUMPRODUCT(('Training Detail'!$A$5:$A$5000=A161)*('Training Detail'!$M$5:$M$5000=Standards!A9)*('Training Detail'!$G$5:$G$5000&gt;=D161)*('Training Detail'!$G$5:$G$5000&lt;=E161)*('Training Detail'!$P$5:$P$5000)))</f>
        <v>0</v>
      </c>
      <c r="N161" s="17" t="str">
        <f aca="false">IF(A161="","",IF(C161="","Set exp date",IF(AND(F161&gt;=Requirements!B5,G161&gt;=Requirements!B6,H161&gt;=Requirements!B7,I161&gt;=Requirements!B8,J161&gt;=Requirements!B9,K161&gt;=Requirements!B10,L161&gt;=Requirements!B11,M161&gt;=Requirements!B12),"Met","Short")))</f>
        <v>Short</v>
      </c>
      <c r="O161" s="18" t="str">
        <f aca="false">IF(OR(A161="",C161=""),"",IF(N161="Met","",IF(F161&lt;Requirements!B5,Requirements!A5&amp;" "&amp;TEXT(Requirements!B5-F161,"0.##")&amp;"; ","")&amp;IF(G161&lt;Requirements!B6,Requirements!A6&amp;" "&amp;TEXT(Requirements!B6-G161,"0.##")&amp;"; ","")&amp;IF(H161&lt;Requirements!B7,Requirements!A7&amp;" "&amp;TEXT(Requirements!B7-H161,"0.##")&amp;"; ","")&amp;IF(I161&lt;Requirements!B8,Requirements!A8&amp;" "&amp;TEXT(Requirements!B8-I161,"0.##")&amp;"; ","")&amp;IF(J161&lt;Requirements!B9,Requirements!A9&amp;" "&amp;TEXT(Requirements!B9-J161,"0.##")&amp;"; ","")&amp;IF(K161&lt;Requirements!B10,Requirements!A10&amp;" "&amp;TEXT(Requirements!B10-K161,"0.##")&amp;"; ","")&amp;IF(L161&lt;Requirements!B11,Requirements!A11&amp;" "&amp;TEXT(Requirements!B11-L161,"0.##")&amp;"; ","")&amp;IF(M161&lt;Requirements!B12,Requirements!A12&amp;" "&amp;TEXT(Requirements!B12-M161,"0.##")&amp;"; ","")))</f>
        <v>Airway 4; Cardiovascular 5; Trauma 3; Medical 5; Operations 1; PAHT 1; SVAT 1; CPR/AED 1; </v>
      </c>
    </row>
    <row r="162" customFormat="false" ht="15" hidden="false" customHeight="true" outlineLevel="0" collapsed="false">
      <c r="A162" s="11" t="s">
        <v>303</v>
      </c>
      <c r="B162" s="12"/>
      <c r="C162" s="13"/>
      <c r="D162" s="14" t="str">
        <f aca="false">IF(C162="","",DATE(YEAR(C162)-1,1,1))</f>
        <v/>
      </c>
      <c r="E162" s="14" t="str">
        <f aca="false">IF(C162="","",DATE(YEAR(C162),12,31))</f>
        <v/>
      </c>
      <c r="F162" s="15" t="str">
        <f aca="false">IF(OR(A162="",C162=""),"",SUMPRODUCT(('Training Detail'!$A$5:$A$5000=A162)*('Training Detail'!$M$5:$M$5000=Standards!A2)*('Training Detail'!$G$5:$G$5000&gt;=D162)*('Training Detail'!$G$5:$G$5000&lt;=E162)*('Training Detail'!$P$5:$P$5000)))</f>
        <v/>
      </c>
      <c r="G162" s="15" t="str">
        <f aca="false">IF(OR(A162="",C162=""),"",SUMPRODUCT(('Training Detail'!$A$5:$A$5000=A162)*('Training Detail'!$M$5:$M$5000=Standards!A3)*('Training Detail'!$G$5:$G$5000&gt;=D162)*('Training Detail'!$G$5:$G$5000&lt;=E162)*('Training Detail'!$P$5:$P$5000)))</f>
        <v/>
      </c>
      <c r="H162" s="15" t="str">
        <f aca="false">IF(OR(A162="",C162=""),"",SUMPRODUCT(('Training Detail'!$A$5:$A$5000=A162)*('Training Detail'!$M$5:$M$5000=Standards!A4)*('Training Detail'!$G$5:$G$5000&gt;=D162)*('Training Detail'!$G$5:$G$5000&lt;=E162)*('Training Detail'!$P$5:$P$5000)))</f>
        <v/>
      </c>
      <c r="I162" s="15" t="str">
        <f aca="false">IF(OR(A162="",C162=""),"",SUMPRODUCT(('Training Detail'!$A$5:$A$5000=A162)*('Training Detail'!$M$5:$M$5000=Standards!A5)*('Training Detail'!$G$5:$G$5000&gt;=D162)*('Training Detail'!$G$5:$G$5000&lt;=E162)*('Training Detail'!$P$5:$P$5000)))</f>
        <v/>
      </c>
      <c r="J162" s="15" t="str">
        <f aca="false">IF(OR(A162="",C162=""),"",SUMPRODUCT(('Training Detail'!$A$5:$A$5000=A162)*('Training Detail'!$M$5:$M$5000=Standards!A6)*('Training Detail'!$G$5:$G$5000&gt;=D162)*('Training Detail'!$G$5:$G$5000&lt;=E162)*('Training Detail'!$P$5:$P$5000)))</f>
        <v/>
      </c>
      <c r="K162" s="15" t="str">
        <f aca="false">IF(OR(A162="",C162=""),"",SUMPRODUCT(('Training Detail'!$A$5:$A$5000=A162)*('Training Detail'!$M$5:$M$5000=Standards!A7)*('Training Detail'!$G$5:$G$5000&gt;=D162)*('Training Detail'!$G$5:$G$5000&lt;=E162)*('Training Detail'!$P$5:$P$5000)))</f>
        <v/>
      </c>
      <c r="L162" s="15" t="str">
        <f aca="false">IF(OR(A162="",C162=""),"",SUMPRODUCT(('Training Detail'!$A$5:$A$5000=A162)*('Training Detail'!$M$5:$M$5000=Standards!A8)*('Training Detail'!$G$5:$G$5000&gt;=D162)*('Training Detail'!$G$5:$G$5000&lt;=E162)*('Training Detail'!$P$5:$P$5000)))</f>
        <v/>
      </c>
      <c r="M162" s="16" t="str">
        <f aca="false">IF(OR(A162="",C162=""),"",SUMPRODUCT(('Training Detail'!$A$5:$A$5000=A162)*('Training Detail'!$M$5:$M$5000=Standards!A9)*('Training Detail'!$G$5:$G$5000&gt;=D162)*('Training Detail'!$G$5:$G$5000&lt;=E162)*('Training Detail'!$P$5:$P$5000)))</f>
        <v/>
      </c>
      <c r="N162" s="17" t="str">
        <f aca="false">IF(A162="","",IF(C162="","Set exp date",IF(AND(F162&gt;=Requirements!B5,G162&gt;=Requirements!B6,H162&gt;=Requirements!B7,I162&gt;=Requirements!B8,J162&gt;=Requirements!B9,K162&gt;=Requirements!B10,L162&gt;=Requirements!B11,M162&gt;=Requirements!B12),"Met","Short")))</f>
        <v>Set exp date</v>
      </c>
      <c r="O162" s="18" t="str">
        <f aca="false">IF(OR(A162="",C162=""),"",IF(N162="Met","",IF(F162&lt;Requirements!B5,Requirements!A5&amp;" "&amp;TEXT(Requirements!B5-F162,"0.##")&amp;"; ","")&amp;IF(G162&lt;Requirements!B6,Requirements!A6&amp;" "&amp;TEXT(Requirements!B6-G162,"0.##")&amp;"; ","")&amp;IF(H162&lt;Requirements!B7,Requirements!A7&amp;" "&amp;TEXT(Requirements!B7-H162,"0.##")&amp;"; ","")&amp;IF(I162&lt;Requirements!B8,Requirements!A8&amp;" "&amp;TEXT(Requirements!B8-I162,"0.##")&amp;"; ","")&amp;IF(J162&lt;Requirements!B9,Requirements!A9&amp;" "&amp;TEXT(Requirements!B9-J162,"0.##")&amp;"; ","")&amp;IF(K162&lt;Requirements!B10,Requirements!A10&amp;" "&amp;TEXT(Requirements!B10-K162,"0.##")&amp;"; ","")&amp;IF(L162&lt;Requirements!B11,Requirements!A11&amp;" "&amp;TEXT(Requirements!B11-L162,"0.##")&amp;"; ","")&amp;IF(M162&lt;Requirements!B12,Requirements!A12&amp;" "&amp;TEXT(Requirements!B12-M162,"0.##")&amp;"; ","")))</f>
        <v/>
      </c>
    </row>
    <row r="163" customFormat="false" ht="15" hidden="false" customHeight="true" outlineLevel="0" collapsed="false">
      <c r="A163" s="19" t="s">
        <v>304</v>
      </c>
      <c r="B163" s="20" t="s">
        <v>305</v>
      </c>
      <c r="C163" s="13" t="n">
        <v>46752</v>
      </c>
      <c r="D163" s="21" t="n">
        <f aca="false">IF(C163="","",DATE(YEAR(C163)-1,1,1))</f>
        <v>46023</v>
      </c>
      <c r="E163" s="21" t="n">
        <f aca="false">IF(C163="","",DATE(YEAR(C163),12,31))</f>
        <v>46752</v>
      </c>
      <c r="F163" s="15" t="n">
        <f aca="false">IF(OR(A163="",C163=""),"",SUMPRODUCT(('Training Detail'!$A$5:$A$5000=A163)*('Training Detail'!$M$5:$M$5000=Standards!A2)*('Training Detail'!$G$5:$G$5000&gt;=D163)*('Training Detail'!$G$5:$G$5000&lt;=E163)*('Training Detail'!$P$5:$P$5000)))</f>
        <v>4</v>
      </c>
      <c r="G163" s="15" t="n">
        <f aca="false">IF(OR(A163="",C163=""),"",SUMPRODUCT(('Training Detail'!$A$5:$A$5000=A163)*('Training Detail'!$M$5:$M$5000=Standards!A3)*('Training Detail'!$G$5:$G$5000&gt;=D163)*('Training Detail'!$G$5:$G$5000&lt;=E163)*('Training Detail'!$P$5:$P$5000)))</f>
        <v>0</v>
      </c>
      <c r="H163" s="15" t="n">
        <f aca="false">IF(OR(A163="",C163=""),"",SUMPRODUCT(('Training Detail'!$A$5:$A$5000=A163)*('Training Detail'!$M$5:$M$5000=Standards!A4)*('Training Detail'!$G$5:$G$5000&gt;=D163)*('Training Detail'!$G$5:$G$5000&lt;=E163)*('Training Detail'!$P$5:$P$5000)))</f>
        <v>7</v>
      </c>
      <c r="I163" s="15" t="n">
        <f aca="false">IF(OR(A163="",C163=""),"",SUMPRODUCT(('Training Detail'!$A$5:$A$5000=A163)*('Training Detail'!$M$5:$M$5000=Standards!A5)*('Training Detail'!$G$5:$G$5000&gt;=D163)*('Training Detail'!$G$5:$G$5000&lt;=E163)*('Training Detail'!$P$5:$P$5000)))</f>
        <v>5</v>
      </c>
      <c r="J163" s="15" t="n">
        <f aca="false">IF(OR(A163="",C163=""),"",SUMPRODUCT(('Training Detail'!$A$5:$A$5000=A163)*('Training Detail'!$M$5:$M$5000=Standards!A6)*('Training Detail'!$G$5:$G$5000&gt;=D163)*('Training Detail'!$G$5:$G$5000&lt;=E163)*('Training Detail'!$P$5:$P$5000)))</f>
        <v>1</v>
      </c>
      <c r="K163" s="15" t="n">
        <f aca="false">IF(OR(A163="",C163=""),"",SUMPRODUCT(('Training Detail'!$A$5:$A$5000=A163)*('Training Detail'!$M$5:$M$5000=Standards!A7)*('Training Detail'!$G$5:$G$5000&gt;=D163)*('Training Detail'!$G$5:$G$5000&lt;=E163)*('Training Detail'!$P$5:$P$5000)))</f>
        <v>0</v>
      </c>
      <c r="L163" s="15" t="n">
        <f aca="false">IF(OR(A163="",C163=""),"",SUMPRODUCT(('Training Detail'!$A$5:$A$5000=A163)*('Training Detail'!$M$5:$M$5000=Standards!A8)*('Training Detail'!$G$5:$G$5000&gt;=D163)*('Training Detail'!$G$5:$G$5000&lt;=E163)*('Training Detail'!$P$5:$P$5000)))</f>
        <v>0</v>
      </c>
      <c r="M163" s="16" t="n">
        <f aca="false">IF(OR(A163="",C163=""),"",SUMPRODUCT(('Training Detail'!$A$5:$A$5000=A163)*('Training Detail'!$M$5:$M$5000=Standards!A9)*('Training Detail'!$G$5:$G$5000&gt;=D163)*('Training Detail'!$G$5:$G$5000&lt;=E163)*('Training Detail'!$P$5:$P$5000)))</f>
        <v>0</v>
      </c>
      <c r="N163" s="17" t="str">
        <f aca="false">IF(A163="","",IF(C163="","Set exp date",IF(AND(F163&gt;=Requirements!B5,G163&gt;=Requirements!B6,H163&gt;=Requirements!B7,I163&gt;=Requirements!B8,J163&gt;=Requirements!B9,K163&gt;=Requirements!B10,L163&gt;=Requirements!B11,M163&gt;=Requirements!B12),"Met","Short")))</f>
        <v>Short</v>
      </c>
      <c r="O163" s="18" t="str">
        <f aca="false">IF(OR(A163="",C163=""),"",IF(N163="Met","",IF(F163&lt;Requirements!B5,Requirements!A5&amp;" "&amp;TEXT(Requirements!B5-F163,"0.##")&amp;"; ","")&amp;IF(G163&lt;Requirements!B6,Requirements!A6&amp;" "&amp;TEXT(Requirements!B6-G163,"0.##")&amp;"; ","")&amp;IF(H163&lt;Requirements!B7,Requirements!A7&amp;" "&amp;TEXT(Requirements!B7-H163,"0.##")&amp;"; ","")&amp;IF(I163&lt;Requirements!B8,Requirements!A8&amp;" "&amp;TEXT(Requirements!B8-I163,"0.##")&amp;"; ","")&amp;IF(J163&lt;Requirements!B9,Requirements!A9&amp;" "&amp;TEXT(Requirements!B9-J163,"0.##")&amp;"; ","")&amp;IF(K163&lt;Requirements!B10,Requirements!A10&amp;" "&amp;TEXT(Requirements!B10-K163,"0.##")&amp;"; ","")&amp;IF(L163&lt;Requirements!B11,Requirements!A11&amp;" "&amp;TEXT(Requirements!B11-L163,"0.##")&amp;"; ","")&amp;IF(M163&lt;Requirements!B12,Requirements!A12&amp;" "&amp;TEXT(Requirements!B12-M163,"0.##")&amp;"; ","")))</f>
        <v>Cardiovascular 5; Medical 1; Operations 1; PAHT 1; SVAT 1; CPR/AED 1; </v>
      </c>
    </row>
    <row r="164" customFormat="false" ht="15" hidden="false" customHeight="true" outlineLevel="0" collapsed="false">
      <c r="A164" s="11" t="s">
        <v>306</v>
      </c>
      <c r="B164" s="12" t="s">
        <v>307</v>
      </c>
      <c r="C164" s="13" t="n">
        <v>46752</v>
      </c>
      <c r="D164" s="14" t="n">
        <f aca="false">IF(C164="","",DATE(YEAR(C164)-1,1,1))</f>
        <v>46023</v>
      </c>
      <c r="E164" s="14" t="n">
        <f aca="false">IF(C164="","",DATE(YEAR(C164),12,31))</f>
        <v>46752</v>
      </c>
      <c r="F164" s="15" t="n">
        <f aca="false">IF(OR(A164="",C164=""),"",SUMPRODUCT(('Training Detail'!$A$5:$A$5000=A164)*('Training Detail'!$M$5:$M$5000=Standards!A2)*('Training Detail'!$G$5:$G$5000&gt;=D164)*('Training Detail'!$G$5:$G$5000&lt;=E164)*('Training Detail'!$P$5:$P$5000)))</f>
        <v>0</v>
      </c>
      <c r="G164" s="15" t="n">
        <f aca="false">IF(OR(A164="",C164=""),"",SUMPRODUCT(('Training Detail'!$A$5:$A$5000=A164)*('Training Detail'!$M$5:$M$5000=Standards!A3)*('Training Detail'!$G$5:$G$5000&gt;=D164)*('Training Detail'!$G$5:$G$5000&lt;=E164)*('Training Detail'!$P$5:$P$5000)))</f>
        <v>0</v>
      </c>
      <c r="H164" s="15" t="n">
        <f aca="false">IF(OR(A164="",C164=""),"",SUMPRODUCT(('Training Detail'!$A$5:$A$5000=A164)*('Training Detail'!$M$5:$M$5000=Standards!A4)*('Training Detail'!$G$5:$G$5000&gt;=D164)*('Training Detail'!$G$5:$G$5000&lt;=E164)*('Training Detail'!$P$5:$P$5000)))</f>
        <v>2</v>
      </c>
      <c r="I164" s="15" t="n">
        <f aca="false">IF(OR(A164="",C164=""),"",SUMPRODUCT(('Training Detail'!$A$5:$A$5000=A164)*('Training Detail'!$M$5:$M$5000=Standards!A5)*('Training Detail'!$G$5:$G$5000&gt;=D164)*('Training Detail'!$G$5:$G$5000&lt;=E164)*('Training Detail'!$P$5:$P$5000)))</f>
        <v>0</v>
      </c>
      <c r="J164" s="15" t="n">
        <f aca="false">IF(OR(A164="",C164=""),"",SUMPRODUCT(('Training Detail'!$A$5:$A$5000=A164)*('Training Detail'!$M$5:$M$5000=Standards!A6)*('Training Detail'!$G$5:$G$5000&gt;=D164)*('Training Detail'!$G$5:$G$5000&lt;=E164)*('Training Detail'!$P$5:$P$5000)))</f>
        <v>1</v>
      </c>
      <c r="K164" s="15" t="n">
        <f aca="false">IF(OR(A164="",C164=""),"",SUMPRODUCT(('Training Detail'!$A$5:$A$5000=A164)*('Training Detail'!$M$5:$M$5000=Standards!A7)*('Training Detail'!$G$5:$G$5000&gt;=D164)*('Training Detail'!$G$5:$G$5000&lt;=E164)*('Training Detail'!$P$5:$P$5000)))</f>
        <v>0</v>
      </c>
      <c r="L164" s="15" t="n">
        <f aca="false">IF(OR(A164="",C164=""),"",SUMPRODUCT(('Training Detail'!$A$5:$A$5000=A164)*('Training Detail'!$M$5:$M$5000=Standards!A8)*('Training Detail'!$G$5:$G$5000&gt;=D164)*('Training Detail'!$G$5:$G$5000&lt;=E164)*('Training Detail'!$P$5:$P$5000)))</f>
        <v>0</v>
      </c>
      <c r="M164" s="16" t="n">
        <f aca="false">IF(OR(A164="",C164=""),"",SUMPRODUCT(('Training Detail'!$A$5:$A$5000=A164)*('Training Detail'!$M$5:$M$5000=Standards!A9)*('Training Detail'!$G$5:$G$5000&gt;=D164)*('Training Detail'!$G$5:$G$5000&lt;=E164)*('Training Detail'!$P$5:$P$5000)))</f>
        <v>0</v>
      </c>
      <c r="N164" s="17" t="str">
        <f aca="false">IF(A164="","",IF(C164="","Set exp date",IF(AND(F164&gt;=Requirements!B5,G164&gt;=Requirements!B6,H164&gt;=Requirements!B7,I164&gt;=Requirements!B8,J164&gt;=Requirements!B9,K164&gt;=Requirements!B10,L164&gt;=Requirements!B11,M164&gt;=Requirements!B12),"Met","Short")))</f>
        <v>Short</v>
      </c>
      <c r="O164" s="18" t="str">
        <f aca="false">IF(OR(A164="",C164=""),"",IF(N164="Met","",IF(F164&lt;Requirements!B5,Requirements!A5&amp;" "&amp;TEXT(Requirements!B5-F164,"0.##")&amp;"; ","")&amp;IF(G164&lt;Requirements!B6,Requirements!A6&amp;" "&amp;TEXT(Requirements!B6-G164,"0.##")&amp;"; ","")&amp;IF(H164&lt;Requirements!B7,Requirements!A7&amp;" "&amp;TEXT(Requirements!B7-H164,"0.##")&amp;"; ","")&amp;IF(I164&lt;Requirements!B8,Requirements!A8&amp;" "&amp;TEXT(Requirements!B8-I164,"0.##")&amp;"; ","")&amp;IF(J164&lt;Requirements!B9,Requirements!A9&amp;" "&amp;TEXT(Requirements!B9-J164,"0.##")&amp;"; ","")&amp;IF(K164&lt;Requirements!B10,Requirements!A10&amp;" "&amp;TEXT(Requirements!B10-K164,"0.##")&amp;"; ","")&amp;IF(L164&lt;Requirements!B11,Requirements!A11&amp;" "&amp;TEXT(Requirements!B11-L164,"0.##")&amp;"; ","")&amp;IF(M164&lt;Requirements!B12,Requirements!A12&amp;" "&amp;TEXT(Requirements!B12-M164,"0.##")&amp;"; ","")))</f>
        <v>Airway 4; Cardiovascular 5; Trauma 1; Medical 6; Operations 1; PAHT 1; SVAT 1; CPR/AED 1; </v>
      </c>
    </row>
    <row r="165" customFormat="false" ht="15" hidden="false" customHeight="true" outlineLevel="0" collapsed="false">
      <c r="A165" s="19" t="s">
        <v>308</v>
      </c>
      <c r="B165" s="20" t="s">
        <v>309</v>
      </c>
      <c r="C165" s="13" t="n">
        <v>46752</v>
      </c>
      <c r="D165" s="21" t="n">
        <f aca="false">IF(C165="","",DATE(YEAR(C165)-1,1,1))</f>
        <v>46023</v>
      </c>
      <c r="E165" s="21" t="n">
        <f aca="false">IF(C165="","",DATE(YEAR(C165),12,31))</f>
        <v>46752</v>
      </c>
      <c r="F165" s="15" t="n">
        <f aca="false">IF(OR(A165="",C165=""),"",SUMPRODUCT(('Training Detail'!$A$5:$A$5000=A165)*('Training Detail'!$M$5:$M$5000=Standards!A2)*('Training Detail'!$G$5:$G$5000&gt;=D165)*('Training Detail'!$G$5:$G$5000&lt;=E165)*('Training Detail'!$P$5:$P$5000)))</f>
        <v>0</v>
      </c>
      <c r="G165" s="15" t="n">
        <f aca="false">IF(OR(A165="",C165=""),"",SUMPRODUCT(('Training Detail'!$A$5:$A$5000=A165)*('Training Detail'!$M$5:$M$5000=Standards!A3)*('Training Detail'!$G$5:$G$5000&gt;=D165)*('Training Detail'!$G$5:$G$5000&lt;=E165)*('Training Detail'!$P$5:$P$5000)))</f>
        <v>0</v>
      </c>
      <c r="H165" s="15" t="n">
        <f aca="false">IF(OR(A165="",C165=""),"",SUMPRODUCT(('Training Detail'!$A$5:$A$5000=A165)*('Training Detail'!$M$5:$M$5000=Standards!A4)*('Training Detail'!$G$5:$G$5000&gt;=D165)*('Training Detail'!$G$5:$G$5000&lt;=E165)*('Training Detail'!$P$5:$P$5000)))</f>
        <v>2</v>
      </c>
      <c r="I165" s="15" t="n">
        <f aca="false">IF(OR(A165="",C165=""),"",SUMPRODUCT(('Training Detail'!$A$5:$A$5000=A165)*('Training Detail'!$M$5:$M$5000=Standards!A5)*('Training Detail'!$G$5:$G$5000&gt;=D165)*('Training Detail'!$G$5:$G$5000&lt;=E165)*('Training Detail'!$P$5:$P$5000)))</f>
        <v>1</v>
      </c>
      <c r="J165" s="15" t="n">
        <f aca="false">IF(OR(A165="",C165=""),"",SUMPRODUCT(('Training Detail'!$A$5:$A$5000=A165)*('Training Detail'!$M$5:$M$5000=Standards!A6)*('Training Detail'!$G$5:$G$5000&gt;=D165)*('Training Detail'!$G$5:$G$5000&lt;=E165)*('Training Detail'!$P$5:$P$5000)))</f>
        <v>1</v>
      </c>
      <c r="K165" s="15" t="n">
        <f aca="false">IF(OR(A165="",C165=""),"",SUMPRODUCT(('Training Detail'!$A$5:$A$5000=A165)*('Training Detail'!$M$5:$M$5000=Standards!A7)*('Training Detail'!$G$5:$G$5000&gt;=D165)*('Training Detail'!$G$5:$G$5000&lt;=E165)*('Training Detail'!$P$5:$P$5000)))</f>
        <v>1.25</v>
      </c>
      <c r="L165" s="15" t="n">
        <f aca="false">IF(OR(A165="",C165=""),"",SUMPRODUCT(('Training Detail'!$A$5:$A$5000=A165)*('Training Detail'!$M$5:$M$5000=Standards!A8)*('Training Detail'!$G$5:$G$5000&gt;=D165)*('Training Detail'!$G$5:$G$5000&lt;=E165)*('Training Detail'!$P$5:$P$5000)))</f>
        <v>0</v>
      </c>
      <c r="M165" s="16" t="n">
        <f aca="false">IF(OR(A165="",C165=""),"",SUMPRODUCT(('Training Detail'!$A$5:$A$5000=A165)*('Training Detail'!$M$5:$M$5000=Standards!A9)*('Training Detail'!$G$5:$G$5000&gt;=D165)*('Training Detail'!$G$5:$G$5000&lt;=E165)*('Training Detail'!$P$5:$P$5000)))</f>
        <v>0</v>
      </c>
      <c r="N165" s="17" t="str">
        <f aca="false">IF(A165="","",IF(C165="","Set exp date",IF(AND(F165&gt;=Requirements!B5,G165&gt;=Requirements!B6,H165&gt;=Requirements!B7,I165&gt;=Requirements!B8,J165&gt;=Requirements!B9,K165&gt;=Requirements!B10,L165&gt;=Requirements!B11,M165&gt;=Requirements!B12),"Met","Short")))</f>
        <v>Short</v>
      </c>
      <c r="O165" s="18" t="str">
        <f aca="false">IF(OR(A165="",C165=""),"",IF(N165="Met","",IF(F165&lt;Requirements!B5,Requirements!A5&amp;" "&amp;TEXT(Requirements!B5-F165,"0.##")&amp;"; ","")&amp;IF(G165&lt;Requirements!B6,Requirements!A6&amp;" "&amp;TEXT(Requirements!B6-G165,"0.##")&amp;"; ","")&amp;IF(H165&lt;Requirements!B7,Requirements!A7&amp;" "&amp;TEXT(Requirements!B7-H165,"0.##")&amp;"; ","")&amp;IF(I165&lt;Requirements!B8,Requirements!A8&amp;" "&amp;TEXT(Requirements!B8-I165,"0.##")&amp;"; ","")&amp;IF(J165&lt;Requirements!B9,Requirements!A9&amp;" "&amp;TEXT(Requirements!B9-J165,"0.##")&amp;"; ","")&amp;IF(K165&lt;Requirements!B10,Requirements!A10&amp;" "&amp;TEXT(Requirements!B10-K165,"0.##")&amp;"; ","")&amp;IF(L165&lt;Requirements!B11,Requirements!A11&amp;" "&amp;TEXT(Requirements!B11-L165,"0.##")&amp;"; ","")&amp;IF(M165&lt;Requirements!B12,Requirements!A12&amp;" "&amp;TEXT(Requirements!B12-M165,"0.##")&amp;"; ","")))</f>
        <v>Airway 4; Cardiovascular 5; Trauma 1; Medical 5; Operations 1; SVAT 1; CPR/AED 1; </v>
      </c>
    </row>
    <row r="166" customFormat="false" ht="15" hidden="false" customHeight="true" outlineLevel="0" collapsed="false">
      <c r="A166" s="11" t="s">
        <v>310</v>
      </c>
      <c r="B166" s="12" t="s">
        <v>311</v>
      </c>
      <c r="C166" s="13" t="n">
        <v>46752</v>
      </c>
      <c r="D166" s="14" t="n">
        <f aca="false">IF(C166="","",DATE(YEAR(C166)-1,1,1))</f>
        <v>46023</v>
      </c>
      <c r="E166" s="14" t="n">
        <f aca="false">IF(C166="","",DATE(YEAR(C166),12,31))</f>
        <v>46752</v>
      </c>
      <c r="F166" s="15" t="n">
        <f aca="false">IF(OR(A166="",C166=""),"",SUMPRODUCT(('Training Detail'!$A$5:$A$5000=A166)*('Training Detail'!$M$5:$M$5000=Standards!A2)*('Training Detail'!$G$5:$G$5000&gt;=D166)*('Training Detail'!$G$5:$G$5000&lt;=E166)*('Training Detail'!$P$5:$P$5000)))</f>
        <v>0</v>
      </c>
      <c r="G166" s="15" t="n">
        <f aca="false">IF(OR(A166="",C166=""),"",SUMPRODUCT(('Training Detail'!$A$5:$A$5000=A166)*('Training Detail'!$M$5:$M$5000=Standards!A3)*('Training Detail'!$G$5:$G$5000&gt;=D166)*('Training Detail'!$G$5:$G$5000&lt;=E166)*('Training Detail'!$P$5:$P$5000)))</f>
        <v>0</v>
      </c>
      <c r="H166" s="15" t="n">
        <f aca="false">IF(OR(A166="",C166=""),"",SUMPRODUCT(('Training Detail'!$A$5:$A$5000=A166)*('Training Detail'!$M$5:$M$5000=Standards!A4)*('Training Detail'!$G$5:$G$5000&gt;=D166)*('Training Detail'!$G$5:$G$5000&lt;=E166)*('Training Detail'!$P$5:$P$5000)))</f>
        <v>0</v>
      </c>
      <c r="I166" s="15" t="n">
        <f aca="false">IF(OR(A166="",C166=""),"",SUMPRODUCT(('Training Detail'!$A$5:$A$5000=A166)*('Training Detail'!$M$5:$M$5000=Standards!A5)*('Training Detail'!$G$5:$G$5000&gt;=D166)*('Training Detail'!$G$5:$G$5000&lt;=E166)*('Training Detail'!$P$5:$P$5000)))</f>
        <v>2</v>
      </c>
      <c r="J166" s="15" t="n">
        <f aca="false">IF(OR(A166="",C166=""),"",SUMPRODUCT(('Training Detail'!$A$5:$A$5000=A166)*('Training Detail'!$M$5:$M$5000=Standards!A6)*('Training Detail'!$G$5:$G$5000&gt;=D166)*('Training Detail'!$G$5:$G$5000&lt;=E166)*('Training Detail'!$P$5:$P$5000)))</f>
        <v>2</v>
      </c>
      <c r="K166" s="15" t="n">
        <f aca="false">IF(OR(A166="",C166=""),"",SUMPRODUCT(('Training Detail'!$A$5:$A$5000=A166)*('Training Detail'!$M$5:$M$5000=Standards!A7)*('Training Detail'!$G$5:$G$5000&gt;=D166)*('Training Detail'!$G$5:$G$5000&lt;=E166)*('Training Detail'!$P$5:$P$5000)))</f>
        <v>0</v>
      </c>
      <c r="L166" s="15" t="n">
        <f aca="false">IF(OR(A166="",C166=""),"",SUMPRODUCT(('Training Detail'!$A$5:$A$5000=A166)*('Training Detail'!$M$5:$M$5000=Standards!A8)*('Training Detail'!$G$5:$G$5000&gt;=D166)*('Training Detail'!$G$5:$G$5000&lt;=E166)*('Training Detail'!$P$5:$P$5000)))</f>
        <v>0</v>
      </c>
      <c r="M166" s="16" t="n">
        <f aca="false">IF(OR(A166="",C166=""),"",SUMPRODUCT(('Training Detail'!$A$5:$A$5000=A166)*('Training Detail'!$M$5:$M$5000=Standards!A9)*('Training Detail'!$G$5:$G$5000&gt;=D166)*('Training Detail'!$G$5:$G$5000&lt;=E166)*('Training Detail'!$P$5:$P$5000)))</f>
        <v>0</v>
      </c>
      <c r="N166" s="17" t="str">
        <f aca="false">IF(A166="","",IF(C166="","Set exp date",IF(AND(F166&gt;=Requirements!B5,G166&gt;=Requirements!B6,H166&gt;=Requirements!B7,I166&gt;=Requirements!B8,J166&gt;=Requirements!B9,K166&gt;=Requirements!B10,L166&gt;=Requirements!B11,M166&gt;=Requirements!B12),"Met","Short")))</f>
        <v>Short</v>
      </c>
      <c r="O166" s="18" t="str">
        <f aca="false">IF(OR(A166="",C166=""),"",IF(N166="Met","",IF(F166&lt;Requirements!B5,Requirements!A5&amp;" "&amp;TEXT(Requirements!B5-F166,"0.##")&amp;"; ","")&amp;IF(G166&lt;Requirements!B6,Requirements!A6&amp;" "&amp;TEXT(Requirements!B6-G166,"0.##")&amp;"; ","")&amp;IF(H166&lt;Requirements!B7,Requirements!A7&amp;" "&amp;TEXT(Requirements!B7-H166,"0.##")&amp;"; ","")&amp;IF(I166&lt;Requirements!B8,Requirements!A8&amp;" "&amp;TEXT(Requirements!B8-I166,"0.##")&amp;"; ","")&amp;IF(J166&lt;Requirements!B9,Requirements!A9&amp;" "&amp;TEXT(Requirements!B9-J166,"0.##")&amp;"; ","")&amp;IF(K166&lt;Requirements!B10,Requirements!A10&amp;" "&amp;TEXT(Requirements!B10-K166,"0.##")&amp;"; ","")&amp;IF(L166&lt;Requirements!B11,Requirements!A11&amp;" "&amp;TEXT(Requirements!B11-L166,"0.##")&amp;"; ","")&amp;IF(M166&lt;Requirements!B12,Requirements!A12&amp;" "&amp;TEXT(Requirements!B12-M166,"0.##")&amp;"; ","")))</f>
        <v>Airway 4; Cardiovascular 5; Trauma 3; Medical 4; PAHT 1; SVAT 1; CPR/AED 1; </v>
      </c>
    </row>
    <row r="167" customFormat="false" ht="15" hidden="false" customHeight="true" outlineLevel="0" collapsed="false">
      <c r="A167" s="19" t="s">
        <v>312</v>
      </c>
      <c r="B167" s="20"/>
      <c r="C167" s="13"/>
      <c r="D167" s="21" t="str">
        <f aca="false">IF(C167="","",DATE(YEAR(C167)-1,1,1))</f>
        <v/>
      </c>
      <c r="E167" s="21" t="str">
        <f aca="false">IF(C167="","",DATE(YEAR(C167),12,31))</f>
        <v/>
      </c>
      <c r="F167" s="15" t="str">
        <f aca="false">IF(OR(A167="",C167=""),"",SUMPRODUCT(('Training Detail'!$A$5:$A$5000=A167)*('Training Detail'!$M$5:$M$5000=Standards!A2)*('Training Detail'!$G$5:$G$5000&gt;=D167)*('Training Detail'!$G$5:$G$5000&lt;=E167)*('Training Detail'!$P$5:$P$5000)))</f>
        <v/>
      </c>
      <c r="G167" s="15" t="str">
        <f aca="false">IF(OR(A167="",C167=""),"",SUMPRODUCT(('Training Detail'!$A$5:$A$5000=A167)*('Training Detail'!$M$5:$M$5000=Standards!A3)*('Training Detail'!$G$5:$G$5000&gt;=D167)*('Training Detail'!$G$5:$G$5000&lt;=E167)*('Training Detail'!$P$5:$P$5000)))</f>
        <v/>
      </c>
      <c r="H167" s="15" t="str">
        <f aca="false">IF(OR(A167="",C167=""),"",SUMPRODUCT(('Training Detail'!$A$5:$A$5000=A167)*('Training Detail'!$M$5:$M$5000=Standards!A4)*('Training Detail'!$G$5:$G$5000&gt;=D167)*('Training Detail'!$G$5:$G$5000&lt;=E167)*('Training Detail'!$P$5:$P$5000)))</f>
        <v/>
      </c>
      <c r="I167" s="15" t="str">
        <f aca="false">IF(OR(A167="",C167=""),"",SUMPRODUCT(('Training Detail'!$A$5:$A$5000=A167)*('Training Detail'!$M$5:$M$5000=Standards!A5)*('Training Detail'!$G$5:$G$5000&gt;=D167)*('Training Detail'!$G$5:$G$5000&lt;=E167)*('Training Detail'!$P$5:$P$5000)))</f>
        <v/>
      </c>
      <c r="J167" s="15" t="str">
        <f aca="false">IF(OR(A167="",C167=""),"",SUMPRODUCT(('Training Detail'!$A$5:$A$5000=A167)*('Training Detail'!$M$5:$M$5000=Standards!A6)*('Training Detail'!$G$5:$G$5000&gt;=D167)*('Training Detail'!$G$5:$G$5000&lt;=E167)*('Training Detail'!$P$5:$P$5000)))</f>
        <v/>
      </c>
      <c r="K167" s="15" t="str">
        <f aca="false">IF(OR(A167="",C167=""),"",SUMPRODUCT(('Training Detail'!$A$5:$A$5000=A167)*('Training Detail'!$M$5:$M$5000=Standards!A7)*('Training Detail'!$G$5:$G$5000&gt;=D167)*('Training Detail'!$G$5:$G$5000&lt;=E167)*('Training Detail'!$P$5:$P$5000)))</f>
        <v/>
      </c>
      <c r="L167" s="15" t="str">
        <f aca="false">IF(OR(A167="",C167=""),"",SUMPRODUCT(('Training Detail'!$A$5:$A$5000=A167)*('Training Detail'!$M$5:$M$5000=Standards!A8)*('Training Detail'!$G$5:$G$5000&gt;=D167)*('Training Detail'!$G$5:$G$5000&lt;=E167)*('Training Detail'!$P$5:$P$5000)))</f>
        <v/>
      </c>
      <c r="M167" s="16" t="str">
        <f aca="false">IF(OR(A167="",C167=""),"",SUMPRODUCT(('Training Detail'!$A$5:$A$5000=A167)*('Training Detail'!$M$5:$M$5000=Standards!A9)*('Training Detail'!$G$5:$G$5000&gt;=D167)*('Training Detail'!$G$5:$G$5000&lt;=E167)*('Training Detail'!$P$5:$P$5000)))</f>
        <v/>
      </c>
      <c r="N167" s="17" t="str">
        <f aca="false">IF(A167="","",IF(C167="","Set exp date",IF(AND(F167&gt;=Requirements!B5,G167&gt;=Requirements!B6,H167&gt;=Requirements!B7,I167&gt;=Requirements!B8,J167&gt;=Requirements!B9,K167&gt;=Requirements!B10,L167&gt;=Requirements!B11,M167&gt;=Requirements!B12),"Met","Short")))</f>
        <v>Set exp date</v>
      </c>
      <c r="O167" s="18" t="str">
        <f aca="false">IF(OR(A167="",C167=""),"",IF(N167="Met","",IF(F167&lt;Requirements!B5,Requirements!A5&amp;" "&amp;TEXT(Requirements!B5-F167,"0.##")&amp;"; ","")&amp;IF(G167&lt;Requirements!B6,Requirements!A6&amp;" "&amp;TEXT(Requirements!B6-G167,"0.##")&amp;"; ","")&amp;IF(H167&lt;Requirements!B7,Requirements!A7&amp;" "&amp;TEXT(Requirements!B7-H167,"0.##")&amp;"; ","")&amp;IF(I167&lt;Requirements!B8,Requirements!A8&amp;" "&amp;TEXT(Requirements!B8-I167,"0.##")&amp;"; ","")&amp;IF(J167&lt;Requirements!B9,Requirements!A9&amp;" "&amp;TEXT(Requirements!B9-J167,"0.##")&amp;"; ","")&amp;IF(K167&lt;Requirements!B10,Requirements!A10&amp;" "&amp;TEXT(Requirements!B10-K167,"0.##")&amp;"; ","")&amp;IF(L167&lt;Requirements!B11,Requirements!A11&amp;" "&amp;TEXT(Requirements!B11-L167,"0.##")&amp;"; ","")&amp;IF(M167&lt;Requirements!B12,Requirements!A12&amp;" "&amp;TEXT(Requirements!B12-M167,"0.##")&amp;"; ","")))</f>
        <v/>
      </c>
    </row>
    <row r="168" customFormat="false" ht="15" hidden="false" customHeight="true" outlineLevel="0" collapsed="false">
      <c r="A168" s="11" t="s">
        <v>313</v>
      </c>
      <c r="B168" s="12"/>
      <c r="C168" s="13"/>
      <c r="D168" s="14" t="str">
        <f aca="false">IF(C168="","",DATE(YEAR(C168)-1,1,1))</f>
        <v/>
      </c>
      <c r="E168" s="14" t="str">
        <f aca="false">IF(C168="","",DATE(YEAR(C168),12,31))</f>
        <v/>
      </c>
      <c r="F168" s="15" t="str">
        <f aca="false">IF(OR(A168="",C168=""),"",SUMPRODUCT(('Training Detail'!$A$5:$A$5000=A168)*('Training Detail'!$M$5:$M$5000=Standards!A2)*('Training Detail'!$G$5:$G$5000&gt;=D168)*('Training Detail'!$G$5:$G$5000&lt;=E168)*('Training Detail'!$P$5:$P$5000)))</f>
        <v/>
      </c>
      <c r="G168" s="15" t="str">
        <f aca="false">IF(OR(A168="",C168=""),"",SUMPRODUCT(('Training Detail'!$A$5:$A$5000=A168)*('Training Detail'!$M$5:$M$5000=Standards!A3)*('Training Detail'!$G$5:$G$5000&gt;=D168)*('Training Detail'!$G$5:$G$5000&lt;=E168)*('Training Detail'!$P$5:$P$5000)))</f>
        <v/>
      </c>
      <c r="H168" s="15" t="str">
        <f aca="false">IF(OR(A168="",C168=""),"",SUMPRODUCT(('Training Detail'!$A$5:$A$5000=A168)*('Training Detail'!$M$5:$M$5000=Standards!A4)*('Training Detail'!$G$5:$G$5000&gt;=D168)*('Training Detail'!$G$5:$G$5000&lt;=E168)*('Training Detail'!$P$5:$P$5000)))</f>
        <v/>
      </c>
      <c r="I168" s="15" t="str">
        <f aca="false">IF(OR(A168="",C168=""),"",SUMPRODUCT(('Training Detail'!$A$5:$A$5000=A168)*('Training Detail'!$M$5:$M$5000=Standards!A5)*('Training Detail'!$G$5:$G$5000&gt;=D168)*('Training Detail'!$G$5:$G$5000&lt;=E168)*('Training Detail'!$P$5:$P$5000)))</f>
        <v/>
      </c>
      <c r="J168" s="15" t="str">
        <f aca="false">IF(OR(A168="",C168=""),"",SUMPRODUCT(('Training Detail'!$A$5:$A$5000=A168)*('Training Detail'!$M$5:$M$5000=Standards!A6)*('Training Detail'!$G$5:$G$5000&gt;=D168)*('Training Detail'!$G$5:$G$5000&lt;=E168)*('Training Detail'!$P$5:$P$5000)))</f>
        <v/>
      </c>
      <c r="K168" s="15" t="str">
        <f aca="false">IF(OR(A168="",C168=""),"",SUMPRODUCT(('Training Detail'!$A$5:$A$5000=A168)*('Training Detail'!$M$5:$M$5000=Standards!A7)*('Training Detail'!$G$5:$G$5000&gt;=D168)*('Training Detail'!$G$5:$G$5000&lt;=E168)*('Training Detail'!$P$5:$P$5000)))</f>
        <v/>
      </c>
      <c r="L168" s="15" t="str">
        <f aca="false">IF(OR(A168="",C168=""),"",SUMPRODUCT(('Training Detail'!$A$5:$A$5000=A168)*('Training Detail'!$M$5:$M$5000=Standards!A8)*('Training Detail'!$G$5:$G$5000&gt;=D168)*('Training Detail'!$G$5:$G$5000&lt;=E168)*('Training Detail'!$P$5:$P$5000)))</f>
        <v/>
      </c>
      <c r="M168" s="16" t="str">
        <f aca="false">IF(OR(A168="",C168=""),"",SUMPRODUCT(('Training Detail'!$A$5:$A$5000=A168)*('Training Detail'!$M$5:$M$5000=Standards!A9)*('Training Detail'!$G$5:$G$5000&gt;=D168)*('Training Detail'!$G$5:$G$5000&lt;=E168)*('Training Detail'!$P$5:$P$5000)))</f>
        <v/>
      </c>
      <c r="N168" s="17" t="str">
        <f aca="false">IF(A168="","",IF(C168="","Set exp date",IF(AND(F168&gt;=Requirements!B5,G168&gt;=Requirements!B6,H168&gt;=Requirements!B7,I168&gt;=Requirements!B8,J168&gt;=Requirements!B9,K168&gt;=Requirements!B10,L168&gt;=Requirements!B11,M168&gt;=Requirements!B12),"Met","Short")))</f>
        <v>Set exp date</v>
      </c>
      <c r="O168" s="18" t="str">
        <f aca="false">IF(OR(A168="",C168=""),"",IF(N168="Met","",IF(F168&lt;Requirements!B5,Requirements!A5&amp;" "&amp;TEXT(Requirements!B5-F168,"0.##")&amp;"; ","")&amp;IF(G168&lt;Requirements!B6,Requirements!A6&amp;" "&amp;TEXT(Requirements!B6-G168,"0.##")&amp;"; ","")&amp;IF(H168&lt;Requirements!B7,Requirements!A7&amp;" "&amp;TEXT(Requirements!B7-H168,"0.##")&amp;"; ","")&amp;IF(I168&lt;Requirements!B8,Requirements!A8&amp;" "&amp;TEXT(Requirements!B8-I168,"0.##")&amp;"; ","")&amp;IF(J168&lt;Requirements!B9,Requirements!A9&amp;" "&amp;TEXT(Requirements!B9-J168,"0.##")&amp;"; ","")&amp;IF(K168&lt;Requirements!B10,Requirements!A10&amp;" "&amp;TEXT(Requirements!B10-K168,"0.##")&amp;"; ","")&amp;IF(L168&lt;Requirements!B11,Requirements!A11&amp;" "&amp;TEXT(Requirements!B11-L168,"0.##")&amp;"; ","")&amp;IF(M168&lt;Requirements!B12,Requirements!A12&amp;" "&amp;TEXT(Requirements!B12-M168,"0.##")&amp;"; ","")))</f>
        <v/>
      </c>
    </row>
    <row r="169" customFormat="false" ht="15" hidden="false" customHeight="true" outlineLevel="0" collapsed="false">
      <c r="A169" s="19" t="s">
        <v>314</v>
      </c>
      <c r="B169" s="20" t="s">
        <v>315</v>
      </c>
      <c r="C169" s="13" t="n">
        <v>46752</v>
      </c>
      <c r="D169" s="21" t="n">
        <f aca="false">IF(C169="","",DATE(YEAR(C169)-1,1,1))</f>
        <v>46023</v>
      </c>
      <c r="E169" s="21" t="n">
        <f aca="false">IF(C169="","",DATE(YEAR(C169),12,31))</f>
        <v>46752</v>
      </c>
      <c r="F169" s="15" t="n">
        <f aca="false">IF(OR(A169="",C169=""),"",SUMPRODUCT(('Training Detail'!$A$5:$A$5000=A169)*('Training Detail'!$M$5:$M$5000=Standards!A2)*('Training Detail'!$G$5:$G$5000&gt;=D169)*('Training Detail'!$G$5:$G$5000&lt;=E169)*('Training Detail'!$P$5:$P$5000)))</f>
        <v>0</v>
      </c>
      <c r="G169" s="15" t="n">
        <f aca="false">IF(OR(A169="",C169=""),"",SUMPRODUCT(('Training Detail'!$A$5:$A$5000=A169)*('Training Detail'!$M$5:$M$5000=Standards!A3)*('Training Detail'!$G$5:$G$5000&gt;=D169)*('Training Detail'!$G$5:$G$5000&lt;=E169)*('Training Detail'!$P$5:$P$5000)))</f>
        <v>0</v>
      </c>
      <c r="H169" s="15" t="n">
        <f aca="false">IF(OR(A169="",C169=""),"",SUMPRODUCT(('Training Detail'!$A$5:$A$5000=A169)*('Training Detail'!$M$5:$M$5000=Standards!A4)*('Training Detail'!$G$5:$G$5000&gt;=D169)*('Training Detail'!$G$5:$G$5000&lt;=E169)*('Training Detail'!$P$5:$P$5000)))</f>
        <v>1</v>
      </c>
      <c r="I169" s="15" t="n">
        <f aca="false">IF(OR(A169="",C169=""),"",SUMPRODUCT(('Training Detail'!$A$5:$A$5000=A169)*('Training Detail'!$M$5:$M$5000=Standards!A5)*('Training Detail'!$G$5:$G$5000&gt;=D169)*('Training Detail'!$G$5:$G$5000&lt;=E169)*('Training Detail'!$P$5:$P$5000)))</f>
        <v>5</v>
      </c>
      <c r="J169" s="15" t="n">
        <f aca="false">IF(OR(A169="",C169=""),"",SUMPRODUCT(('Training Detail'!$A$5:$A$5000=A169)*('Training Detail'!$M$5:$M$5000=Standards!A6)*('Training Detail'!$G$5:$G$5000&gt;=D169)*('Training Detail'!$G$5:$G$5000&lt;=E169)*('Training Detail'!$P$5:$P$5000)))</f>
        <v>2</v>
      </c>
      <c r="K169" s="15" t="n">
        <f aca="false">IF(OR(A169="",C169=""),"",SUMPRODUCT(('Training Detail'!$A$5:$A$5000=A169)*('Training Detail'!$M$5:$M$5000=Standards!A7)*('Training Detail'!$G$5:$G$5000&gt;=D169)*('Training Detail'!$G$5:$G$5000&lt;=E169)*('Training Detail'!$P$5:$P$5000)))</f>
        <v>0</v>
      </c>
      <c r="L169" s="15" t="n">
        <f aca="false">IF(OR(A169="",C169=""),"",SUMPRODUCT(('Training Detail'!$A$5:$A$5000=A169)*('Training Detail'!$M$5:$M$5000=Standards!A8)*('Training Detail'!$G$5:$G$5000&gt;=D169)*('Training Detail'!$G$5:$G$5000&lt;=E169)*('Training Detail'!$P$5:$P$5000)))</f>
        <v>0</v>
      </c>
      <c r="M169" s="16" t="n">
        <f aca="false">IF(OR(A169="",C169=""),"",SUMPRODUCT(('Training Detail'!$A$5:$A$5000=A169)*('Training Detail'!$M$5:$M$5000=Standards!A9)*('Training Detail'!$G$5:$G$5000&gt;=D169)*('Training Detail'!$G$5:$G$5000&lt;=E169)*('Training Detail'!$P$5:$P$5000)))</f>
        <v>1</v>
      </c>
      <c r="N169" s="17" t="str">
        <f aca="false">IF(A169="","",IF(C169="","Set exp date",IF(AND(F169&gt;=Requirements!B5,G169&gt;=Requirements!B6,H169&gt;=Requirements!B7,I169&gt;=Requirements!B8,J169&gt;=Requirements!B9,K169&gt;=Requirements!B10,L169&gt;=Requirements!B11,M169&gt;=Requirements!B12),"Met","Short")))</f>
        <v>Short</v>
      </c>
      <c r="O169" s="18" t="str">
        <f aca="false">IF(OR(A169="",C169=""),"",IF(N169="Met","",IF(F169&lt;Requirements!B5,Requirements!A5&amp;" "&amp;TEXT(Requirements!B5-F169,"0.##")&amp;"; ","")&amp;IF(G169&lt;Requirements!B6,Requirements!A6&amp;" "&amp;TEXT(Requirements!B6-G169,"0.##")&amp;"; ","")&amp;IF(H169&lt;Requirements!B7,Requirements!A7&amp;" "&amp;TEXT(Requirements!B7-H169,"0.##")&amp;"; ","")&amp;IF(I169&lt;Requirements!B8,Requirements!A8&amp;" "&amp;TEXT(Requirements!B8-I169,"0.##")&amp;"; ","")&amp;IF(J169&lt;Requirements!B9,Requirements!A9&amp;" "&amp;TEXT(Requirements!B9-J169,"0.##")&amp;"; ","")&amp;IF(K169&lt;Requirements!B10,Requirements!A10&amp;" "&amp;TEXT(Requirements!B10-K169,"0.##")&amp;"; ","")&amp;IF(L169&lt;Requirements!B11,Requirements!A11&amp;" "&amp;TEXT(Requirements!B11-L169,"0.##")&amp;"; ","")&amp;IF(M169&lt;Requirements!B12,Requirements!A12&amp;" "&amp;TEXT(Requirements!B12-M169,"0.##")&amp;"; ","")))</f>
        <v>Airway 4; Cardiovascular 5; Trauma 2; Medical 1; PAHT 1; SVAT 1; </v>
      </c>
    </row>
    <row r="170" customFormat="false" ht="15" hidden="false" customHeight="true" outlineLevel="0" collapsed="false">
      <c r="A170" s="11" t="s">
        <v>316</v>
      </c>
      <c r="B170" s="12" t="s">
        <v>317</v>
      </c>
      <c r="C170" s="13" t="n">
        <v>46752</v>
      </c>
      <c r="D170" s="14" t="n">
        <f aca="false">IF(C170="","",DATE(YEAR(C170)-1,1,1))</f>
        <v>46023</v>
      </c>
      <c r="E170" s="14" t="n">
        <f aca="false">IF(C170="","",DATE(YEAR(C170),12,31))</f>
        <v>46752</v>
      </c>
      <c r="F170" s="15" t="n">
        <f aca="false">IF(OR(A170="",C170=""),"",SUMPRODUCT(('Training Detail'!$A$5:$A$5000=A170)*('Training Detail'!$M$5:$M$5000=Standards!A2)*('Training Detail'!$G$5:$G$5000&gt;=D170)*('Training Detail'!$G$5:$G$5000&lt;=E170)*('Training Detail'!$P$5:$P$5000)))</f>
        <v>0</v>
      </c>
      <c r="G170" s="15" t="n">
        <f aca="false">IF(OR(A170="",C170=""),"",SUMPRODUCT(('Training Detail'!$A$5:$A$5000=A170)*('Training Detail'!$M$5:$M$5000=Standards!A3)*('Training Detail'!$G$5:$G$5000&gt;=D170)*('Training Detail'!$G$5:$G$5000&lt;=E170)*('Training Detail'!$P$5:$P$5000)))</f>
        <v>0</v>
      </c>
      <c r="H170" s="15" t="n">
        <f aca="false">IF(OR(A170="",C170=""),"",SUMPRODUCT(('Training Detail'!$A$5:$A$5000=A170)*('Training Detail'!$M$5:$M$5000=Standards!A4)*('Training Detail'!$G$5:$G$5000&gt;=D170)*('Training Detail'!$G$5:$G$5000&lt;=E170)*('Training Detail'!$P$5:$P$5000)))</f>
        <v>2</v>
      </c>
      <c r="I170" s="15" t="n">
        <f aca="false">IF(OR(A170="",C170=""),"",SUMPRODUCT(('Training Detail'!$A$5:$A$5000=A170)*('Training Detail'!$M$5:$M$5000=Standards!A5)*('Training Detail'!$G$5:$G$5000&gt;=D170)*('Training Detail'!$G$5:$G$5000&lt;=E170)*('Training Detail'!$P$5:$P$5000)))</f>
        <v>0</v>
      </c>
      <c r="J170" s="15" t="n">
        <f aca="false">IF(OR(A170="",C170=""),"",SUMPRODUCT(('Training Detail'!$A$5:$A$5000=A170)*('Training Detail'!$M$5:$M$5000=Standards!A6)*('Training Detail'!$G$5:$G$5000&gt;=D170)*('Training Detail'!$G$5:$G$5000&lt;=E170)*('Training Detail'!$P$5:$P$5000)))</f>
        <v>1</v>
      </c>
      <c r="K170" s="15" t="n">
        <f aca="false">IF(OR(A170="",C170=""),"",SUMPRODUCT(('Training Detail'!$A$5:$A$5000=A170)*('Training Detail'!$M$5:$M$5000=Standards!A7)*('Training Detail'!$G$5:$G$5000&gt;=D170)*('Training Detail'!$G$5:$G$5000&lt;=E170)*('Training Detail'!$P$5:$P$5000)))</f>
        <v>0</v>
      </c>
      <c r="L170" s="15" t="n">
        <f aca="false">IF(OR(A170="",C170=""),"",SUMPRODUCT(('Training Detail'!$A$5:$A$5000=A170)*('Training Detail'!$M$5:$M$5000=Standards!A8)*('Training Detail'!$G$5:$G$5000&gt;=D170)*('Training Detail'!$G$5:$G$5000&lt;=E170)*('Training Detail'!$P$5:$P$5000)))</f>
        <v>0</v>
      </c>
      <c r="M170" s="16" t="n">
        <f aca="false">IF(OR(A170="",C170=""),"",SUMPRODUCT(('Training Detail'!$A$5:$A$5000=A170)*('Training Detail'!$M$5:$M$5000=Standards!A9)*('Training Detail'!$G$5:$G$5000&gt;=D170)*('Training Detail'!$G$5:$G$5000&lt;=E170)*('Training Detail'!$P$5:$P$5000)))</f>
        <v>0</v>
      </c>
      <c r="N170" s="17" t="str">
        <f aca="false">IF(A170="","",IF(C170="","Set exp date",IF(AND(F170&gt;=Requirements!B5,G170&gt;=Requirements!B6,H170&gt;=Requirements!B7,I170&gt;=Requirements!B8,J170&gt;=Requirements!B9,K170&gt;=Requirements!B10,L170&gt;=Requirements!B11,M170&gt;=Requirements!B12),"Met","Short")))</f>
        <v>Short</v>
      </c>
      <c r="O170" s="18" t="str">
        <f aca="false">IF(OR(A170="",C170=""),"",IF(N170="Met","",IF(F170&lt;Requirements!B5,Requirements!A5&amp;" "&amp;TEXT(Requirements!B5-F170,"0.##")&amp;"; ","")&amp;IF(G170&lt;Requirements!B6,Requirements!A6&amp;" "&amp;TEXT(Requirements!B6-G170,"0.##")&amp;"; ","")&amp;IF(H170&lt;Requirements!B7,Requirements!A7&amp;" "&amp;TEXT(Requirements!B7-H170,"0.##")&amp;"; ","")&amp;IF(I170&lt;Requirements!B8,Requirements!A8&amp;" "&amp;TEXT(Requirements!B8-I170,"0.##")&amp;"; ","")&amp;IF(J170&lt;Requirements!B9,Requirements!A9&amp;" "&amp;TEXT(Requirements!B9-J170,"0.##")&amp;"; ","")&amp;IF(K170&lt;Requirements!B10,Requirements!A10&amp;" "&amp;TEXT(Requirements!B10-K170,"0.##")&amp;"; ","")&amp;IF(L170&lt;Requirements!B11,Requirements!A11&amp;" "&amp;TEXT(Requirements!B11-L170,"0.##")&amp;"; ","")&amp;IF(M170&lt;Requirements!B12,Requirements!A12&amp;" "&amp;TEXT(Requirements!B12-M170,"0.##")&amp;"; ","")))</f>
        <v>Airway 4; Cardiovascular 5; Trauma 1; Medical 6; Operations 1; PAHT 1; SVAT 1; CPR/AED 1; </v>
      </c>
    </row>
    <row r="171" customFormat="false" ht="15" hidden="false" customHeight="true" outlineLevel="0" collapsed="false">
      <c r="A171" s="19" t="s">
        <v>318</v>
      </c>
      <c r="B171" s="20" t="s">
        <v>319</v>
      </c>
      <c r="C171" s="13" t="n">
        <v>46387</v>
      </c>
      <c r="D171" s="21" t="n">
        <f aca="false">IF(C171="","",DATE(YEAR(C171)-1,1,1))</f>
        <v>45658</v>
      </c>
      <c r="E171" s="21" t="n">
        <f aca="false">IF(C171="","",DATE(YEAR(C171),12,31))</f>
        <v>46387</v>
      </c>
      <c r="F171" s="15" t="n">
        <f aca="false">IF(OR(A171="",C171=""),"",SUMPRODUCT(('Training Detail'!$A$5:$A$5000=A171)*('Training Detail'!$M$5:$M$5000=Standards!A2)*('Training Detail'!$G$5:$G$5000&gt;=D171)*('Training Detail'!$G$5:$G$5000&lt;=E171)*('Training Detail'!$P$5:$P$5000)))</f>
        <v>4</v>
      </c>
      <c r="G171" s="15" t="n">
        <f aca="false">IF(OR(A171="",C171=""),"",SUMPRODUCT(('Training Detail'!$A$5:$A$5000=A171)*('Training Detail'!$M$5:$M$5000=Standards!A3)*('Training Detail'!$G$5:$G$5000&gt;=D171)*('Training Detail'!$G$5:$G$5000&lt;=E171)*('Training Detail'!$P$5:$P$5000)))</f>
        <v>5</v>
      </c>
      <c r="H171" s="15" t="n">
        <f aca="false">IF(OR(A171="",C171=""),"",SUMPRODUCT(('Training Detail'!$A$5:$A$5000=A171)*('Training Detail'!$M$5:$M$5000=Standards!A4)*('Training Detail'!$G$5:$G$5000&gt;=D171)*('Training Detail'!$G$5:$G$5000&lt;=E171)*('Training Detail'!$P$5:$P$5000)))</f>
        <v>6.5</v>
      </c>
      <c r="I171" s="15" t="n">
        <f aca="false">IF(OR(A171="",C171=""),"",SUMPRODUCT(('Training Detail'!$A$5:$A$5000=A171)*('Training Detail'!$M$5:$M$5000=Standards!A5)*('Training Detail'!$G$5:$G$5000&gt;=D171)*('Training Detail'!$G$5:$G$5000&lt;=E171)*('Training Detail'!$P$5:$P$5000)))</f>
        <v>11.5</v>
      </c>
      <c r="J171" s="15" t="n">
        <f aca="false">IF(OR(A171="",C171=""),"",SUMPRODUCT(('Training Detail'!$A$5:$A$5000=A171)*('Training Detail'!$M$5:$M$5000=Standards!A6)*('Training Detail'!$G$5:$G$5000&gt;=D171)*('Training Detail'!$G$5:$G$5000&lt;=E171)*('Training Detail'!$P$5:$P$5000)))</f>
        <v>1</v>
      </c>
      <c r="K171" s="15" t="n">
        <f aca="false">IF(OR(A171="",C171=""),"",SUMPRODUCT(('Training Detail'!$A$5:$A$5000=A171)*('Training Detail'!$M$5:$M$5000=Standards!A7)*('Training Detail'!$G$5:$G$5000&gt;=D171)*('Training Detail'!$G$5:$G$5000&lt;=E171)*('Training Detail'!$P$5:$P$5000)))</f>
        <v>1</v>
      </c>
      <c r="L171" s="15" t="n">
        <f aca="false">IF(OR(A171="",C171=""),"",SUMPRODUCT(('Training Detail'!$A$5:$A$5000=A171)*('Training Detail'!$M$5:$M$5000=Standards!A8)*('Training Detail'!$G$5:$G$5000&gt;=D171)*('Training Detail'!$G$5:$G$5000&lt;=E171)*('Training Detail'!$P$5:$P$5000)))</f>
        <v>1</v>
      </c>
      <c r="M171" s="16" t="n">
        <f aca="false">IF(OR(A171="",C171=""),"",SUMPRODUCT(('Training Detail'!$A$5:$A$5000=A171)*('Training Detail'!$M$5:$M$5000=Standards!A9)*('Training Detail'!$G$5:$G$5000&gt;=D171)*('Training Detail'!$G$5:$G$5000&lt;=E171)*('Training Detail'!$P$5:$P$5000)))</f>
        <v>0</v>
      </c>
      <c r="N171" s="17" t="str">
        <f aca="false">IF(A171="","",IF(C171="","Set exp date",IF(AND(F171&gt;=Requirements!B5,G171&gt;=Requirements!B6,H171&gt;=Requirements!B7,I171&gt;=Requirements!B8,J171&gt;=Requirements!B9,K171&gt;=Requirements!B10,L171&gt;=Requirements!B11,M171&gt;=Requirements!B12),"Met","Short")))</f>
        <v>Short</v>
      </c>
      <c r="O171" s="18" t="str">
        <f aca="false">IF(OR(A171="",C171=""),"",IF(N171="Met","",IF(F171&lt;Requirements!B5,Requirements!A5&amp;" "&amp;TEXT(Requirements!B5-F171,"0.##")&amp;"; ","")&amp;IF(G171&lt;Requirements!B6,Requirements!A6&amp;" "&amp;TEXT(Requirements!B6-G171,"0.##")&amp;"; ","")&amp;IF(H171&lt;Requirements!B7,Requirements!A7&amp;" "&amp;TEXT(Requirements!B7-H171,"0.##")&amp;"; ","")&amp;IF(I171&lt;Requirements!B8,Requirements!A8&amp;" "&amp;TEXT(Requirements!B8-I171,"0.##")&amp;"; ","")&amp;IF(J171&lt;Requirements!B9,Requirements!A9&amp;" "&amp;TEXT(Requirements!B9-J171,"0.##")&amp;"; ","")&amp;IF(K171&lt;Requirements!B10,Requirements!A10&amp;" "&amp;TEXT(Requirements!B10-K171,"0.##")&amp;"; ","")&amp;IF(L171&lt;Requirements!B11,Requirements!A11&amp;" "&amp;TEXT(Requirements!B11-L171,"0.##")&amp;"; ","")&amp;IF(M171&lt;Requirements!B12,Requirements!A12&amp;" "&amp;TEXT(Requirements!B12-M171,"0.##")&amp;"; ","")))</f>
        <v>Operations 1; CPR/AED 1; </v>
      </c>
    </row>
    <row r="172" customFormat="false" ht="15" hidden="false" customHeight="true" outlineLevel="0" collapsed="false">
      <c r="A172" s="11" t="s">
        <v>320</v>
      </c>
      <c r="B172" s="12" t="s">
        <v>321</v>
      </c>
      <c r="C172" s="13" t="n">
        <v>46387</v>
      </c>
      <c r="D172" s="14" t="n">
        <f aca="false">IF(C172="","",DATE(YEAR(C172)-1,1,1))</f>
        <v>45658</v>
      </c>
      <c r="E172" s="14" t="n">
        <f aca="false">IF(C172="","",DATE(YEAR(C172),12,31))</f>
        <v>46387</v>
      </c>
      <c r="F172" s="15" t="n">
        <f aca="false">IF(OR(A172="",C172=""),"",SUMPRODUCT(('Training Detail'!$A$5:$A$5000=A172)*('Training Detail'!$M$5:$M$5000=Standards!A2)*('Training Detail'!$G$5:$G$5000&gt;=D172)*('Training Detail'!$G$5:$G$5000&lt;=E172)*('Training Detail'!$P$5:$P$5000)))</f>
        <v>5</v>
      </c>
      <c r="G172" s="15" t="n">
        <f aca="false">IF(OR(A172="",C172=""),"",SUMPRODUCT(('Training Detail'!$A$5:$A$5000=A172)*('Training Detail'!$M$5:$M$5000=Standards!A3)*('Training Detail'!$G$5:$G$5000&gt;=D172)*('Training Detail'!$G$5:$G$5000&lt;=E172)*('Training Detail'!$P$5:$P$5000)))</f>
        <v>8</v>
      </c>
      <c r="H172" s="15" t="n">
        <f aca="false">IF(OR(A172="",C172=""),"",SUMPRODUCT(('Training Detail'!$A$5:$A$5000=A172)*('Training Detail'!$M$5:$M$5000=Standards!A4)*('Training Detail'!$G$5:$G$5000&gt;=D172)*('Training Detail'!$G$5:$G$5000&lt;=E172)*('Training Detail'!$P$5:$P$5000)))</f>
        <v>20.5</v>
      </c>
      <c r="I172" s="15" t="n">
        <f aca="false">IF(OR(A172="",C172=""),"",SUMPRODUCT(('Training Detail'!$A$5:$A$5000=A172)*('Training Detail'!$M$5:$M$5000=Standards!A5)*('Training Detail'!$G$5:$G$5000&gt;=D172)*('Training Detail'!$G$5:$G$5000&lt;=E172)*('Training Detail'!$P$5:$P$5000)))</f>
        <v>19.5</v>
      </c>
      <c r="J172" s="15" t="n">
        <f aca="false">IF(OR(A172="",C172=""),"",SUMPRODUCT(('Training Detail'!$A$5:$A$5000=A172)*('Training Detail'!$M$5:$M$5000=Standards!A6)*('Training Detail'!$G$5:$G$5000&gt;=D172)*('Training Detail'!$G$5:$G$5000&lt;=E172)*('Training Detail'!$P$5:$P$5000)))</f>
        <v>7.5</v>
      </c>
      <c r="K172" s="15" t="n">
        <f aca="false">IF(OR(A172="",C172=""),"",SUMPRODUCT(('Training Detail'!$A$5:$A$5000=A172)*('Training Detail'!$M$5:$M$5000=Standards!A7)*('Training Detail'!$G$5:$G$5000&gt;=D172)*('Training Detail'!$G$5:$G$5000&lt;=E172)*('Training Detail'!$P$5:$P$5000)))</f>
        <v>0</v>
      </c>
      <c r="L172" s="15" t="n">
        <f aca="false">IF(OR(A172="",C172=""),"",SUMPRODUCT(('Training Detail'!$A$5:$A$5000=A172)*('Training Detail'!$M$5:$M$5000=Standards!A8)*('Training Detail'!$G$5:$G$5000&gt;=D172)*('Training Detail'!$G$5:$G$5000&lt;=E172)*('Training Detail'!$P$5:$P$5000)))</f>
        <v>0</v>
      </c>
      <c r="M172" s="16" t="n">
        <f aca="false">IF(OR(A172="",C172=""),"",SUMPRODUCT(('Training Detail'!$A$5:$A$5000=A172)*('Training Detail'!$M$5:$M$5000=Standards!A9)*('Training Detail'!$G$5:$G$5000&gt;=D172)*('Training Detail'!$G$5:$G$5000&lt;=E172)*('Training Detail'!$P$5:$P$5000)))</f>
        <v>0</v>
      </c>
      <c r="N172" s="17" t="str">
        <f aca="false">IF(A172="","",IF(C172="","Set exp date",IF(AND(F172&gt;=Requirements!B5,G172&gt;=Requirements!B6,H172&gt;=Requirements!B7,I172&gt;=Requirements!B8,J172&gt;=Requirements!B9,K172&gt;=Requirements!B10,L172&gt;=Requirements!B11,M172&gt;=Requirements!B12),"Met","Short")))</f>
        <v>Short</v>
      </c>
      <c r="O172" s="18" t="str">
        <f aca="false">IF(OR(A172="",C172=""),"",IF(N172="Met","",IF(F172&lt;Requirements!B5,Requirements!A5&amp;" "&amp;TEXT(Requirements!B5-F172,"0.##")&amp;"; ","")&amp;IF(G172&lt;Requirements!B6,Requirements!A6&amp;" "&amp;TEXT(Requirements!B6-G172,"0.##")&amp;"; ","")&amp;IF(H172&lt;Requirements!B7,Requirements!A7&amp;" "&amp;TEXT(Requirements!B7-H172,"0.##")&amp;"; ","")&amp;IF(I172&lt;Requirements!B8,Requirements!A8&amp;" "&amp;TEXT(Requirements!B8-I172,"0.##")&amp;"; ","")&amp;IF(J172&lt;Requirements!B9,Requirements!A9&amp;" "&amp;TEXT(Requirements!B9-J172,"0.##")&amp;"; ","")&amp;IF(K172&lt;Requirements!B10,Requirements!A10&amp;" "&amp;TEXT(Requirements!B10-K172,"0.##")&amp;"; ","")&amp;IF(L172&lt;Requirements!B11,Requirements!A11&amp;" "&amp;TEXT(Requirements!B11-L172,"0.##")&amp;"; ","")&amp;IF(M172&lt;Requirements!B12,Requirements!A12&amp;" "&amp;TEXT(Requirements!B12-M172,"0.##")&amp;"; ","")))</f>
        <v>PAHT 1; SVAT 1; CPR/AED 1; </v>
      </c>
    </row>
    <row r="173" customFormat="false" ht="15" hidden="false" customHeight="true" outlineLevel="0" collapsed="false">
      <c r="A173" s="19" t="s">
        <v>322</v>
      </c>
      <c r="B173" s="20"/>
      <c r="C173" s="13"/>
      <c r="D173" s="21" t="str">
        <f aca="false">IF(C173="","",DATE(YEAR(C173)-1,1,1))</f>
        <v/>
      </c>
      <c r="E173" s="21" t="str">
        <f aca="false">IF(C173="","",DATE(YEAR(C173),12,31))</f>
        <v/>
      </c>
      <c r="F173" s="15" t="str">
        <f aca="false">IF(OR(A173="",C173=""),"",SUMPRODUCT(('Training Detail'!$A$5:$A$5000=A173)*('Training Detail'!$M$5:$M$5000=Standards!A2)*('Training Detail'!$G$5:$G$5000&gt;=D173)*('Training Detail'!$G$5:$G$5000&lt;=E173)*('Training Detail'!$P$5:$P$5000)))</f>
        <v/>
      </c>
      <c r="G173" s="15" t="str">
        <f aca="false">IF(OR(A173="",C173=""),"",SUMPRODUCT(('Training Detail'!$A$5:$A$5000=A173)*('Training Detail'!$M$5:$M$5000=Standards!A3)*('Training Detail'!$G$5:$G$5000&gt;=D173)*('Training Detail'!$G$5:$G$5000&lt;=E173)*('Training Detail'!$P$5:$P$5000)))</f>
        <v/>
      </c>
      <c r="H173" s="15" t="str">
        <f aca="false">IF(OR(A173="",C173=""),"",SUMPRODUCT(('Training Detail'!$A$5:$A$5000=A173)*('Training Detail'!$M$5:$M$5000=Standards!A4)*('Training Detail'!$G$5:$G$5000&gt;=D173)*('Training Detail'!$G$5:$G$5000&lt;=E173)*('Training Detail'!$P$5:$P$5000)))</f>
        <v/>
      </c>
      <c r="I173" s="15" t="str">
        <f aca="false">IF(OR(A173="",C173=""),"",SUMPRODUCT(('Training Detail'!$A$5:$A$5000=A173)*('Training Detail'!$M$5:$M$5000=Standards!A5)*('Training Detail'!$G$5:$G$5000&gt;=D173)*('Training Detail'!$G$5:$G$5000&lt;=E173)*('Training Detail'!$P$5:$P$5000)))</f>
        <v/>
      </c>
      <c r="J173" s="15" t="str">
        <f aca="false">IF(OR(A173="",C173=""),"",SUMPRODUCT(('Training Detail'!$A$5:$A$5000=A173)*('Training Detail'!$M$5:$M$5000=Standards!A6)*('Training Detail'!$G$5:$G$5000&gt;=D173)*('Training Detail'!$G$5:$G$5000&lt;=E173)*('Training Detail'!$P$5:$P$5000)))</f>
        <v/>
      </c>
      <c r="K173" s="15" t="str">
        <f aca="false">IF(OR(A173="",C173=""),"",SUMPRODUCT(('Training Detail'!$A$5:$A$5000=A173)*('Training Detail'!$M$5:$M$5000=Standards!A7)*('Training Detail'!$G$5:$G$5000&gt;=D173)*('Training Detail'!$G$5:$G$5000&lt;=E173)*('Training Detail'!$P$5:$P$5000)))</f>
        <v/>
      </c>
      <c r="L173" s="15" t="str">
        <f aca="false">IF(OR(A173="",C173=""),"",SUMPRODUCT(('Training Detail'!$A$5:$A$5000=A173)*('Training Detail'!$M$5:$M$5000=Standards!A8)*('Training Detail'!$G$5:$G$5000&gt;=D173)*('Training Detail'!$G$5:$G$5000&lt;=E173)*('Training Detail'!$P$5:$P$5000)))</f>
        <v/>
      </c>
      <c r="M173" s="16" t="str">
        <f aca="false">IF(OR(A173="",C173=""),"",SUMPRODUCT(('Training Detail'!$A$5:$A$5000=A173)*('Training Detail'!$M$5:$M$5000=Standards!A9)*('Training Detail'!$G$5:$G$5000&gt;=D173)*('Training Detail'!$G$5:$G$5000&lt;=E173)*('Training Detail'!$P$5:$P$5000)))</f>
        <v/>
      </c>
      <c r="N173" s="17" t="str">
        <f aca="false">IF(A173="","",IF(C173="","Set exp date",IF(AND(F173&gt;=Requirements!B5,G173&gt;=Requirements!B6,H173&gt;=Requirements!B7,I173&gt;=Requirements!B8,J173&gt;=Requirements!B9,K173&gt;=Requirements!B10,L173&gt;=Requirements!B11,M173&gt;=Requirements!B12),"Met","Short")))</f>
        <v>Set exp date</v>
      </c>
      <c r="O173" s="18" t="str">
        <f aca="false">IF(OR(A173="",C173=""),"",IF(N173="Met","",IF(F173&lt;Requirements!B5,Requirements!A5&amp;" "&amp;TEXT(Requirements!B5-F173,"0.##")&amp;"; ","")&amp;IF(G173&lt;Requirements!B6,Requirements!A6&amp;" "&amp;TEXT(Requirements!B6-G173,"0.##")&amp;"; ","")&amp;IF(H173&lt;Requirements!B7,Requirements!A7&amp;" "&amp;TEXT(Requirements!B7-H173,"0.##")&amp;"; ","")&amp;IF(I173&lt;Requirements!B8,Requirements!A8&amp;" "&amp;TEXT(Requirements!B8-I173,"0.##")&amp;"; ","")&amp;IF(J173&lt;Requirements!B9,Requirements!A9&amp;" "&amp;TEXT(Requirements!B9-J173,"0.##")&amp;"; ","")&amp;IF(K173&lt;Requirements!B10,Requirements!A10&amp;" "&amp;TEXT(Requirements!B10-K173,"0.##")&amp;"; ","")&amp;IF(L173&lt;Requirements!B11,Requirements!A11&amp;" "&amp;TEXT(Requirements!B11-L173,"0.##")&amp;"; ","")&amp;IF(M173&lt;Requirements!B12,Requirements!A12&amp;" "&amp;TEXT(Requirements!B12-M173,"0.##")&amp;"; ","")))</f>
        <v/>
      </c>
    </row>
    <row r="174" customFormat="false" ht="15" hidden="false" customHeight="true" outlineLevel="0" collapsed="false">
      <c r="A174" s="11" t="s">
        <v>323</v>
      </c>
      <c r="B174" s="12"/>
      <c r="C174" s="13"/>
      <c r="D174" s="14" t="str">
        <f aca="false">IF(C174="","",DATE(YEAR(C174)-1,1,1))</f>
        <v/>
      </c>
      <c r="E174" s="14" t="str">
        <f aca="false">IF(C174="","",DATE(YEAR(C174),12,31))</f>
        <v/>
      </c>
      <c r="F174" s="15" t="str">
        <f aca="false">IF(OR(A174="",C174=""),"",SUMPRODUCT(('Training Detail'!$A$5:$A$5000=A174)*('Training Detail'!$M$5:$M$5000=Standards!A2)*('Training Detail'!$G$5:$G$5000&gt;=D174)*('Training Detail'!$G$5:$G$5000&lt;=E174)*('Training Detail'!$P$5:$P$5000)))</f>
        <v/>
      </c>
      <c r="G174" s="15" t="str">
        <f aca="false">IF(OR(A174="",C174=""),"",SUMPRODUCT(('Training Detail'!$A$5:$A$5000=A174)*('Training Detail'!$M$5:$M$5000=Standards!A3)*('Training Detail'!$G$5:$G$5000&gt;=D174)*('Training Detail'!$G$5:$G$5000&lt;=E174)*('Training Detail'!$P$5:$P$5000)))</f>
        <v/>
      </c>
      <c r="H174" s="15" t="str">
        <f aca="false">IF(OR(A174="",C174=""),"",SUMPRODUCT(('Training Detail'!$A$5:$A$5000=A174)*('Training Detail'!$M$5:$M$5000=Standards!A4)*('Training Detail'!$G$5:$G$5000&gt;=D174)*('Training Detail'!$G$5:$G$5000&lt;=E174)*('Training Detail'!$P$5:$P$5000)))</f>
        <v/>
      </c>
      <c r="I174" s="15" t="str">
        <f aca="false">IF(OR(A174="",C174=""),"",SUMPRODUCT(('Training Detail'!$A$5:$A$5000=A174)*('Training Detail'!$M$5:$M$5000=Standards!A5)*('Training Detail'!$G$5:$G$5000&gt;=D174)*('Training Detail'!$G$5:$G$5000&lt;=E174)*('Training Detail'!$P$5:$P$5000)))</f>
        <v/>
      </c>
      <c r="J174" s="15" t="str">
        <f aca="false">IF(OR(A174="",C174=""),"",SUMPRODUCT(('Training Detail'!$A$5:$A$5000=A174)*('Training Detail'!$M$5:$M$5000=Standards!A6)*('Training Detail'!$G$5:$G$5000&gt;=D174)*('Training Detail'!$G$5:$G$5000&lt;=E174)*('Training Detail'!$P$5:$P$5000)))</f>
        <v/>
      </c>
      <c r="K174" s="15" t="str">
        <f aca="false">IF(OR(A174="",C174=""),"",SUMPRODUCT(('Training Detail'!$A$5:$A$5000=A174)*('Training Detail'!$M$5:$M$5000=Standards!A7)*('Training Detail'!$G$5:$G$5000&gt;=D174)*('Training Detail'!$G$5:$G$5000&lt;=E174)*('Training Detail'!$P$5:$P$5000)))</f>
        <v/>
      </c>
      <c r="L174" s="15" t="str">
        <f aca="false">IF(OR(A174="",C174=""),"",SUMPRODUCT(('Training Detail'!$A$5:$A$5000=A174)*('Training Detail'!$M$5:$M$5000=Standards!A8)*('Training Detail'!$G$5:$G$5000&gt;=D174)*('Training Detail'!$G$5:$G$5000&lt;=E174)*('Training Detail'!$P$5:$P$5000)))</f>
        <v/>
      </c>
      <c r="M174" s="16" t="str">
        <f aca="false">IF(OR(A174="",C174=""),"",SUMPRODUCT(('Training Detail'!$A$5:$A$5000=A174)*('Training Detail'!$M$5:$M$5000=Standards!A9)*('Training Detail'!$G$5:$G$5000&gt;=D174)*('Training Detail'!$G$5:$G$5000&lt;=E174)*('Training Detail'!$P$5:$P$5000)))</f>
        <v/>
      </c>
      <c r="N174" s="17" t="str">
        <f aca="false">IF(A174="","",IF(C174="","Set exp date",IF(AND(F174&gt;=Requirements!B5,G174&gt;=Requirements!B6,H174&gt;=Requirements!B7,I174&gt;=Requirements!B8,J174&gt;=Requirements!B9,K174&gt;=Requirements!B10,L174&gt;=Requirements!B11,M174&gt;=Requirements!B12),"Met","Short")))</f>
        <v>Set exp date</v>
      </c>
      <c r="O174" s="18" t="str">
        <f aca="false">IF(OR(A174="",C174=""),"",IF(N174="Met","",IF(F174&lt;Requirements!B5,Requirements!A5&amp;" "&amp;TEXT(Requirements!B5-F174,"0.##")&amp;"; ","")&amp;IF(G174&lt;Requirements!B6,Requirements!A6&amp;" "&amp;TEXT(Requirements!B6-G174,"0.##")&amp;"; ","")&amp;IF(H174&lt;Requirements!B7,Requirements!A7&amp;" "&amp;TEXT(Requirements!B7-H174,"0.##")&amp;"; ","")&amp;IF(I174&lt;Requirements!B8,Requirements!A8&amp;" "&amp;TEXT(Requirements!B8-I174,"0.##")&amp;"; ","")&amp;IF(J174&lt;Requirements!B9,Requirements!A9&amp;" "&amp;TEXT(Requirements!B9-J174,"0.##")&amp;"; ","")&amp;IF(K174&lt;Requirements!B10,Requirements!A10&amp;" "&amp;TEXT(Requirements!B10-K174,"0.##")&amp;"; ","")&amp;IF(L174&lt;Requirements!B11,Requirements!A11&amp;" "&amp;TEXT(Requirements!B11-L174,"0.##")&amp;"; ","")&amp;IF(M174&lt;Requirements!B12,Requirements!A12&amp;" "&amp;TEXT(Requirements!B12-M174,"0.##")&amp;"; ","")))</f>
        <v/>
      </c>
    </row>
    <row r="175" customFormat="false" ht="15" hidden="false" customHeight="true" outlineLevel="0" collapsed="false">
      <c r="A175" s="19" t="s">
        <v>324</v>
      </c>
      <c r="B175" s="20" t="s">
        <v>325</v>
      </c>
      <c r="C175" s="13" t="n">
        <v>46387</v>
      </c>
      <c r="D175" s="21" t="n">
        <f aca="false">IF(C175="","",DATE(YEAR(C175)-1,1,1))</f>
        <v>45658</v>
      </c>
      <c r="E175" s="21" t="n">
        <f aca="false">IF(C175="","",DATE(YEAR(C175),12,31))</f>
        <v>46387</v>
      </c>
      <c r="F175" s="15" t="n">
        <f aca="false">IF(OR(A175="",C175=""),"",SUMPRODUCT(('Training Detail'!$A$5:$A$5000=A175)*('Training Detail'!$M$5:$M$5000=Standards!A2)*('Training Detail'!$G$5:$G$5000&gt;=D175)*('Training Detail'!$G$5:$G$5000&lt;=E175)*('Training Detail'!$P$5:$P$5000)))</f>
        <v>0</v>
      </c>
      <c r="G175" s="15" t="n">
        <f aca="false">IF(OR(A175="",C175=""),"",SUMPRODUCT(('Training Detail'!$A$5:$A$5000=A175)*('Training Detail'!$M$5:$M$5000=Standards!A3)*('Training Detail'!$G$5:$G$5000&gt;=D175)*('Training Detail'!$G$5:$G$5000&lt;=E175)*('Training Detail'!$P$5:$P$5000)))</f>
        <v>1</v>
      </c>
      <c r="H175" s="15" t="n">
        <f aca="false">IF(OR(A175="",C175=""),"",SUMPRODUCT(('Training Detail'!$A$5:$A$5000=A175)*('Training Detail'!$M$5:$M$5000=Standards!A4)*('Training Detail'!$G$5:$G$5000&gt;=D175)*('Training Detail'!$G$5:$G$5000&lt;=E175)*('Training Detail'!$P$5:$P$5000)))</f>
        <v>11</v>
      </c>
      <c r="I175" s="15" t="n">
        <f aca="false">IF(OR(A175="",C175=""),"",SUMPRODUCT(('Training Detail'!$A$5:$A$5000=A175)*('Training Detail'!$M$5:$M$5000=Standards!A5)*('Training Detail'!$G$5:$G$5000&gt;=D175)*('Training Detail'!$G$5:$G$5000&lt;=E175)*('Training Detail'!$P$5:$P$5000)))</f>
        <v>0</v>
      </c>
      <c r="J175" s="15" t="n">
        <f aca="false">IF(OR(A175="",C175=""),"",SUMPRODUCT(('Training Detail'!$A$5:$A$5000=A175)*('Training Detail'!$M$5:$M$5000=Standards!A6)*('Training Detail'!$G$5:$G$5000&gt;=D175)*('Training Detail'!$G$5:$G$5000&lt;=E175)*('Training Detail'!$P$5:$P$5000)))</f>
        <v>0</v>
      </c>
      <c r="K175" s="15" t="n">
        <f aca="false">IF(OR(A175="",C175=""),"",SUMPRODUCT(('Training Detail'!$A$5:$A$5000=A175)*('Training Detail'!$M$5:$M$5000=Standards!A7)*('Training Detail'!$G$5:$G$5000&gt;=D175)*('Training Detail'!$G$5:$G$5000&lt;=E175)*('Training Detail'!$P$5:$P$5000)))</f>
        <v>0</v>
      </c>
      <c r="L175" s="15" t="n">
        <f aca="false">IF(OR(A175="",C175=""),"",SUMPRODUCT(('Training Detail'!$A$5:$A$5000=A175)*('Training Detail'!$M$5:$M$5000=Standards!A8)*('Training Detail'!$G$5:$G$5000&gt;=D175)*('Training Detail'!$G$5:$G$5000&lt;=E175)*('Training Detail'!$P$5:$P$5000)))</f>
        <v>0</v>
      </c>
      <c r="M175" s="16" t="n">
        <f aca="false">IF(OR(A175="",C175=""),"",SUMPRODUCT(('Training Detail'!$A$5:$A$5000=A175)*('Training Detail'!$M$5:$M$5000=Standards!A9)*('Training Detail'!$G$5:$G$5000&gt;=D175)*('Training Detail'!$G$5:$G$5000&lt;=E175)*('Training Detail'!$P$5:$P$5000)))</f>
        <v>0.5</v>
      </c>
      <c r="N175" s="17" t="str">
        <f aca="false">IF(A175="","",IF(C175="","Set exp date",IF(AND(F175&gt;=Requirements!B5,G175&gt;=Requirements!B6,H175&gt;=Requirements!B7,I175&gt;=Requirements!B8,J175&gt;=Requirements!B9,K175&gt;=Requirements!B10,L175&gt;=Requirements!B11,M175&gt;=Requirements!B12),"Met","Short")))</f>
        <v>Short</v>
      </c>
      <c r="O175" s="18" t="str">
        <f aca="false">IF(OR(A175="",C175=""),"",IF(N175="Met","",IF(F175&lt;Requirements!B5,Requirements!A5&amp;" "&amp;TEXT(Requirements!B5-F175,"0.##")&amp;"; ","")&amp;IF(G175&lt;Requirements!B6,Requirements!A6&amp;" "&amp;TEXT(Requirements!B6-G175,"0.##")&amp;"; ","")&amp;IF(H175&lt;Requirements!B7,Requirements!A7&amp;" "&amp;TEXT(Requirements!B7-H175,"0.##")&amp;"; ","")&amp;IF(I175&lt;Requirements!B8,Requirements!A8&amp;" "&amp;TEXT(Requirements!B8-I175,"0.##")&amp;"; ","")&amp;IF(J175&lt;Requirements!B9,Requirements!A9&amp;" "&amp;TEXT(Requirements!B9-J175,"0.##")&amp;"; ","")&amp;IF(K175&lt;Requirements!B10,Requirements!A10&amp;" "&amp;TEXT(Requirements!B10-K175,"0.##")&amp;"; ","")&amp;IF(L175&lt;Requirements!B11,Requirements!A11&amp;" "&amp;TEXT(Requirements!B11-L175,"0.##")&amp;"; ","")&amp;IF(M175&lt;Requirements!B12,Requirements!A12&amp;" "&amp;TEXT(Requirements!B12-M175,"0.##")&amp;"; ","")))</f>
        <v>Airway 4; Cardiovascular 4; Medical 6; Operations 2; PAHT 1; SVAT 1; CPR/AED 0.5; </v>
      </c>
    </row>
    <row r="176" customFormat="false" ht="15" hidden="false" customHeight="true" outlineLevel="0" collapsed="false">
      <c r="A176" s="11" t="s">
        <v>326</v>
      </c>
      <c r="B176" s="12" t="s">
        <v>327</v>
      </c>
      <c r="C176" s="13" t="n">
        <v>46387</v>
      </c>
      <c r="D176" s="14" t="n">
        <f aca="false">IF(C176="","",DATE(YEAR(C176)-1,1,1))</f>
        <v>45658</v>
      </c>
      <c r="E176" s="14" t="n">
        <f aca="false">IF(C176="","",DATE(YEAR(C176),12,31))</f>
        <v>46387</v>
      </c>
      <c r="F176" s="15" t="n">
        <f aca="false">IF(OR(A176="",C176=""),"",SUMPRODUCT(('Training Detail'!$A$5:$A$5000=A176)*('Training Detail'!$M$5:$M$5000=Standards!A2)*('Training Detail'!$G$5:$G$5000&gt;=D176)*('Training Detail'!$G$5:$G$5000&lt;=E176)*('Training Detail'!$P$5:$P$5000)))</f>
        <v>0</v>
      </c>
      <c r="G176" s="15" t="n">
        <f aca="false">IF(OR(A176="",C176=""),"",SUMPRODUCT(('Training Detail'!$A$5:$A$5000=A176)*('Training Detail'!$M$5:$M$5000=Standards!A3)*('Training Detail'!$G$5:$G$5000&gt;=D176)*('Training Detail'!$G$5:$G$5000&lt;=E176)*('Training Detail'!$P$5:$P$5000)))</f>
        <v>2</v>
      </c>
      <c r="H176" s="15" t="n">
        <f aca="false">IF(OR(A176="",C176=""),"",SUMPRODUCT(('Training Detail'!$A$5:$A$5000=A176)*('Training Detail'!$M$5:$M$5000=Standards!A4)*('Training Detail'!$G$5:$G$5000&gt;=D176)*('Training Detail'!$G$5:$G$5000&lt;=E176)*('Training Detail'!$P$5:$P$5000)))</f>
        <v>5</v>
      </c>
      <c r="I176" s="15" t="n">
        <f aca="false">IF(OR(A176="",C176=""),"",SUMPRODUCT(('Training Detail'!$A$5:$A$5000=A176)*('Training Detail'!$M$5:$M$5000=Standards!A5)*('Training Detail'!$G$5:$G$5000&gt;=D176)*('Training Detail'!$G$5:$G$5000&lt;=E176)*('Training Detail'!$P$5:$P$5000)))</f>
        <v>6</v>
      </c>
      <c r="J176" s="15" t="n">
        <f aca="false">IF(OR(A176="",C176=""),"",SUMPRODUCT(('Training Detail'!$A$5:$A$5000=A176)*('Training Detail'!$M$5:$M$5000=Standards!A6)*('Training Detail'!$G$5:$G$5000&gt;=D176)*('Training Detail'!$G$5:$G$5000&lt;=E176)*('Training Detail'!$P$5:$P$5000)))</f>
        <v>2</v>
      </c>
      <c r="K176" s="15" t="n">
        <f aca="false">IF(OR(A176="",C176=""),"",SUMPRODUCT(('Training Detail'!$A$5:$A$5000=A176)*('Training Detail'!$M$5:$M$5000=Standards!A7)*('Training Detail'!$G$5:$G$5000&gt;=D176)*('Training Detail'!$G$5:$G$5000&lt;=E176)*('Training Detail'!$P$5:$P$5000)))</f>
        <v>0</v>
      </c>
      <c r="L176" s="15" t="n">
        <f aca="false">IF(OR(A176="",C176=""),"",SUMPRODUCT(('Training Detail'!$A$5:$A$5000=A176)*('Training Detail'!$M$5:$M$5000=Standards!A8)*('Training Detail'!$G$5:$G$5000&gt;=D176)*('Training Detail'!$G$5:$G$5000&lt;=E176)*('Training Detail'!$P$5:$P$5000)))</f>
        <v>0</v>
      </c>
      <c r="M176" s="16" t="n">
        <f aca="false">IF(OR(A176="",C176=""),"",SUMPRODUCT(('Training Detail'!$A$5:$A$5000=A176)*('Training Detail'!$M$5:$M$5000=Standards!A9)*('Training Detail'!$G$5:$G$5000&gt;=D176)*('Training Detail'!$G$5:$G$5000&lt;=E176)*('Training Detail'!$P$5:$P$5000)))</f>
        <v>0</v>
      </c>
      <c r="N176" s="17" t="str">
        <f aca="false">IF(A176="","",IF(C176="","Set exp date",IF(AND(F176&gt;=Requirements!B5,G176&gt;=Requirements!B6,H176&gt;=Requirements!B7,I176&gt;=Requirements!B8,J176&gt;=Requirements!B9,K176&gt;=Requirements!B10,L176&gt;=Requirements!B11,M176&gt;=Requirements!B12),"Met","Short")))</f>
        <v>Short</v>
      </c>
      <c r="O176" s="18" t="str">
        <f aca="false">IF(OR(A176="",C176=""),"",IF(N176="Met","",IF(F176&lt;Requirements!B5,Requirements!A5&amp;" "&amp;TEXT(Requirements!B5-F176,"0.##")&amp;"; ","")&amp;IF(G176&lt;Requirements!B6,Requirements!A6&amp;" "&amp;TEXT(Requirements!B6-G176,"0.##")&amp;"; ","")&amp;IF(H176&lt;Requirements!B7,Requirements!A7&amp;" "&amp;TEXT(Requirements!B7-H176,"0.##")&amp;"; ","")&amp;IF(I176&lt;Requirements!B8,Requirements!A8&amp;" "&amp;TEXT(Requirements!B8-I176,"0.##")&amp;"; ","")&amp;IF(J176&lt;Requirements!B9,Requirements!A9&amp;" "&amp;TEXT(Requirements!B9-J176,"0.##")&amp;"; ","")&amp;IF(K176&lt;Requirements!B10,Requirements!A10&amp;" "&amp;TEXT(Requirements!B10-K176,"0.##")&amp;"; ","")&amp;IF(L176&lt;Requirements!B11,Requirements!A11&amp;" "&amp;TEXT(Requirements!B11-L176,"0.##")&amp;"; ","")&amp;IF(M176&lt;Requirements!B12,Requirements!A12&amp;" "&amp;TEXT(Requirements!B12-M176,"0.##")&amp;"; ","")))</f>
        <v>Airway 4; Cardiovascular 3; PAHT 1; SVAT 1; CPR/AED 1; </v>
      </c>
    </row>
    <row r="177" customFormat="false" ht="15" hidden="false" customHeight="true" outlineLevel="0" collapsed="false">
      <c r="A177" s="19" t="s">
        <v>328</v>
      </c>
      <c r="B177" s="20" t="s">
        <v>329</v>
      </c>
      <c r="C177" s="13" t="n">
        <v>46752</v>
      </c>
      <c r="D177" s="21" t="n">
        <f aca="false">IF(C177="","",DATE(YEAR(C177)-1,1,1))</f>
        <v>46023</v>
      </c>
      <c r="E177" s="21" t="n">
        <f aca="false">IF(C177="","",DATE(YEAR(C177),12,31))</f>
        <v>46752</v>
      </c>
      <c r="F177" s="15" t="n">
        <f aca="false">IF(OR(A177="",C177=""),"",SUMPRODUCT(('Training Detail'!$A$5:$A$5000=A177)*('Training Detail'!$M$5:$M$5000=Standards!A2)*('Training Detail'!$G$5:$G$5000&gt;=D177)*('Training Detail'!$G$5:$G$5000&lt;=E177)*('Training Detail'!$P$5:$P$5000)))</f>
        <v>0</v>
      </c>
      <c r="G177" s="15" t="n">
        <f aca="false">IF(OR(A177="",C177=""),"",SUMPRODUCT(('Training Detail'!$A$5:$A$5000=A177)*('Training Detail'!$M$5:$M$5000=Standards!A3)*('Training Detail'!$G$5:$G$5000&gt;=D177)*('Training Detail'!$G$5:$G$5000&lt;=E177)*('Training Detail'!$P$5:$P$5000)))</f>
        <v>0</v>
      </c>
      <c r="H177" s="15" t="n">
        <f aca="false">IF(OR(A177="",C177=""),"",SUMPRODUCT(('Training Detail'!$A$5:$A$5000=A177)*('Training Detail'!$M$5:$M$5000=Standards!A4)*('Training Detail'!$G$5:$G$5000&gt;=D177)*('Training Detail'!$G$5:$G$5000&lt;=E177)*('Training Detail'!$P$5:$P$5000)))</f>
        <v>5</v>
      </c>
      <c r="I177" s="15" t="n">
        <f aca="false">IF(OR(A177="",C177=""),"",SUMPRODUCT(('Training Detail'!$A$5:$A$5000=A177)*('Training Detail'!$M$5:$M$5000=Standards!A5)*('Training Detail'!$G$5:$G$5000&gt;=D177)*('Training Detail'!$G$5:$G$5000&lt;=E177)*('Training Detail'!$P$5:$P$5000)))</f>
        <v>0</v>
      </c>
      <c r="J177" s="15" t="n">
        <f aca="false">IF(OR(A177="",C177=""),"",SUMPRODUCT(('Training Detail'!$A$5:$A$5000=A177)*('Training Detail'!$M$5:$M$5000=Standards!A6)*('Training Detail'!$G$5:$G$5000&gt;=D177)*('Training Detail'!$G$5:$G$5000&lt;=E177)*('Training Detail'!$P$5:$P$5000)))</f>
        <v>1</v>
      </c>
      <c r="K177" s="15" t="n">
        <f aca="false">IF(OR(A177="",C177=""),"",SUMPRODUCT(('Training Detail'!$A$5:$A$5000=A177)*('Training Detail'!$M$5:$M$5000=Standards!A7)*('Training Detail'!$G$5:$G$5000&gt;=D177)*('Training Detail'!$G$5:$G$5000&lt;=E177)*('Training Detail'!$P$5:$P$5000)))</f>
        <v>0</v>
      </c>
      <c r="L177" s="15" t="n">
        <f aca="false">IF(OR(A177="",C177=""),"",SUMPRODUCT(('Training Detail'!$A$5:$A$5000=A177)*('Training Detail'!$M$5:$M$5000=Standards!A8)*('Training Detail'!$G$5:$G$5000&gt;=D177)*('Training Detail'!$G$5:$G$5000&lt;=E177)*('Training Detail'!$P$5:$P$5000)))</f>
        <v>0</v>
      </c>
      <c r="M177" s="16" t="n">
        <f aca="false">IF(OR(A177="",C177=""),"",SUMPRODUCT(('Training Detail'!$A$5:$A$5000=A177)*('Training Detail'!$M$5:$M$5000=Standards!A9)*('Training Detail'!$G$5:$G$5000&gt;=D177)*('Training Detail'!$G$5:$G$5000&lt;=E177)*('Training Detail'!$P$5:$P$5000)))</f>
        <v>0</v>
      </c>
      <c r="N177" s="17" t="str">
        <f aca="false">IF(A177="","",IF(C177="","Set exp date",IF(AND(F177&gt;=Requirements!B5,G177&gt;=Requirements!B6,H177&gt;=Requirements!B7,I177&gt;=Requirements!B8,J177&gt;=Requirements!B9,K177&gt;=Requirements!B10,L177&gt;=Requirements!B11,M177&gt;=Requirements!B12),"Met","Short")))</f>
        <v>Short</v>
      </c>
      <c r="O177" s="18" t="str">
        <f aca="false">IF(OR(A177="",C177=""),"",IF(N177="Met","",IF(F177&lt;Requirements!B5,Requirements!A5&amp;" "&amp;TEXT(Requirements!B5-F177,"0.##")&amp;"; ","")&amp;IF(G177&lt;Requirements!B6,Requirements!A6&amp;" "&amp;TEXT(Requirements!B6-G177,"0.##")&amp;"; ","")&amp;IF(H177&lt;Requirements!B7,Requirements!A7&amp;" "&amp;TEXT(Requirements!B7-H177,"0.##")&amp;"; ","")&amp;IF(I177&lt;Requirements!B8,Requirements!A8&amp;" "&amp;TEXT(Requirements!B8-I177,"0.##")&amp;"; ","")&amp;IF(J177&lt;Requirements!B9,Requirements!A9&amp;" "&amp;TEXT(Requirements!B9-J177,"0.##")&amp;"; ","")&amp;IF(K177&lt;Requirements!B10,Requirements!A10&amp;" "&amp;TEXT(Requirements!B10-K177,"0.##")&amp;"; ","")&amp;IF(L177&lt;Requirements!B11,Requirements!A11&amp;" "&amp;TEXT(Requirements!B11-L177,"0.##")&amp;"; ","")&amp;IF(M177&lt;Requirements!B12,Requirements!A12&amp;" "&amp;TEXT(Requirements!B12-M177,"0.##")&amp;"; ","")))</f>
        <v>Airway 4; Cardiovascular 5; Medical 6; Operations 1; PAHT 1; SVAT 1; CPR/AED 1; </v>
      </c>
    </row>
    <row r="178" customFormat="false" ht="15" hidden="false" customHeight="true" outlineLevel="0" collapsed="false">
      <c r="A178" s="11" t="s">
        <v>330</v>
      </c>
      <c r="B178" s="12" t="s">
        <v>331</v>
      </c>
      <c r="C178" s="13" t="n">
        <v>46387</v>
      </c>
      <c r="D178" s="14" t="n">
        <f aca="false">IF(C178="","",DATE(YEAR(C178)-1,1,1))</f>
        <v>45658</v>
      </c>
      <c r="E178" s="14" t="n">
        <f aca="false">IF(C178="","",DATE(YEAR(C178),12,31))</f>
        <v>46387</v>
      </c>
      <c r="F178" s="15" t="n">
        <f aca="false">IF(OR(A178="",C178=""),"",SUMPRODUCT(('Training Detail'!$A$5:$A$5000=A178)*('Training Detail'!$M$5:$M$5000=Standards!A2)*('Training Detail'!$G$5:$G$5000&gt;=D178)*('Training Detail'!$G$5:$G$5000&lt;=E178)*('Training Detail'!$P$5:$P$5000)))</f>
        <v>2.5</v>
      </c>
      <c r="G178" s="15" t="n">
        <f aca="false">IF(OR(A178="",C178=""),"",SUMPRODUCT(('Training Detail'!$A$5:$A$5000=A178)*('Training Detail'!$M$5:$M$5000=Standards!A3)*('Training Detail'!$G$5:$G$5000&gt;=D178)*('Training Detail'!$G$5:$G$5000&lt;=E178)*('Training Detail'!$P$5:$P$5000)))</f>
        <v>6</v>
      </c>
      <c r="H178" s="15" t="n">
        <f aca="false">IF(OR(A178="",C178=""),"",SUMPRODUCT(('Training Detail'!$A$5:$A$5000=A178)*('Training Detail'!$M$5:$M$5000=Standards!A4)*('Training Detail'!$G$5:$G$5000&gt;=D178)*('Training Detail'!$G$5:$G$5000&lt;=E178)*('Training Detail'!$P$5:$P$5000)))</f>
        <v>3</v>
      </c>
      <c r="I178" s="15" t="n">
        <f aca="false">IF(OR(A178="",C178=""),"",SUMPRODUCT(('Training Detail'!$A$5:$A$5000=A178)*('Training Detail'!$M$5:$M$5000=Standards!A5)*('Training Detail'!$G$5:$G$5000&gt;=D178)*('Training Detail'!$G$5:$G$5000&lt;=E178)*('Training Detail'!$P$5:$P$5000)))</f>
        <v>9</v>
      </c>
      <c r="J178" s="15" t="n">
        <f aca="false">IF(OR(A178="",C178=""),"",SUMPRODUCT(('Training Detail'!$A$5:$A$5000=A178)*('Training Detail'!$M$5:$M$5000=Standards!A6)*('Training Detail'!$G$5:$G$5000&gt;=D178)*('Training Detail'!$G$5:$G$5000&lt;=E178)*('Training Detail'!$P$5:$P$5000)))</f>
        <v>4</v>
      </c>
      <c r="K178" s="15" t="n">
        <f aca="false">IF(OR(A178="",C178=""),"",SUMPRODUCT(('Training Detail'!$A$5:$A$5000=A178)*('Training Detail'!$M$5:$M$5000=Standards!A7)*('Training Detail'!$G$5:$G$5000&gt;=D178)*('Training Detail'!$G$5:$G$5000&lt;=E178)*('Training Detail'!$P$5:$P$5000)))</f>
        <v>0</v>
      </c>
      <c r="L178" s="15" t="n">
        <f aca="false">IF(OR(A178="",C178=""),"",SUMPRODUCT(('Training Detail'!$A$5:$A$5000=A178)*('Training Detail'!$M$5:$M$5000=Standards!A8)*('Training Detail'!$G$5:$G$5000&gt;=D178)*('Training Detail'!$G$5:$G$5000&lt;=E178)*('Training Detail'!$P$5:$P$5000)))</f>
        <v>0</v>
      </c>
      <c r="M178" s="16" t="n">
        <f aca="false">IF(OR(A178="",C178=""),"",SUMPRODUCT(('Training Detail'!$A$5:$A$5000=A178)*('Training Detail'!$M$5:$M$5000=Standards!A9)*('Training Detail'!$G$5:$G$5000&gt;=D178)*('Training Detail'!$G$5:$G$5000&lt;=E178)*('Training Detail'!$P$5:$P$5000)))</f>
        <v>1</v>
      </c>
      <c r="N178" s="17" t="str">
        <f aca="false">IF(A178="","",IF(C178="","Set exp date",IF(AND(F178&gt;=Requirements!B5,G178&gt;=Requirements!B6,H178&gt;=Requirements!B7,I178&gt;=Requirements!B8,J178&gt;=Requirements!B9,K178&gt;=Requirements!B10,L178&gt;=Requirements!B11,M178&gt;=Requirements!B12),"Met","Short")))</f>
        <v>Short</v>
      </c>
      <c r="O178" s="18" t="str">
        <f aca="false">IF(OR(A178="",C178=""),"",IF(N178="Met","",IF(F178&lt;Requirements!B5,Requirements!A5&amp;" "&amp;TEXT(Requirements!B5-F178,"0.##")&amp;"; ","")&amp;IF(G178&lt;Requirements!B6,Requirements!A6&amp;" "&amp;TEXT(Requirements!B6-G178,"0.##")&amp;"; ","")&amp;IF(H178&lt;Requirements!B7,Requirements!A7&amp;" "&amp;TEXT(Requirements!B7-H178,"0.##")&amp;"; ","")&amp;IF(I178&lt;Requirements!B8,Requirements!A8&amp;" "&amp;TEXT(Requirements!B8-I178,"0.##")&amp;"; ","")&amp;IF(J178&lt;Requirements!B9,Requirements!A9&amp;" "&amp;TEXT(Requirements!B9-J178,"0.##")&amp;"; ","")&amp;IF(K178&lt;Requirements!B10,Requirements!A10&amp;" "&amp;TEXT(Requirements!B10-K178,"0.##")&amp;"; ","")&amp;IF(L178&lt;Requirements!B11,Requirements!A11&amp;" "&amp;TEXT(Requirements!B11-L178,"0.##")&amp;"; ","")&amp;IF(M178&lt;Requirements!B12,Requirements!A12&amp;" "&amp;TEXT(Requirements!B12-M178,"0.##")&amp;"; ","")))</f>
        <v>Airway 1.5; PAHT 1; SVAT 1; </v>
      </c>
    </row>
    <row r="179" customFormat="false" ht="15" hidden="false" customHeight="true" outlineLevel="0" collapsed="false">
      <c r="A179" s="19" t="s">
        <v>332</v>
      </c>
      <c r="B179" s="20" t="s">
        <v>333</v>
      </c>
      <c r="C179" s="13" t="n">
        <v>46387</v>
      </c>
      <c r="D179" s="21" t="n">
        <f aca="false">IF(C179="","",DATE(YEAR(C179)-1,1,1))</f>
        <v>45658</v>
      </c>
      <c r="E179" s="21" t="n">
        <f aca="false">IF(C179="","",DATE(YEAR(C179),12,31))</f>
        <v>46387</v>
      </c>
      <c r="F179" s="15" t="n">
        <f aca="false">IF(OR(A179="",C179=""),"",SUMPRODUCT(('Training Detail'!$A$5:$A$5000=A179)*('Training Detail'!$M$5:$M$5000=Standards!A2)*('Training Detail'!$G$5:$G$5000&gt;=D179)*('Training Detail'!$G$5:$G$5000&lt;=E179)*('Training Detail'!$P$5:$P$5000)))</f>
        <v>4.5</v>
      </c>
      <c r="G179" s="15" t="n">
        <f aca="false">IF(OR(A179="",C179=""),"",SUMPRODUCT(('Training Detail'!$A$5:$A$5000=A179)*('Training Detail'!$M$5:$M$5000=Standards!A3)*('Training Detail'!$G$5:$G$5000&gt;=D179)*('Training Detail'!$G$5:$G$5000&lt;=E179)*('Training Detail'!$P$5:$P$5000)))</f>
        <v>3.5</v>
      </c>
      <c r="H179" s="15" t="n">
        <f aca="false">IF(OR(A179="",C179=""),"",SUMPRODUCT(('Training Detail'!$A$5:$A$5000=A179)*('Training Detail'!$M$5:$M$5000=Standards!A4)*('Training Detail'!$G$5:$G$5000&gt;=D179)*('Training Detail'!$G$5:$G$5000&lt;=E179)*('Training Detail'!$P$5:$P$5000)))</f>
        <v>3</v>
      </c>
      <c r="I179" s="15" t="n">
        <f aca="false">IF(OR(A179="",C179=""),"",SUMPRODUCT(('Training Detail'!$A$5:$A$5000=A179)*('Training Detail'!$M$5:$M$5000=Standards!A5)*('Training Detail'!$G$5:$G$5000&gt;=D179)*('Training Detail'!$G$5:$G$5000&lt;=E179)*('Training Detail'!$P$5:$P$5000)))</f>
        <v>6</v>
      </c>
      <c r="J179" s="15" t="n">
        <f aca="false">IF(OR(A179="",C179=""),"",SUMPRODUCT(('Training Detail'!$A$5:$A$5000=A179)*('Training Detail'!$M$5:$M$5000=Standards!A6)*('Training Detail'!$G$5:$G$5000&gt;=D179)*('Training Detail'!$G$5:$G$5000&lt;=E179)*('Training Detail'!$P$5:$P$5000)))</f>
        <v>1</v>
      </c>
      <c r="K179" s="15" t="n">
        <f aca="false">IF(OR(A179="",C179=""),"",SUMPRODUCT(('Training Detail'!$A$5:$A$5000=A179)*('Training Detail'!$M$5:$M$5000=Standards!A7)*('Training Detail'!$G$5:$G$5000&gt;=D179)*('Training Detail'!$G$5:$G$5000&lt;=E179)*('Training Detail'!$P$5:$P$5000)))</f>
        <v>1</v>
      </c>
      <c r="L179" s="15" t="n">
        <f aca="false">IF(OR(A179="",C179=""),"",SUMPRODUCT(('Training Detail'!$A$5:$A$5000=A179)*('Training Detail'!$M$5:$M$5000=Standards!A8)*('Training Detail'!$G$5:$G$5000&gt;=D179)*('Training Detail'!$G$5:$G$5000&lt;=E179)*('Training Detail'!$P$5:$P$5000)))</f>
        <v>1</v>
      </c>
      <c r="M179" s="16" t="n">
        <f aca="false">IF(OR(A179="",C179=""),"",SUMPRODUCT(('Training Detail'!$A$5:$A$5000=A179)*('Training Detail'!$M$5:$M$5000=Standards!A9)*('Training Detail'!$G$5:$G$5000&gt;=D179)*('Training Detail'!$G$5:$G$5000&lt;=E179)*('Training Detail'!$P$5:$P$5000)))</f>
        <v>0</v>
      </c>
      <c r="N179" s="17" t="str">
        <f aca="false">IF(A179="","",IF(C179="","Set exp date",IF(AND(F179&gt;=Requirements!B5,G179&gt;=Requirements!B6,H179&gt;=Requirements!B7,I179&gt;=Requirements!B8,J179&gt;=Requirements!B9,K179&gt;=Requirements!B10,L179&gt;=Requirements!B11,M179&gt;=Requirements!B12),"Met","Short")))</f>
        <v>Short</v>
      </c>
      <c r="O179" s="18" t="str">
        <f aca="false">IF(OR(A179="",C179=""),"",IF(N179="Met","",IF(F179&lt;Requirements!B5,Requirements!A5&amp;" "&amp;TEXT(Requirements!B5-F179,"0.##")&amp;"; ","")&amp;IF(G179&lt;Requirements!B6,Requirements!A6&amp;" "&amp;TEXT(Requirements!B6-G179,"0.##")&amp;"; ","")&amp;IF(H179&lt;Requirements!B7,Requirements!A7&amp;" "&amp;TEXT(Requirements!B7-H179,"0.##")&amp;"; ","")&amp;IF(I179&lt;Requirements!B8,Requirements!A8&amp;" "&amp;TEXT(Requirements!B8-I179,"0.##")&amp;"; ","")&amp;IF(J179&lt;Requirements!B9,Requirements!A9&amp;" "&amp;TEXT(Requirements!B9-J179,"0.##")&amp;"; ","")&amp;IF(K179&lt;Requirements!B10,Requirements!A10&amp;" "&amp;TEXT(Requirements!B10-K179,"0.##")&amp;"; ","")&amp;IF(L179&lt;Requirements!B11,Requirements!A11&amp;" "&amp;TEXT(Requirements!B11-L179,"0.##")&amp;"; ","")&amp;IF(M179&lt;Requirements!B12,Requirements!A12&amp;" "&amp;TEXT(Requirements!B12-M179,"0.##")&amp;"; ","")))</f>
        <v>Cardiovascular 1.5; Operations 1; CPR/AED 1; </v>
      </c>
    </row>
    <row r="180" customFormat="false" ht="15" hidden="false" customHeight="true" outlineLevel="0" collapsed="false">
      <c r="A180" s="11" t="s">
        <v>334</v>
      </c>
      <c r="B180" s="12" t="s">
        <v>335</v>
      </c>
      <c r="C180" s="13" t="n">
        <v>46752</v>
      </c>
      <c r="D180" s="14" t="n">
        <f aca="false">IF(C180="","",DATE(YEAR(C180)-1,1,1))</f>
        <v>46023</v>
      </c>
      <c r="E180" s="14" t="n">
        <f aca="false">IF(C180="","",DATE(YEAR(C180),12,31))</f>
        <v>46752</v>
      </c>
      <c r="F180" s="15" t="n">
        <f aca="false">IF(OR(A180="",C180=""),"",SUMPRODUCT(('Training Detail'!$A$5:$A$5000=A180)*('Training Detail'!$M$5:$M$5000=Standards!A2)*('Training Detail'!$G$5:$G$5000&gt;=D180)*('Training Detail'!$G$5:$G$5000&lt;=E180)*('Training Detail'!$P$5:$P$5000)))</f>
        <v>0</v>
      </c>
      <c r="G180" s="15" t="n">
        <f aca="false">IF(OR(A180="",C180=""),"",SUMPRODUCT(('Training Detail'!$A$5:$A$5000=A180)*('Training Detail'!$M$5:$M$5000=Standards!A3)*('Training Detail'!$G$5:$G$5000&gt;=D180)*('Training Detail'!$G$5:$G$5000&lt;=E180)*('Training Detail'!$P$5:$P$5000)))</f>
        <v>0</v>
      </c>
      <c r="H180" s="15" t="n">
        <f aca="false">IF(OR(A180="",C180=""),"",SUMPRODUCT(('Training Detail'!$A$5:$A$5000=A180)*('Training Detail'!$M$5:$M$5000=Standards!A4)*('Training Detail'!$G$5:$G$5000&gt;=D180)*('Training Detail'!$G$5:$G$5000&lt;=E180)*('Training Detail'!$P$5:$P$5000)))</f>
        <v>3</v>
      </c>
      <c r="I180" s="15" t="n">
        <f aca="false">IF(OR(A180="",C180=""),"",SUMPRODUCT(('Training Detail'!$A$5:$A$5000=A180)*('Training Detail'!$M$5:$M$5000=Standards!A5)*('Training Detail'!$G$5:$G$5000&gt;=D180)*('Training Detail'!$G$5:$G$5000&lt;=E180)*('Training Detail'!$P$5:$P$5000)))</f>
        <v>4</v>
      </c>
      <c r="J180" s="15" t="n">
        <f aca="false">IF(OR(A180="",C180=""),"",SUMPRODUCT(('Training Detail'!$A$5:$A$5000=A180)*('Training Detail'!$M$5:$M$5000=Standards!A6)*('Training Detail'!$G$5:$G$5000&gt;=D180)*('Training Detail'!$G$5:$G$5000&lt;=E180)*('Training Detail'!$P$5:$P$5000)))</f>
        <v>4</v>
      </c>
      <c r="K180" s="15" t="n">
        <f aca="false">IF(OR(A180="",C180=""),"",SUMPRODUCT(('Training Detail'!$A$5:$A$5000=A180)*('Training Detail'!$M$5:$M$5000=Standards!A7)*('Training Detail'!$G$5:$G$5000&gt;=D180)*('Training Detail'!$G$5:$G$5000&lt;=E180)*('Training Detail'!$P$5:$P$5000)))</f>
        <v>0</v>
      </c>
      <c r="L180" s="15" t="n">
        <f aca="false">IF(OR(A180="",C180=""),"",SUMPRODUCT(('Training Detail'!$A$5:$A$5000=A180)*('Training Detail'!$M$5:$M$5000=Standards!A8)*('Training Detail'!$G$5:$G$5000&gt;=D180)*('Training Detail'!$G$5:$G$5000&lt;=E180)*('Training Detail'!$P$5:$P$5000)))</f>
        <v>0</v>
      </c>
      <c r="M180" s="16" t="n">
        <f aca="false">IF(OR(A180="",C180=""),"",SUMPRODUCT(('Training Detail'!$A$5:$A$5000=A180)*('Training Detail'!$M$5:$M$5000=Standards!A9)*('Training Detail'!$G$5:$G$5000&gt;=D180)*('Training Detail'!$G$5:$G$5000&lt;=E180)*('Training Detail'!$P$5:$P$5000)))</f>
        <v>1</v>
      </c>
      <c r="N180" s="17" t="str">
        <f aca="false">IF(A180="","",IF(C180="","Set exp date",IF(AND(F180&gt;=Requirements!B5,G180&gt;=Requirements!B6,H180&gt;=Requirements!B7,I180&gt;=Requirements!B8,J180&gt;=Requirements!B9,K180&gt;=Requirements!B10,L180&gt;=Requirements!B11,M180&gt;=Requirements!B12),"Met","Short")))</f>
        <v>Short</v>
      </c>
      <c r="O180" s="18" t="str">
        <f aca="false">IF(OR(A180="",C180=""),"",IF(N180="Met","",IF(F180&lt;Requirements!B5,Requirements!A5&amp;" "&amp;TEXT(Requirements!B5-F180,"0.##")&amp;"; ","")&amp;IF(G180&lt;Requirements!B6,Requirements!A6&amp;" "&amp;TEXT(Requirements!B6-G180,"0.##")&amp;"; ","")&amp;IF(H180&lt;Requirements!B7,Requirements!A7&amp;" "&amp;TEXT(Requirements!B7-H180,"0.##")&amp;"; ","")&amp;IF(I180&lt;Requirements!B8,Requirements!A8&amp;" "&amp;TEXT(Requirements!B8-I180,"0.##")&amp;"; ","")&amp;IF(J180&lt;Requirements!B9,Requirements!A9&amp;" "&amp;TEXT(Requirements!B9-J180,"0.##")&amp;"; ","")&amp;IF(K180&lt;Requirements!B10,Requirements!A10&amp;" "&amp;TEXT(Requirements!B10-K180,"0.##")&amp;"; ","")&amp;IF(L180&lt;Requirements!B11,Requirements!A11&amp;" "&amp;TEXT(Requirements!B11-L180,"0.##")&amp;"; ","")&amp;IF(M180&lt;Requirements!B12,Requirements!A12&amp;" "&amp;TEXT(Requirements!B12-M180,"0.##")&amp;"; ","")))</f>
        <v>Airway 4; Cardiovascular 5; Medical 2; PAHT 1; SVAT 1; </v>
      </c>
    </row>
    <row r="181" customFormat="false" ht="15" hidden="false" customHeight="true" outlineLevel="0" collapsed="false">
      <c r="A181" s="19" t="s">
        <v>336</v>
      </c>
      <c r="B181" s="20" t="s">
        <v>337</v>
      </c>
      <c r="C181" s="13" t="n">
        <v>46387</v>
      </c>
      <c r="D181" s="21" t="n">
        <f aca="false">IF(C181="","",DATE(YEAR(C181)-1,1,1))</f>
        <v>45658</v>
      </c>
      <c r="E181" s="21" t="n">
        <f aca="false">IF(C181="","",DATE(YEAR(C181),12,31))</f>
        <v>46387</v>
      </c>
      <c r="F181" s="15" t="n">
        <f aca="false">IF(OR(A181="",C181=""),"",SUMPRODUCT(('Training Detail'!$A$5:$A$5000=A181)*('Training Detail'!$M$5:$M$5000=Standards!A2)*('Training Detail'!$G$5:$G$5000&gt;=D181)*('Training Detail'!$G$5:$G$5000&lt;=E181)*('Training Detail'!$P$5:$P$5000)))</f>
        <v>2</v>
      </c>
      <c r="G181" s="15" t="n">
        <f aca="false">IF(OR(A181="",C181=""),"",SUMPRODUCT(('Training Detail'!$A$5:$A$5000=A181)*('Training Detail'!$M$5:$M$5000=Standards!A3)*('Training Detail'!$G$5:$G$5000&gt;=D181)*('Training Detail'!$G$5:$G$5000&lt;=E181)*('Training Detail'!$P$5:$P$5000)))</f>
        <v>4</v>
      </c>
      <c r="H181" s="15" t="n">
        <f aca="false">IF(OR(A181="",C181=""),"",SUMPRODUCT(('Training Detail'!$A$5:$A$5000=A181)*('Training Detail'!$M$5:$M$5000=Standards!A4)*('Training Detail'!$G$5:$G$5000&gt;=D181)*('Training Detail'!$G$5:$G$5000&lt;=E181)*('Training Detail'!$P$5:$P$5000)))</f>
        <v>2</v>
      </c>
      <c r="I181" s="15" t="n">
        <f aca="false">IF(OR(A181="",C181=""),"",SUMPRODUCT(('Training Detail'!$A$5:$A$5000=A181)*('Training Detail'!$M$5:$M$5000=Standards!A5)*('Training Detail'!$G$5:$G$5000&gt;=D181)*('Training Detail'!$G$5:$G$5000&lt;=E181)*('Training Detail'!$P$5:$P$5000)))</f>
        <v>6</v>
      </c>
      <c r="J181" s="15" t="n">
        <f aca="false">IF(OR(A181="",C181=""),"",SUMPRODUCT(('Training Detail'!$A$5:$A$5000=A181)*('Training Detail'!$M$5:$M$5000=Standards!A6)*('Training Detail'!$G$5:$G$5000&gt;=D181)*('Training Detail'!$G$5:$G$5000&lt;=E181)*('Training Detail'!$P$5:$P$5000)))</f>
        <v>5</v>
      </c>
      <c r="K181" s="15" t="n">
        <f aca="false">IF(OR(A181="",C181=""),"",SUMPRODUCT(('Training Detail'!$A$5:$A$5000=A181)*('Training Detail'!$M$5:$M$5000=Standards!A7)*('Training Detail'!$G$5:$G$5000&gt;=D181)*('Training Detail'!$G$5:$G$5000&lt;=E181)*('Training Detail'!$P$5:$P$5000)))</f>
        <v>1</v>
      </c>
      <c r="L181" s="15" t="n">
        <f aca="false">IF(OR(A181="",C181=""),"",SUMPRODUCT(('Training Detail'!$A$5:$A$5000=A181)*('Training Detail'!$M$5:$M$5000=Standards!A8)*('Training Detail'!$G$5:$G$5000&gt;=D181)*('Training Detail'!$G$5:$G$5000&lt;=E181)*('Training Detail'!$P$5:$P$5000)))</f>
        <v>0</v>
      </c>
      <c r="M181" s="16" t="n">
        <f aca="false">IF(OR(A181="",C181=""),"",SUMPRODUCT(('Training Detail'!$A$5:$A$5000=A181)*('Training Detail'!$M$5:$M$5000=Standards!A9)*('Training Detail'!$G$5:$G$5000&gt;=D181)*('Training Detail'!$G$5:$G$5000&lt;=E181)*('Training Detail'!$P$5:$P$5000)))</f>
        <v>0</v>
      </c>
      <c r="N181" s="17" t="str">
        <f aca="false">IF(A181="","",IF(C181="","Set exp date",IF(AND(F181&gt;=Requirements!B5,G181&gt;=Requirements!B6,H181&gt;=Requirements!B7,I181&gt;=Requirements!B8,J181&gt;=Requirements!B9,K181&gt;=Requirements!B10,L181&gt;=Requirements!B11,M181&gt;=Requirements!B12),"Met","Short")))</f>
        <v>Short</v>
      </c>
      <c r="O181" s="18" t="str">
        <f aca="false">IF(OR(A181="",C181=""),"",IF(N181="Met","",IF(F181&lt;Requirements!B5,Requirements!A5&amp;" "&amp;TEXT(Requirements!B5-F181,"0.##")&amp;"; ","")&amp;IF(G181&lt;Requirements!B6,Requirements!A6&amp;" "&amp;TEXT(Requirements!B6-G181,"0.##")&amp;"; ","")&amp;IF(H181&lt;Requirements!B7,Requirements!A7&amp;" "&amp;TEXT(Requirements!B7-H181,"0.##")&amp;"; ","")&amp;IF(I181&lt;Requirements!B8,Requirements!A8&amp;" "&amp;TEXT(Requirements!B8-I181,"0.##")&amp;"; ","")&amp;IF(J181&lt;Requirements!B9,Requirements!A9&amp;" "&amp;TEXT(Requirements!B9-J181,"0.##")&amp;"; ","")&amp;IF(K181&lt;Requirements!B10,Requirements!A10&amp;" "&amp;TEXT(Requirements!B10-K181,"0.##")&amp;"; ","")&amp;IF(L181&lt;Requirements!B11,Requirements!A11&amp;" "&amp;TEXT(Requirements!B11-L181,"0.##")&amp;"; ","")&amp;IF(M181&lt;Requirements!B12,Requirements!A12&amp;" "&amp;TEXT(Requirements!B12-M181,"0.##")&amp;"; ","")))</f>
        <v>Airway 2; Cardiovascular 1; Trauma 1; SVAT 1; CPR/AED 1; </v>
      </c>
    </row>
    <row r="182" customFormat="false" ht="15" hidden="false" customHeight="true" outlineLevel="0" collapsed="false">
      <c r="A182" s="11" t="s">
        <v>338</v>
      </c>
      <c r="B182" s="12" t="s">
        <v>339</v>
      </c>
      <c r="C182" s="13" t="n">
        <v>46752</v>
      </c>
      <c r="D182" s="14" t="n">
        <f aca="false">IF(C182="","",DATE(YEAR(C182)-1,1,1))</f>
        <v>46023</v>
      </c>
      <c r="E182" s="14" t="n">
        <f aca="false">IF(C182="","",DATE(YEAR(C182),12,31))</f>
        <v>46752</v>
      </c>
      <c r="F182" s="15" t="n">
        <f aca="false">IF(OR(A182="",C182=""),"",SUMPRODUCT(('Training Detail'!$A$5:$A$5000=A182)*('Training Detail'!$M$5:$M$5000=Standards!A2)*('Training Detail'!$G$5:$G$5000&gt;=D182)*('Training Detail'!$G$5:$G$5000&lt;=E182)*('Training Detail'!$P$5:$P$5000)))</f>
        <v>0</v>
      </c>
      <c r="G182" s="15" t="n">
        <f aca="false">IF(OR(A182="",C182=""),"",SUMPRODUCT(('Training Detail'!$A$5:$A$5000=A182)*('Training Detail'!$M$5:$M$5000=Standards!A3)*('Training Detail'!$G$5:$G$5000&gt;=D182)*('Training Detail'!$G$5:$G$5000&lt;=E182)*('Training Detail'!$P$5:$P$5000)))</f>
        <v>0</v>
      </c>
      <c r="H182" s="15" t="n">
        <f aca="false">IF(OR(A182="",C182=""),"",SUMPRODUCT(('Training Detail'!$A$5:$A$5000=A182)*('Training Detail'!$M$5:$M$5000=Standards!A4)*('Training Detail'!$G$5:$G$5000&gt;=D182)*('Training Detail'!$G$5:$G$5000&lt;=E182)*('Training Detail'!$P$5:$P$5000)))</f>
        <v>2</v>
      </c>
      <c r="I182" s="15" t="n">
        <f aca="false">IF(OR(A182="",C182=""),"",SUMPRODUCT(('Training Detail'!$A$5:$A$5000=A182)*('Training Detail'!$M$5:$M$5000=Standards!A5)*('Training Detail'!$G$5:$G$5000&gt;=D182)*('Training Detail'!$G$5:$G$5000&lt;=E182)*('Training Detail'!$P$5:$P$5000)))</f>
        <v>3</v>
      </c>
      <c r="J182" s="15" t="n">
        <f aca="false">IF(OR(A182="",C182=""),"",SUMPRODUCT(('Training Detail'!$A$5:$A$5000=A182)*('Training Detail'!$M$5:$M$5000=Standards!A6)*('Training Detail'!$G$5:$G$5000&gt;=D182)*('Training Detail'!$G$5:$G$5000&lt;=E182)*('Training Detail'!$P$5:$P$5000)))</f>
        <v>2</v>
      </c>
      <c r="K182" s="15" t="n">
        <f aca="false">IF(OR(A182="",C182=""),"",SUMPRODUCT(('Training Detail'!$A$5:$A$5000=A182)*('Training Detail'!$M$5:$M$5000=Standards!A7)*('Training Detail'!$G$5:$G$5000&gt;=D182)*('Training Detail'!$G$5:$G$5000&lt;=E182)*('Training Detail'!$P$5:$P$5000)))</f>
        <v>0</v>
      </c>
      <c r="L182" s="15" t="n">
        <f aca="false">IF(OR(A182="",C182=""),"",SUMPRODUCT(('Training Detail'!$A$5:$A$5000=A182)*('Training Detail'!$M$5:$M$5000=Standards!A8)*('Training Detail'!$G$5:$G$5000&gt;=D182)*('Training Detail'!$G$5:$G$5000&lt;=E182)*('Training Detail'!$P$5:$P$5000)))</f>
        <v>0</v>
      </c>
      <c r="M182" s="16" t="n">
        <f aca="false">IF(OR(A182="",C182=""),"",SUMPRODUCT(('Training Detail'!$A$5:$A$5000=A182)*('Training Detail'!$M$5:$M$5000=Standards!A9)*('Training Detail'!$G$5:$G$5000&gt;=D182)*('Training Detail'!$G$5:$G$5000&lt;=E182)*('Training Detail'!$P$5:$P$5000)))</f>
        <v>0</v>
      </c>
      <c r="N182" s="17" t="str">
        <f aca="false">IF(A182="","",IF(C182="","Set exp date",IF(AND(F182&gt;=Requirements!B5,G182&gt;=Requirements!B6,H182&gt;=Requirements!B7,I182&gt;=Requirements!B8,J182&gt;=Requirements!B9,K182&gt;=Requirements!B10,L182&gt;=Requirements!B11,M182&gt;=Requirements!B12),"Met","Short")))</f>
        <v>Short</v>
      </c>
      <c r="O182" s="18" t="str">
        <f aca="false">IF(OR(A182="",C182=""),"",IF(N182="Met","",IF(F182&lt;Requirements!B5,Requirements!A5&amp;" "&amp;TEXT(Requirements!B5-F182,"0.##")&amp;"; ","")&amp;IF(G182&lt;Requirements!B6,Requirements!A6&amp;" "&amp;TEXT(Requirements!B6-G182,"0.##")&amp;"; ","")&amp;IF(H182&lt;Requirements!B7,Requirements!A7&amp;" "&amp;TEXT(Requirements!B7-H182,"0.##")&amp;"; ","")&amp;IF(I182&lt;Requirements!B8,Requirements!A8&amp;" "&amp;TEXT(Requirements!B8-I182,"0.##")&amp;"; ","")&amp;IF(J182&lt;Requirements!B9,Requirements!A9&amp;" "&amp;TEXT(Requirements!B9-J182,"0.##")&amp;"; ","")&amp;IF(K182&lt;Requirements!B10,Requirements!A10&amp;" "&amp;TEXT(Requirements!B10-K182,"0.##")&amp;"; ","")&amp;IF(L182&lt;Requirements!B11,Requirements!A11&amp;" "&amp;TEXT(Requirements!B11-L182,"0.##")&amp;"; ","")&amp;IF(M182&lt;Requirements!B12,Requirements!A12&amp;" "&amp;TEXT(Requirements!B12-M182,"0.##")&amp;"; ","")))</f>
        <v>Airway 4; Cardiovascular 5; Trauma 1; Medical 3; PAHT 1; SVAT 1; CPR/AED 1; </v>
      </c>
    </row>
    <row r="183" customFormat="false" ht="15" hidden="false" customHeight="true" outlineLevel="0" collapsed="false">
      <c r="A183" s="19" t="s">
        <v>340</v>
      </c>
      <c r="B183" s="20" t="s">
        <v>341</v>
      </c>
      <c r="C183" s="13" t="n">
        <v>46752</v>
      </c>
      <c r="D183" s="21" t="n">
        <f aca="false">IF(C183="","",DATE(YEAR(C183)-1,1,1))</f>
        <v>46023</v>
      </c>
      <c r="E183" s="21" t="n">
        <f aca="false">IF(C183="","",DATE(YEAR(C183),12,31))</f>
        <v>46752</v>
      </c>
      <c r="F183" s="15" t="n">
        <f aca="false">IF(OR(A183="",C183=""),"",SUMPRODUCT(('Training Detail'!$A$5:$A$5000=A183)*('Training Detail'!$M$5:$M$5000=Standards!A2)*('Training Detail'!$G$5:$G$5000&gt;=D183)*('Training Detail'!$G$5:$G$5000&lt;=E183)*('Training Detail'!$P$5:$P$5000)))</f>
        <v>0</v>
      </c>
      <c r="G183" s="15" t="n">
        <f aca="false">IF(OR(A183="",C183=""),"",SUMPRODUCT(('Training Detail'!$A$5:$A$5000=A183)*('Training Detail'!$M$5:$M$5000=Standards!A3)*('Training Detail'!$G$5:$G$5000&gt;=D183)*('Training Detail'!$G$5:$G$5000&lt;=E183)*('Training Detail'!$P$5:$P$5000)))</f>
        <v>0</v>
      </c>
      <c r="H183" s="15" t="n">
        <f aca="false">IF(OR(A183="",C183=""),"",SUMPRODUCT(('Training Detail'!$A$5:$A$5000=A183)*('Training Detail'!$M$5:$M$5000=Standards!A4)*('Training Detail'!$G$5:$G$5000&gt;=D183)*('Training Detail'!$G$5:$G$5000&lt;=E183)*('Training Detail'!$P$5:$P$5000)))</f>
        <v>3</v>
      </c>
      <c r="I183" s="15" t="n">
        <f aca="false">IF(OR(A183="",C183=""),"",SUMPRODUCT(('Training Detail'!$A$5:$A$5000=A183)*('Training Detail'!$M$5:$M$5000=Standards!A5)*('Training Detail'!$G$5:$G$5000&gt;=D183)*('Training Detail'!$G$5:$G$5000&lt;=E183)*('Training Detail'!$P$5:$P$5000)))</f>
        <v>1</v>
      </c>
      <c r="J183" s="15" t="n">
        <f aca="false">IF(OR(A183="",C183=""),"",SUMPRODUCT(('Training Detail'!$A$5:$A$5000=A183)*('Training Detail'!$M$5:$M$5000=Standards!A6)*('Training Detail'!$G$5:$G$5000&gt;=D183)*('Training Detail'!$G$5:$G$5000&lt;=E183)*('Training Detail'!$P$5:$P$5000)))</f>
        <v>3.5</v>
      </c>
      <c r="K183" s="15" t="n">
        <f aca="false">IF(OR(A183="",C183=""),"",SUMPRODUCT(('Training Detail'!$A$5:$A$5000=A183)*('Training Detail'!$M$5:$M$5000=Standards!A7)*('Training Detail'!$G$5:$G$5000&gt;=D183)*('Training Detail'!$G$5:$G$5000&lt;=E183)*('Training Detail'!$P$5:$P$5000)))</f>
        <v>1</v>
      </c>
      <c r="L183" s="15" t="n">
        <f aca="false">IF(OR(A183="",C183=""),"",SUMPRODUCT(('Training Detail'!$A$5:$A$5000=A183)*('Training Detail'!$M$5:$M$5000=Standards!A8)*('Training Detail'!$G$5:$G$5000&gt;=D183)*('Training Detail'!$G$5:$G$5000&lt;=E183)*('Training Detail'!$P$5:$P$5000)))</f>
        <v>0</v>
      </c>
      <c r="M183" s="16" t="n">
        <f aca="false">IF(OR(A183="",C183=""),"",SUMPRODUCT(('Training Detail'!$A$5:$A$5000=A183)*('Training Detail'!$M$5:$M$5000=Standards!A9)*('Training Detail'!$G$5:$G$5000&gt;=D183)*('Training Detail'!$G$5:$G$5000&lt;=E183)*('Training Detail'!$P$5:$P$5000)))</f>
        <v>1</v>
      </c>
      <c r="N183" s="17" t="str">
        <f aca="false">IF(A183="","",IF(C183="","Set exp date",IF(AND(F183&gt;=Requirements!B5,G183&gt;=Requirements!B6,H183&gt;=Requirements!B7,I183&gt;=Requirements!B8,J183&gt;=Requirements!B9,K183&gt;=Requirements!B10,L183&gt;=Requirements!B11,M183&gt;=Requirements!B12),"Met","Short")))</f>
        <v>Short</v>
      </c>
      <c r="O183" s="18" t="str">
        <f aca="false">IF(OR(A183="",C183=""),"",IF(N183="Met","",IF(F183&lt;Requirements!B5,Requirements!A5&amp;" "&amp;TEXT(Requirements!B5-F183,"0.##")&amp;"; ","")&amp;IF(G183&lt;Requirements!B6,Requirements!A6&amp;" "&amp;TEXT(Requirements!B6-G183,"0.##")&amp;"; ","")&amp;IF(H183&lt;Requirements!B7,Requirements!A7&amp;" "&amp;TEXT(Requirements!B7-H183,"0.##")&amp;"; ","")&amp;IF(I183&lt;Requirements!B8,Requirements!A8&amp;" "&amp;TEXT(Requirements!B8-I183,"0.##")&amp;"; ","")&amp;IF(J183&lt;Requirements!B9,Requirements!A9&amp;" "&amp;TEXT(Requirements!B9-J183,"0.##")&amp;"; ","")&amp;IF(K183&lt;Requirements!B10,Requirements!A10&amp;" "&amp;TEXT(Requirements!B10-K183,"0.##")&amp;"; ","")&amp;IF(L183&lt;Requirements!B11,Requirements!A11&amp;" "&amp;TEXT(Requirements!B11-L183,"0.##")&amp;"; ","")&amp;IF(M183&lt;Requirements!B12,Requirements!A12&amp;" "&amp;TEXT(Requirements!B12-M183,"0.##")&amp;"; ","")))</f>
        <v>Airway 4; Cardiovascular 5; Medical 5; SVAT 1; </v>
      </c>
    </row>
    <row r="184" customFormat="false" ht="15" hidden="false" customHeight="true" outlineLevel="0" collapsed="false">
      <c r="A184" s="11" t="s">
        <v>342</v>
      </c>
      <c r="B184" s="12" t="s">
        <v>343</v>
      </c>
      <c r="C184" s="13" t="n">
        <v>46752</v>
      </c>
      <c r="D184" s="14" t="n">
        <f aca="false">IF(C184="","",DATE(YEAR(C184)-1,1,1))</f>
        <v>46023</v>
      </c>
      <c r="E184" s="14" t="n">
        <f aca="false">IF(C184="","",DATE(YEAR(C184),12,31))</f>
        <v>46752</v>
      </c>
      <c r="F184" s="15" t="n">
        <f aca="false">IF(OR(A184="",C184=""),"",SUMPRODUCT(('Training Detail'!$A$5:$A$5000=A184)*('Training Detail'!$M$5:$M$5000=Standards!A2)*('Training Detail'!$G$5:$G$5000&gt;=D184)*('Training Detail'!$G$5:$G$5000&lt;=E184)*('Training Detail'!$P$5:$P$5000)))</f>
        <v>0</v>
      </c>
      <c r="G184" s="15" t="n">
        <f aca="false">IF(OR(A184="",C184=""),"",SUMPRODUCT(('Training Detail'!$A$5:$A$5000=A184)*('Training Detail'!$M$5:$M$5000=Standards!A3)*('Training Detail'!$G$5:$G$5000&gt;=D184)*('Training Detail'!$G$5:$G$5000&lt;=E184)*('Training Detail'!$P$5:$P$5000)))</f>
        <v>0</v>
      </c>
      <c r="H184" s="15" t="n">
        <f aca="false">IF(OR(A184="",C184=""),"",SUMPRODUCT(('Training Detail'!$A$5:$A$5000=A184)*('Training Detail'!$M$5:$M$5000=Standards!A4)*('Training Detail'!$G$5:$G$5000&gt;=D184)*('Training Detail'!$G$5:$G$5000&lt;=E184)*('Training Detail'!$P$5:$P$5000)))</f>
        <v>3</v>
      </c>
      <c r="I184" s="15" t="n">
        <f aca="false">IF(OR(A184="",C184=""),"",SUMPRODUCT(('Training Detail'!$A$5:$A$5000=A184)*('Training Detail'!$M$5:$M$5000=Standards!A5)*('Training Detail'!$G$5:$G$5000&gt;=D184)*('Training Detail'!$G$5:$G$5000&lt;=E184)*('Training Detail'!$P$5:$P$5000)))</f>
        <v>2</v>
      </c>
      <c r="J184" s="15" t="n">
        <f aca="false">IF(OR(A184="",C184=""),"",SUMPRODUCT(('Training Detail'!$A$5:$A$5000=A184)*('Training Detail'!$M$5:$M$5000=Standards!A6)*('Training Detail'!$G$5:$G$5000&gt;=D184)*('Training Detail'!$G$5:$G$5000&lt;=E184)*('Training Detail'!$P$5:$P$5000)))</f>
        <v>2</v>
      </c>
      <c r="K184" s="15" t="n">
        <f aca="false">IF(OR(A184="",C184=""),"",SUMPRODUCT(('Training Detail'!$A$5:$A$5000=A184)*('Training Detail'!$M$5:$M$5000=Standards!A7)*('Training Detail'!$G$5:$G$5000&gt;=D184)*('Training Detail'!$G$5:$G$5000&lt;=E184)*('Training Detail'!$P$5:$P$5000)))</f>
        <v>0</v>
      </c>
      <c r="L184" s="15" t="n">
        <f aca="false">IF(OR(A184="",C184=""),"",SUMPRODUCT(('Training Detail'!$A$5:$A$5000=A184)*('Training Detail'!$M$5:$M$5000=Standards!A8)*('Training Detail'!$G$5:$G$5000&gt;=D184)*('Training Detail'!$G$5:$G$5000&lt;=E184)*('Training Detail'!$P$5:$P$5000)))</f>
        <v>0</v>
      </c>
      <c r="M184" s="16" t="n">
        <f aca="false">IF(OR(A184="",C184=""),"",SUMPRODUCT(('Training Detail'!$A$5:$A$5000=A184)*('Training Detail'!$M$5:$M$5000=Standards!A9)*('Training Detail'!$G$5:$G$5000&gt;=D184)*('Training Detail'!$G$5:$G$5000&lt;=E184)*('Training Detail'!$P$5:$P$5000)))</f>
        <v>0</v>
      </c>
      <c r="N184" s="17" t="str">
        <f aca="false">IF(A184="","",IF(C184="","Set exp date",IF(AND(F184&gt;=Requirements!B5,G184&gt;=Requirements!B6,H184&gt;=Requirements!B7,I184&gt;=Requirements!B8,J184&gt;=Requirements!B9,K184&gt;=Requirements!B10,L184&gt;=Requirements!B11,M184&gt;=Requirements!B12),"Met","Short")))</f>
        <v>Short</v>
      </c>
      <c r="O184" s="18" t="str">
        <f aca="false">IF(OR(A184="",C184=""),"",IF(N184="Met","",IF(F184&lt;Requirements!B5,Requirements!A5&amp;" "&amp;TEXT(Requirements!B5-F184,"0.##")&amp;"; ","")&amp;IF(G184&lt;Requirements!B6,Requirements!A6&amp;" "&amp;TEXT(Requirements!B6-G184,"0.##")&amp;"; ","")&amp;IF(H184&lt;Requirements!B7,Requirements!A7&amp;" "&amp;TEXT(Requirements!B7-H184,"0.##")&amp;"; ","")&amp;IF(I184&lt;Requirements!B8,Requirements!A8&amp;" "&amp;TEXT(Requirements!B8-I184,"0.##")&amp;"; ","")&amp;IF(J184&lt;Requirements!B9,Requirements!A9&amp;" "&amp;TEXT(Requirements!B9-J184,"0.##")&amp;"; ","")&amp;IF(K184&lt;Requirements!B10,Requirements!A10&amp;" "&amp;TEXT(Requirements!B10-K184,"0.##")&amp;"; ","")&amp;IF(L184&lt;Requirements!B11,Requirements!A11&amp;" "&amp;TEXT(Requirements!B11-L184,"0.##")&amp;"; ","")&amp;IF(M184&lt;Requirements!B12,Requirements!A12&amp;" "&amp;TEXT(Requirements!B12-M184,"0.##")&amp;"; ","")))</f>
        <v>Airway 4; Cardiovascular 5; Medical 4; PAHT 1; SVAT 1; CPR/AED 1; </v>
      </c>
    </row>
    <row r="185" customFormat="false" ht="15" hidden="false" customHeight="true" outlineLevel="0" collapsed="false">
      <c r="A185" s="19" t="s">
        <v>344</v>
      </c>
      <c r="B185" s="20"/>
      <c r="C185" s="13"/>
      <c r="D185" s="21" t="str">
        <f aca="false">IF(C185="","",DATE(YEAR(C185)-1,1,1))</f>
        <v/>
      </c>
      <c r="E185" s="21" t="str">
        <f aca="false">IF(C185="","",DATE(YEAR(C185),12,31))</f>
        <v/>
      </c>
      <c r="F185" s="15" t="str">
        <f aca="false">IF(OR(A185="",C185=""),"",SUMPRODUCT(('Training Detail'!$A$5:$A$5000=A185)*('Training Detail'!$M$5:$M$5000=Standards!A2)*('Training Detail'!$G$5:$G$5000&gt;=D185)*('Training Detail'!$G$5:$G$5000&lt;=E185)*('Training Detail'!$P$5:$P$5000)))</f>
        <v/>
      </c>
      <c r="G185" s="15" t="str">
        <f aca="false">IF(OR(A185="",C185=""),"",SUMPRODUCT(('Training Detail'!$A$5:$A$5000=A185)*('Training Detail'!$M$5:$M$5000=Standards!A3)*('Training Detail'!$G$5:$G$5000&gt;=D185)*('Training Detail'!$G$5:$G$5000&lt;=E185)*('Training Detail'!$P$5:$P$5000)))</f>
        <v/>
      </c>
      <c r="H185" s="15" t="str">
        <f aca="false">IF(OR(A185="",C185=""),"",SUMPRODUCT(('Training Detail'!$A$5:$A$5000=A185)*('Training Detail'!$M$5:$M$5000=Standards!A4)*('Training Detail'!$G$5:$G$5000&gt;=D185)*('Training Detail'!$G$5:$G$5000&lt;=E185)*('Training Detail'!$P$5:$P$5000)))</f>
        <v/>
      </c>
      <c r="I185" s="15" t="str">
        <f aca="false">IF(OR(A185="",C185=""),"",SUMPRODUCT(('Training Detail'!$A$5:$A$5000=A185)*('Training Detail'!$M$5:$M$5000=Standards!A5)*('Training Detail'!$G$5:$G$5000&gt;=D185)*('Training Detail'!$G$5:$G$5000&lt;=E185)*('Training Detail'!$P$5:$P$5000)))</f>
        <v/>
      </c>
      <c r="J185" s="15" t="str">
        <f aca="false">IF(OR(A185="",C185=""),"",SUMPRODUCT(('Training Detail'!$A$5:$A$5000=A185)*('Training Detail'!$M$5:$M$5000=Standards!A6)*('Training Detail'!$G$5:$G$5000&gt;=D185)*('Training Detail'!$G$5:$G$5000&lt;=E185)*('Training Detail'!$P$5:$P$5000)))</f>
        <v/>
      </c>
      <c r="K185" s="15" t="str">
        <f aca="false">IF(OR(A185="",C185=""),"",SUMPRODUCT(('Training Detail'!$A$5:$A$5000=A185)*('Training Detail'!$M$5:$M$5000=Standards!A7)*('Training Detail'!$G$5:$G$5000&gt;=D185)*('Training Detail'!$G$5:$G$5000&lt;=E185)*('Training Detail'!$P$5:$P$5000)))</f>
        <v/>
      </c>
      <c r="L185" s="15" t="str">
        <f aca="false">IF(OR(A185="",C185=""),"",SUMPRODUCT(('Training Detail'!$A$5:$A$5000=A185)*('Training Detail'!$M$5:$M$5000=Standards!A8)*('Training Detail'!$G$5:$G$5000&gt;=D185)*('Training Detail'!$G$5:$G$5000&lt;=E185)*('Training Detail'!$P$5:$P$5000)))</f>
        <v/>
      </c>
      <c r="M185" s="16" t="str">
        <f aca="false">IF(OR(A185="",C185=""),"",SUMPRODUCT(('Training Detail'!$A$5:$A$5000=A185)*('Training Detail'!$M$5:$M$5000=Standards!A9)*('Training Detail'!$G$5:$G$5000&gt;=D185)*('Training Detail'!$G$5:$G$5000&lt;=E185)*('Training Detail'!$P$5:$P$5000)))</f>
        <v/>
      </c>
      <c r="N185" s="17" t="str">
        <f aca="false">IF(A185="","",IF(C185="","Set exp date",IF(AND(F185&gt;=Requirements!B5,G185&gt;=Requirements!B6,H185&gt;=Requirements!B7,I185&gt;=Requirements!B8,J185&gt;=Requirements!B9,K185&gt;=Requirements!B10,L185&gt;=Requirements!B11,M185&gt;=Requirements!B12),"Met","Short")))</f>
        <v>Set exp date</v>
      </c>
      <c r="O185" s="18" t="str">
        <f aca="false">IF(OR(A185="",C185=""),"",IF(N185="Met","",IF(F185&lt;Requirements!B5,Requirements!A5&amp;" "&amp;TEXT(Requirements!B5-F185,"0.##")&amp;"; ","")&amp;IF(G185&lt;Requirements!B6,Requirements!A6&amp;" "&amp;TEXT(Requirements!B6-G185,"0.##")&amp;"; ","")&amp;IF(H185&lt;Requirements!B7,Requirements!A7&amp;" "&amp;TEXT(Requirements!B7-H185,"0.##")&amp;"; ","")&amp;IF(I185&lt;Requirements!B8,Requirements!A8&amp;" "&amp;TEXT(Requirements!B8-I185,"0.##")&amp;"; ","")&amp;IF(J185&lt;Requirements!B9,Requirements!A9&amp;" "&amp;TEXT(Requirements!B9-J185,"0.##")&amp;"; ","")&amp;IF(K185&lt;Requirements!B10,Requirements!A10&amp;" "&amp;TEXT(Requirements!B10-K185,"0.##")&amp;"; ","")&amp;IF(L185&lt;Requirements!B11,Requirements!A11&amp;" "&amp;TEXT(Requirements!B11-L185,"0.##")&amp;"; ","")&amp;IF(M185&lt;Requirements!B12,Requirements!A12&amp;" "&amp;TEXT(Requirements!B12-M185,"0.##")&amp;"; ","")))</f>
        <v/>
      </c>
    </row>
    <row r="186" customFormat="false" ht="15" hidden="false" customHeight="true" outlineLevel="0" collapsed="false">
      <c r="A186" s="11"/>
      <c r="B186" s="12"/>
      <c r="C186" s="13"/>
      <c r="D186" s="14" t="str">
        <f aca="false">IF(C186="","",DATE(YEAR(C186)-1,1,1))</f>
        <v/>
      </c>
      <c r="E186" s="14" t="str">
        <f aca="false">IF(C186="","",DATE(YEAR(C186),12,31))</f>
        <v/>
      </c>
      <c r="F186" s="15" t="str">
        <f aca="false">IF(OR(A186="",C186=""),"",SUMPRODUCT(('Training Detail'!$A$5:$A$5000=A186)*('Training Detail'!$M$5:$M$5000=Standards!A2)*('Training Detail'!$G$5:$G$5000&gt;=D186)*('Training Detail'!$G$5:$G$5000&lt;=E186)*('Training Detail'!$P$5:$P$5000)))</f>
        <v/>
      </c>
      <c r="G186" s="15" t="str">
        <f aca="false">IF(OR(A186="",C186=""),"",SUMPRODUCT(('Training Detail'!$A$5:$A$5000=A186)*('Training Detail'!$M$5:$M$5000=Standards!A3)*('Training Detail'!$G$5:$G$5000&gt;=D186)*('Training Detail'!$G$5:$G$5000&lt;=E186)*('Training Detail'!$P$5:$P$5000)))</f>
        <v/>
      </c>
      <c r="H186" s="15" t="str">
        <f aca="false">IF(OR(A186="",C186=""),"",SUMPRODUCT(('Training Detail'!$A$5:$A$5000=A186)*('Training Detail'!$M$5:$M$5000=Standards!A4)*('Training Detail'!$G$5:$G$5000&gt;=D186)*('Training Detail'!$G$5:$G$5000&lt;=E186)*('Training Detail'!$P$5:$P$5000)))</f>
        <v/>
      </c>
      <c r="I186" s="15" t="str">
        <f aca="false">IF(OR(A186="",C186=""),"",SUMPRODUCT(('Training Detail'!$A$5:$A$5000=A186)*('Training Detail'!$M$5:$M$5000=Standards!A5)*('Training Detail'!$G$5:$G$5000&gt;=D186)*('Training Detail'!$G$5:$G$5000&lt;=E186)*('Training Detail'!$P$5:$P$5000)))</f>
        <v/>
      </c>
      <c r="J186" s="15" t="str">
        <f aca="false">IF(OR(A186="",C186=""),"",SUMPRODUCT(('Training Detail'!$A$5:$A$5000=A186)*('Training Detail'!$M$5:$M$5000=Standards!A6)*('Training Detail'!$G$5:$G$5000&gt;=D186)*('Training Detail'!$G$5:$G$5000&lt;=E186)*('Training Detail'!$P$5:$P$5000)))</f>
        <v/>
      </c>
      <c r="K186" s="15" t="str">
        <f aca="false">IF(OR(A186="",C186=""),"",SUMPRODUCT(('Training Detail'!$A$5:$A$5000=A186)*('Training Detail'!$M$5:$M$5000=Standards!A7)*('Training Detail'!$G$5:$G$5000&gt;=D186)*('Training Detail'!$G$5:$G$5000&lt;=E186)*('Training Detail'!$P$5:$P$5000)))</f>
        <v/>
      </c>
      <c r="L186" s="15" t="str">
        <f aca="false">IF(OR(A186="",C186=""),"",SUMPRODUCT(('Training Detail'!$A$5:$A$5000=A186)*('Training Detail'!$M$5:$M$5000=Standards!A8)*('Training Detail'!$G$5:$G$5000&gt;=D186)*('Training Detail'!$G$5:$G$5000&lt;=E186)*('Training Detail'!$P$5:$P$5000)))</f>
        <v/>
      </c>
      <c r="M186" s="16" t="str">
        <f aca="false">IF(OR(A186="",C186=""),"",SUMPRODUCT(('Training Detail'!$A$5:$A$5000=A186)*('Training Detail'!$M$5:$M$5000=Standards!A9)*('Training Detail'!$G$5:$G$5000&gt;=D186)*('Training Detail'!$G$5:$G$5000&lt;=E186)*('Training Detail'!$P$5:$P$5000)))</f>
        <v/>
      </c>
      <c r="N186" s="17" t="str">
        <f aca="false">IF(A186="","",IF(C186="","Set exp date",IF(AND(F186&gt;=Requirements!B5,G186&gt;=Requirements!B6,H186&gt;=Requirements!B7,I186&gt;=Requirements!B8,J186&gt;=Requirements!B9,K186&gt;=Requirements!B10,L186&gt;=Requirements!B11,M186&gt;=Requirements!B12),"Met","Short")))</f>
        <v/>
      </c>
      <c r="O186" s="18" t="str">
        <f aca="false">IF(OR(A186="",C186=""),"",IF(N186="Met","",IF(F186&lt;Requirements!B5,Requirements!A5&amp;" "&amp;TEXT(Requirements!B5-F186,"0.##")&amp;"; ","")&amp;IF(G186&lt;Requirements!B6,Requirements!A6&amp;" "&amp;TEXT(Requirements!B6-G186,"0.##")&amp;"; ","")&amp;IF(H186&lt;Requirements!B7,Requirements!A7&amp;" "&amp;TEXT(Requirements!B7-H186,"0.##")&amp;"; ","")&amp;IF(I186&lt;Requirements!B8,Requirements!A8&amp;" "&amp;TEXT(Requirements!B8-I186,"0.##")&amp;"; ","")&amp;IF(J186&lt;Requirements!B9,Requirements!A9&amp;" "&amp;TEXT(Requirements!B9-J186,"0.##")&amp;"; ","")&amp;IF(K186&lt;Requirements!B10,Requirements!A10&amp;" "&amp;TEXT(Requirements!B10-K186,"0.##")&amp;"; ","")&amp;IF(L186&lt;Requirements!B11,Requirements!A11&amp;" "&amp;TEXT(Requirements!B11-L186,"0.##")&amp;"; ","")&amp;IF(M186&lt;Requirements!B12,Requirements!A12&amp;" "&amp;TEXT(Requirements!B12-M186,"0.##")&amp;"; ","")))</f>
        <v/>
      </c>
    </row>
    <row r="187" customFormat="false" ht="15" hidden="false" customHeight="true" outlineLevel="0" collapsed="false">
      <c r="A187" s="11"/>
      <c r="B187" s="12"/>
      <c r="C187" s="13"/>
      <c r="D187" s="14" t="str">
        <f aca="false">IF(C187="","",DATE(YEAR(C187)-1,1,1))</f>
        <v/>
      </c>
      <c r="E187" s="14" t="str">
        <f aca="false">IF(C187="","",DATE(YEAR(C187),12,31))</f>
        <v/>
      </c>
      <c r="F187" s="15" t="str">
        <f aca="false">IF(OR(A187="",C187=""),"",SUMPRODUCT(('Training Detail'!$A$5:$A$5000=A187)*('Training Detail'!$M$5:$M$5000=Standards!A2)*('Training Detail'!$G$5:$G$5000&gt;=D187)*('Training Detail'!$G$5:$G$5000&lt;=E187)*('Training Detail'!$P$5:$P$5000)))</f>
        <v/>
      </c>
      <c r="G187" s="15" t="str">
        <f aca="false">IF(OR(A187="",C187=""),"",SUMPRODUCT(('Training Detail'!$A$5:$A$5000=A187)*('Training Detail'!$M$5:$M$5000=Standards!A3)*('Training Detail'!$G$5:$G$5000&gt;=D187)*('Training Detail'!$G$5:$G$5000&lt;=E187)*('Training Detail'!$P$5:$P$5000)))</f>
        <v/>
      </c>
      <c r="H187" s="15" t="str">
        <f aca="false">IF(OR(A187="",C187=""),"",SUMPRODUCT(('Training Detail'!$A$5:$A$5000=A187)*('Training Detail'!$M$5:$M$5000=Standards!A4)*('Training Detail'!$G$5:$G$5000&gt;=D187)*('Training Detail'!$G$5:$G$5000&lt;=E187)*('Training Detail'!$P$5:$P$5000)))</f>
        <v/>
      </c>
      <c r="I187" s="15" t="str">
        <f aca="false">IF(OR(A187="",C187=""),"",SUMPRODUCT(('Training Detail'!$A$5:$A$5000=A187)*('Training Detail'!$M$5:$M$5000=Standards!A5)*('Training Detail'!$G$5:$G$5000&gt;=D187)*('Training Detail'!$G$5:$G$5000&lt;=E187)*('Training Detail'!$P$5:$P$5000)))</f>
        <v/>
      </c>
      <c r="J187" s="15" t="str">
        <f aca="false">IF(OR(A187="",C187=""),"",SUMPRODUCT(('Training Detail'!$A$5:$A$5000=A187)*('Training Detail'!$M$5:$M$5000=Standards!A6)*('Training Detail'!$G$5:$G$5000&gt;=D187)*('Training Detail'!$G$5:$G$5000&lt;=E187)*('Training Detail'!$P$5:$P$5000)))</f>
        <v/>
      </c>
      <c r="K187" s="15" t="str">
        <f aca="false">IF(OR(A187="",C187=""),"",SUMPRODUCT(('Training Detail'!$A$5:$A$5000=A187)*('Training Detail'!$M$5:$M$5000=Standards!A7)*('Training Detail'!$G$5:$G$5000&gt;=D187)*('Training Detail'!$G$5:$G$5000&lt;=E187)*('Training Detail'!$P$5:$P$5000)))</f>
        <v/>
      </c>
      <c r="L187" s="15" t="str">
        <f aca="false">IF(OR(A187="",C187=""),"",SUMPRODUCT(('Training Detail'!$A$5:$A$5000=A187)*('Training Detail'!$M$5:$M$5000=Standards!A8)*('Training Detail'!$G$5:$G$5000&gt;=D187)*('Training Detail'!$G$5:$G$5000&lt;=E187)*('Training Detail'!$P$5:$P$5000)))</f>
        <v/>
      </c>
      <c r="M187" s="16" t="str">
        <f aca="false">IF(OR(A187="",C187=""),"",SUMPRODUCT(('Training Detail'!$A$5:$A$5000=A187)*('Training Detail'!$M$5:$M$5000=Standards!A9)*('Training Detail'!$G$5:$G$5000&gt;=D187)*('Training Detail'!$G$5:$G$5000&lt;=E187)*('Training Detail'!$P$5:$P$5000)))</f>
        <v/>
      </c>
      <c r="N187" s="17" t="str">
        <f aca="false">IF(A187="","",IF(C187="","Set exp date",IF(AND(F187&gt;=Requirements!B5,G187&gt;=Requirements!B6,H187&gt;=Requirements!B7,I187&gt;=Requirements!B8,J187&gt;=Requirements!B9,K187&gt;=Requirements!B10,L187&gt;=Requirements!B11,M187&gt;=Requirements!B12),"Met","Short")))</f>
        <v/>
      </c>
      <c r="O187" s="18" t="str">
        <f aca="false">IF(OR(A187="",C187=""),"",IF(N187="Met","",IF(F187&lt;Requirements!B5,Requirements!A5&amp;" "&amp;TEXT(Requirements!B5-F187,"0.##")&amp;"; ","")&amp;IF(G187&lt;Requirements!B6,Requirements!A6&amp;" "&amp;TEXT(Requirements!B6-G187,"0.##")&amp;"; ","")&amp;IF(H187&lt;Requirements!B7,Requirements!A7&amp;" "&amp;TEXT(Requirements!B7-H187,"0.##")&amp;"; ","")&amp;IF(I187&lt;Requirements!B8,Requirements!A8&amp;" "&amp;TEXT(Requirements!B8-I187,"0.##")&amp;"; ","")&amp;IF(J187&lt;Requirements!B9,Requirements!A9&amp;" "&amp;TEXT(Requirements!B9-J187,"0.##")&amp;"; ","")&amp;IF(K187&lt;Requirements!B10,Requirements!A10&amp;" "&amp;TEXT(Requirements!B10-K187,"0.##")&amp;"; ","")&amp;IF(L187&lt;Requirements!B11,Requirements!A11&amp;" "&amp;TEXT(Requirements!B11-L187,"0.##")&amp;"; ","")&amp;IF(M187&lt;Requirements!B12,Requirements!A12&amp;" "&amp;TEXT(Requirements!B12-M187,"0.##")&amp;"; ","")))</f>
        <v/>
      </c>
    </row>
    <row r="188" customFormat="false" ht="15" hidden="false" customHeight="true" outlineLevel="0" collapsed="false">
      <c r="A188" s="11"/>
      <c r="B188" s="12"/>
      <c r="C188" s="13"/>
      <c r="D188" s="14" t="str">
        <f aca="false">IF(C188="","",DATE(YEAR(C188)-1,1,1))</f>
        <v/>
      </c>
      <c r="E188" s="14" t="str">
        <f aca="false">IF(C188="","",DATE(YEAR(C188),12,31))</f>
        <v/>
      </c>
      <c r="F188" s="15" t="str">
        <f aca="false">IF(OR(A188="",C188=""),"",SUMPRODUCT(('Training Detail'!$A$5:$A$5000=A188)*('Training Detail'!$M$5:$M$5000=Standards!A2)*('Training Detail'!$G$5:$G$5000&gt;=D188)*('Training Detail'!$G$5:$G$5000&lt;=E188)*('Training Detail'!$P$5:$P$5000)))</f>
        <v/>
      </c>
      <c r="G188" s="15" t="str">
        <f aca="false">IF(OR(A188="",C188=""),"",SUMPRODUCT(('Training Detail'!$A$5:$A$5000=A188)*('Training Detail'!$M$5:$M$5000=Standards!A3)*('Training Detail'!$G$5:$G$5000&gt;=D188)*('Training Detail'!$G$5:$G$5000&lt;=E188)*('Training Detail'!$P$5:$P$5000)))</f>
        <v/>
      </c>
      <c r="H188" s="15" t="str">
        <f aca="false">IF(OR(A188="",C188=""),"",SUMPRODUCT(('Training Detail'!$A$5:$A$5000=A188)*('Training Detail'!$M$5:$M$5000=Standards!A4)*('Training Detail'!$G$5:$G$5000&gt;=D188)*('Training Detail'!$G$5:$G$5000&lt;=E188)*('Training Detail'!$P$5:$P$5000)))</f>
        <v/>
      </c>
      <c r="I188" s="15" t="str">
        <f aca="false">IF(OR(A188="",C188=""),"",SUMPRODUCT(('Training Detail'!$A$5:$A$5000=A188)*('Training Detail'!$M$5:$M$5000=Standards!A5)*('Training Detail'!$G$5:$G$5000&gt;=D188)*('Training Detail'!$G$5:$G$5000&lt;=E188)*('Training Detail'!$P$5:$P$5000)))</f>
        <v/>
      </c>
      <c r="J188" s="15" t="str">
        <f aca="false">IF(OR(A188="",C188=""),"",SUMPRODUCT(('Training Detail'!$A$5:$A$5000=A188)*('Training Detail'!$M$5:$M$5000=Standards!A6)*('Training Detail'!$G$5:$G$5000&gt;=D188)*('Training Detail'!$G$5:$G$5000&lt;=E188)*('Training Detail'!$P$5:$P$5000)))</f>
        <v/>
      </c>
      <c r="K188" s="15" t="str">
        <f aca="false">IF(OR(A188="",C188=""),"",SUMPRODUCT(('Training Detail'!$A$5:$A$5000=A188)*('Training Detail'!$M$5:$M$5000=Standards!A7)*('Training Detail'!$G$5:$G$5000&gt;=D188)*('Training Detail'!$G$5:$G$5000&lt;=E188)*('Training Detail'!$P$5:$P$5000)))</f>
        <v/>
      </c>
      <c r="L188" s="15" t="str">
        <f aca="false">IF(OR(A188="",C188=""),"",SUMPRODUCT(('Training Detail'!$A$5:$A$5000=A188)*('Training Detail'!$M$5:$M$5000=Standards!A8)*('Training Detail'!$G$5:$G$5000&gt;=D188)*('Training Detail'!$G$5:$G$5000&lt;=E188)*('Training Detail'!$P$5:$P$5000)))</f>
        <v/>
      </c>
      <c r="M188" s="16" t="str">
        <f aca="false">IF(OR(A188="",C188=""),"",SUMPRODUCT(('Training Detail'!$A$5:$A$5000=A188)*('Training Detail'!$M$5:$M$5000=Standards!A9)*('Training Detail'!$G$5:$G$5000&gt;=D188)*('Training Detail'!$G$5:$G$5000&lt;=E188)*('Training Detail'!$P$5:$P$5000)))</f>
        <v/>
      </c>
      <c r="N188" s="17" t="str">
        <f aca="false">IF(A188="","",IF(C188="","Set exp date",IF(AND(F188&gt;=Requirements!B5,G188&gt;=Requirements!B6,H188&gt;=Requirements!B7,I188&gt;=Requirements!B8,J188&gt;=Requirements!B9,K188&gt;=Requirements!B10,L188&gt;=Requirements!B11,M188&gt;=Requirements!B12),"Met","Short")))</f>
        <v/>
      </c>
      <c r="O188" s="18" t="str">
        <f aca="false">IF(OR(A188="",C188=""),"",IF(N188="Met","",IF(F188&lt;Requirements!B5,Requirements!A5&amp;" "&amp;TEXT(Requirements!B5-F188,"0.##")&amp;"; ","")&amp;IF(G188&lt;Requirements!B6,Requirements!A6&amp;" "&amp;TEXT(Requirements!B6-G188,"0.##")&amp;"; ","")&amp;IF(H188&lt;Requirements!B7,Requirements!A7&amp;" "&amp;TEXT(Requirements!B7-H188,"0.##")&amp;"; ","")&amp;IF(I188&lt;Requirements!B8,Requirements!A8&amp;" "&amp;TEXT(Requirements!B8-I188,"0.##")&amp;"; ","")&amp;IF(J188&lt;Requirements!B9,Requirements!A9&amp;" "&amp;TEXT(Requirements!B9-J188,"0.##")&amp;"; ","")&amp;IF(K188&lt;Requirements!B10,Requirements!A10&amp;" "&amp;TEXT(Requirements!B10-K188,"0.##")&amp;"; ","")&amp;IF(L188&lt;Requirements!B11,Requirements!A11&amp;" "&amp;TEXT(Requirements!B11-L188,"0.##")&amp;"; ","")&amp;IF(M188&lt;Requirements!B12,Requirements!A12&amp;" "&amp;TEXT(Requirements!B12-M188,"0.##")&amp;"; ","")))</f>
        <v/>
      </c>
    </row>
    <row r="189" customFormat="false" ht="15" hidden="false" customHeight="true" outlineLevel="0" collapsed="false">
      <c r="A189" s="11"/>
      <c r="B189" s="12"/>
      <c r="C189" s="13"/>
      <c r="D189" s="14" t="str">
        <f aca="false">IF(C189="","",DATE(YEAR(C189)-1,1,1))</f>
        <v/>
      </c>
      <c r="E189" s="14" t="str">
        <f aca="false">IF(C189="","",DATE(YEAR(C189),12,31))</f>
        <v/>
      </c>
      <c r="F189" s="15" t="str">
        <f aca="false">IF(OR(A189="",C189=""),"",SUMPRODUCT(('Training Detail'!$A$5:$A$5000=A189)*('Training Detail'!$M$5:$M$5000=Standards!A2)*('Training Detail'!$G$5:$G$5000&gt;=D189)*('Training Detail'!$G$5:$G$5000&lt;=E189)*('Training Detail'!$P$5:$P$5000)))</f>
        <v/>
      </c>
      <c r="G189" s="15" t="str">
        <f aca="false">IF(OR(A189="",C189=""),"",SUMPRODUCT(('Training Detail'!$A$5:$A$5000=A189)*('Training Detail'!$M$5:$M$5000=Standards!A3)*('Training Detail'!$G$5:$G$5000&gt;=D189)*('Training Detail'!$G$5:$G$5000&lt;=E189)*('Training Detail'!$P$5:$P$5000)))</f>
        <v/>
      </c>
      <c r="H189" s="15" t="str">
        <f aca="false">IF(OR(A189="",C189=""),"",SUMPRODUCT(('Training Detail'!$A$5:$A$5000=A189)*('Training Detail'!$M$5:$M$5000=Standards!A4)*('Training Detail'!$G$5:$G$5000&gt;=D189)*('Training Detail'!$G$5:$G$5000&lt;=E189)*('Training Detail'!$P$5:$P$5000)))</f>
        <v/>
      </c>
      <c r="I189" s="15" t="str">
        <f aca="false">IF(OR(A189="",C189=""),"",SUMPRODUCT(('Training Detail'!$A$5:$A$5000=A189)*('Training Detail'!$M$5:$M$5000=Standards!A5)*('Training Detail'!$G$5:$G$5000&gt;=D189)*('Training Detail'!$G$5:$G$5000&lt;=E189)*('Training Detail'!$P$5:$P$5000)))</f>
        <v/>
      </c>
      <c r="J189" s="15" t="str">
        <f aca="false">IF(OR(A189="",C189=""),"",SUMPRODUCT(('Training Detail'!$A$5:$A$5000=A189)*('Training Detail'!$M$5:$M$5000=Standards!A6)*('Training Detail'!$G$5:$G$5000&gt;=D189)*('Training Detail'!$G$5:$G$5000&lt;=E189)*('Training Detail'!$P$5:$P$5000)))</f>
        <v/>
      </c>
      <c r="K189" s="15" t="str">
        <f aca="false">IF(OR(A189="",C189=""),"",SUMPRODUCT(('Training Detail'!$A$5:$A$5000=A189)*('Training Detail'!$M$5:$M$5000=Standards!A7)*('Training Detail'!$G$5:$G$5000&gt;=D189)*('Training Detail'!$G$5:$G$5000&lt;=E189)*('Training Detail'!$P$5:$P$5000)))</f>
        <v/>
      </c>
      <c r="L189" s="15" t="str">
        <f aca="false">IF(OR(A189="",C189=""),"",SUMPRODUCT(('Training Detail'!$A$5:$A$5000=A189)*('Training Detail'!$M$5:$M$5000=Standards!A8)*('Training Detail'!$G$5:$G$5000&gt;=D189)*('Training Detail'!$G$5:$G$5000&lt;=E189)*('Training Detail'!$P$5:$P$5000)))</f>
        <v/>
      </c>
      <c r="M189" s="16" t="str">
        <f aca="false">IF(OR(A189="",C189=""),"",SUMPRODUCT(('Training Detail'!$A$5:$A$5000=A189)*('Training Detail'!$M$5:$M$5000=Standards!A9)*('Training Detail'!$G$5:$G$5000&gt;=D189)*('Training Detail'!$G$5:$G$5000&lt;=E189)*('Training Detail'!$P$5:$P$5000)))</f>
        <v/>
      </c>
      <c r="N189" s="17" t="str">
        <f aca="false">IF(A189="","",IF(C189="","Set exp date",IF(AND(F189&gt;=Requirements!B5,G189&gt;=Requirements!B6,H189&gt;=Requirements!B7,I189&gt;=Requirements!B8,J189&gt;=Requirements!B9,K189&gt;=Requirements!B10,L189&gt;=Requirements!B11,M189&gt;=Requirements!B12),"Met","Short")))</f>
        <v/>
      </c>
      <c r="O189" s="18" t="str">
        <f aca="false">IF(OR(A189="",C189=""),"",IF(N189="Met","",IF(F189&lt;Requirements!B5,Requirements!A5&amp;" "&amp;TEXT(Requirements!B5-F189,"0.##")&amp;"; ","")&amp;IF(G189&lt;Requirements!B6,Requirements!A6&amp;" "&amp;TEXT(Requirements!B6-G189,"0.##")&amp;"; ","")&amp;IF(H189&lt;Requirements!B7,Requirements!A7&amp;" "&amp;TEXT(Requirements!B7-H189,"0.##")&amp;"; ","")&amp;IF(I189&lt;Requirements!B8,Requirements!A8&amp;" "&amp;TEXT(Requirements!B8-I189,"0.##")&amp;"; ","")&amp;IF(J189&lt;Requirements!B9,Requirements!A9&amp;" "&amp;TEXT(Requirements!B9-J189,"0.##")&amp;"; ","")&amp;IF(K189&lt;Requirements!B10,Requirements!A10&amp;" "&amp;TEXT(Requirements!B10-K189,"0.##")&amp;"; ","")&amp;IF(L189&lt;Requirements!B11,Requirements!A11&amp;" "&amp;TEXT(Requirements!B11-L189,"0.##")&amp;"; ","")&amp;IF(M189&lt;Requirements!B12,Requirements!A12&amp;" "&amp;TEXT(Requirements!B12-M189,"0.##")&amp;"; ","")))</f>
        <v/>
      </c>
    </row>
    <row r="190" customFormat="false" ht="15" hidden="false" customHeight="true" outlineLevel="0" collapsed="false">
      <c r="A190" s="11"/>
      <c r="B190" s="12"/>
      <c r="C190" s="13"/>
      <c r="D190" s="14" t="str">
        <f aca="false">IF(C190="","",DATE(YEAR(C190)-1,1,1))</f>
        <v/>
      </c>
      <c r="E190" s="14" t="str">
        <f aca="false">IF(C190="","",DATE(YEAR(C190),12,31))</f>
        <v/>
      </c>
      <c r="F190" s="15" t="str">
        <f aca="false">IF(OR(A190="",C190=""),"",SUMPRODUCT(('Training Detail'!$A$5:$A$5000=A190)*('Training Detail'!$M$5:$M$5000=Standards!A2)*('Training Detail'!$G$5:$G$5000&gt;=D190)*('Training Detail'!$G$5:$G$5000&lt;=E190)*('Training Detail'!$P$5:$P$5000)))</f>
        <v/>
      </c>
      <c r="G190" s="15" t="str">
        <f aca="false">IF(OR(A190="",C190=""),"",SUMPRODUCT(('Training Detail'!$A$5:$A$5000=A190)*('Training Detail'!$M$5:$M$5000=Standards!A3)*('Training Detail'!$G$5:$G$5000&gt;=D190)*('Training Detail'!$G$5:$G$5000&lt;=E190)*('Training Detail'!$P$5:$P$5000)))</f>
        <v/>
      </c>
      <c r="H190" s="15" t="str">
        <f aca="false">IF(OR(A190="",C190=""),"",SUMPRODUCT(('Training Detail'!$A$5:$A$5000=A190)*('Training Detail'!$M$5:$M$5000=Standards!A4)*('Training Detail'!$G$5:$G$5000&gt;=D190)*('Training Detail'!$G$5:$G$5000&lt;=E190)*('Training Detail'!$P$5:$P$5000)))</f>
        <v/>
      </c>
      <c r="I190" s="15" t="str">
        <f aca="false">IF(OR(A190="",C190=""),"",SUMPRODUCT(('Training Detail'!$A$5:$A$5000=A190)*('Training Detail'!$M$5:$M$5000=Standards!A5)*('Training Detail'!$G$5:$G$5000&gt;=D190)*('Training Detail'!$G$5:$G$5000&lt;=E190)*('Training Detail'!$P$5:$P$5000)))</f>
        <v/>
      </c>
      <c r="J190" s="15" t="str">
        <f aca="false">IF(OR(A190="",C190=""),"",SUMPRODUCT(('Training Detail'!$A$5:$A$5000=A190)*('Training Detail'!$M$5:$M$5000=Standards!A6)*('Training Detail'!$G$5:$G$5000&gt;=D190)*('Training Detail'!$G$5:$G$5000&lt;=E190)*('Training Detail'!$P$5:$P$5000)))</f>
        <v/>
      </c>
      <c r="K190" s="15" t="str">
        <f aca="false">IF(OR(A190="",C190=""),"",SUMPRODUCT(('Training Detail'!$A$5:$A$5000=A190)*('Training Detail'!$M$5:$M$5000=Standards!A7)*('Training Detail'!$G$5:$G$5000&gt;=D190)*('Training Detail'!$G$5:$G$5000&lt;=E190)*('Training Detail'!$P$5:$P$5000)))</f>
        <v/>
      </c>
      <c r="L190" s="15" t="str">
        <f aca="false">IF(OR(A190="",C190=""),"",SUMPRODUCT(('Training Detail'!$A$5:$A$5000=A190)*('Training Detail'!$M$5:$M$5000=Standards!A8)*('Training Detail'!$G$5:$G$5000&gt;=D190)*('Training Detail'!$G$5:$G$5000&lt;=E190)*('Training Detail'!$P$5:$P$5000)))</f>
        <v/>
      </c>
      <c r="M190" s="16" t="str">
        <f aca="false">IF(OR(A190="",C190=""),"",SUMPRODUCT(('Training Detail'!$A$5:$A$5000=A190)*('Training Detail'!$M$5:$M$5000=Standards!A9)*('Training Detail'!$G$5:$G$5000&gt;=D190)*('Training Detail'!$G$5:$G$5000&lt;=E190)*('Training Detail'!$P$5:$P$5000)))</f>
        <v/>
      </c>
      <c r="N190" s="17" t="str">
        <f aca="false">IF(A190="","",IF(C190="","Set exp date",IF(AND(F190&gt;=Requirements!B5,G190&gt;=Requirements!B6,H190&gt;=Requirements!B7,I190&gt;=Requirements!B8,J190&gt;=Requirements!B9,K190&gt;=Requirements!B10,L190&gt;=Requirements!B11,M190&gt;=Requirements!B12),"Met","Short")))</f>
        <v/>
      </c>
      <c r="O190" s="18" t="str">
        <f aca="false">IF(OR(A190="",C190=""),"",IF(N190="Met","",IF(F190&lt;Requirements!B5,Requirements!A5&amp;" "&amp;TEXT(Requirements!B5-F190,"0.##")&amp;"; ","")&amp;IF(G190&lt;Requirements!B6,Requirements!A6&amp;" "&amp;TEXT(Requirements!B6-G190,"0.##")&amp;"; ","")&amp;IF(H190&lt;Requirements!B7,Requirements!A7&amp;" "&amp;TEXT(Requirements!B7-H190,"0.##")&amp;"; ","")&amp;IF(I190&lt;Requirements!B8,Requirements!A8&amp;" "&amp;TEXT(Requirements!B8-I190,"0.##")&amp;"; ","")&amp;IF(J190&lt;Requirements!B9,Requirements!A9&amp;" "&amp;TEXT(Requirements!B9-J190,"0.##")&amp;"; ","")&amp;IF(K190&lt;Requirements!B10,Requirements!A10&amp;" "&amp;TEXT(Requirements!B10-K190,"0.##")&amp;"; ","")&amp;IF(L190&lt;Requirements!B11,Requirements!A11&amp;" "&amp;TEXT(Requirements!B11-L190,"0.##")&amp;"; ","")&amp;IF(M190&lt;Requirements!B12,Requirements!A12&amp;" "&amp;TEXT(Requirements!B12-M190,"0.##")&amp;"; ","")))</f>
        <v/>
      </c>
    </row>
    <row r="191" customFormat="false" ht="15" hidden="false" customHeight="true" outlineLevel="0" collapsed="false">
      <c r="A191" s="11"/>
      <c r="B191" s="12"/>
      <c r="C191" s="13"/>
      <c r="D191" s="14" t="str">
        <f aca="false">IF(C191="","",DATE(YEAR(C191)-1,1,1))</f>
        <v/>
      </c>
      <c r="E191" s="14" t="str">
        <f aca="false">IF(C191="","",DATE(YEAR(C191),12,31))</f>
        <v/>
      </c>
      <c r="F191" s="15" t="str">
        <f aca="false">IF(OR(A191="",C191=""),"",SUMPRODUCT(('Training Detail'!$A$5:$A$5000=A191)*('Training Detail'!$M$5:$M$5000=Standards!A2)*('Training Detail'!$G$5:$G$5000&gt;=D191)*('Training Detail'!$G$5:$G$5000&lt;=E191)*('Training Detail'!$P$5:$P$5000)))</f>
        <v/>
      </c>
      <c r="G191" s="15" t="str">
        <f aca="false">IF(OR(A191="",C191=""),"",SUMPRODUCT(('Training Detail'!$A$5:$A$5000=A191)*('Training Detail'!$M$5:$M$5000=Standards!A3)*('Training Detail'!$G$5:$G$5000&gt;=D191)*('Training Detail'!$G$5:$G$5000&lt;=E191)*('Training Detail'!$P$5:$P$5000)))</f>
        <v/>
      </c>
      <c r="H191" s="15" t="str">
        <f aca="false">IF(OR(A191="",C191=""),"",SUMPRODUCT(('Training Detail'!$A$5:$A$5000=A191)*('Training Detail'!$M$5:$M$5000=Standards!A4)*('Training Detail'!$G$5:$G$5000&gt;=D191)*('Training Detail'!$G$5:$G$5000&lt;=E191)*('Training Detail'!$P$5:$P$5000)))</f>
        <v/>
      </c>
      <c r="I191" s="15" t="str">
        <f aca="false">IF(OR(A191="",C191=""),"",SUMPRODUCT(('Training Detail'!$A$5:$A$5000=A191)*('Training Detail'!$M$5:$M$5000=Standards!A5)*('Training Detail'!$G$5:$G$5000&gt;=D191)*('Training Detail'!$G$5:$G$5000&lt;=E191)*('Training Detail'!$P$5:$P$5000)))</f>
        <v/>
      </c>
      <c r="J191" s="15" t="str">
        <f aca="false">IF(OR(A191="",C191=""),"",SUMPRODUCT(('Training Detail'!$A$5:$A$5000=A191)*('Training Detail'!$M$5:$M$5000=Standards!A6)*('Training Detail'!$G$5:$G$5000&gt;=D191)*('Training Detail'!$G$5:$G$5000&lt;=E191)*('Training Detail'!$P$5:$P$5000)))</f>
        <v/>
      </c>
      <c r="K191" s="15" t="str">
        <f aca="false">IF(OR(A191="",C191=""),"",SUMPRODUCT(('Training Detail'!$A$5:$A$5000=A191)*('Training Detail'!$M$5:$M$5000=Standards!A7)*('Training Detail'!$G$5:$G$5000&gt;=D191)*('Training Detail'!$G$5:$G$5000&lt;=E191)*('Training Detail'!$P$5:$P$5000)))</f>
        <v/>
      </c>
      <c r="L191" s="15" t="str">
        <f aca="false">IF(OR(A191="",C191=""),"",SUMPRODUCT(('Training Detail'!$A$5:$A$5000=A191)*('Training Detail'!$M$5:$M$5000=Standards!A8)*('Training Detail'!$G$5:$G$5000&gt;=D191)*('Training Detail'!$G$5:$G$5000&lt;=E191)*('Training Detail'!$P$5:$P$5000)))</f>
        <v/>
      </c>
      <c r="M191" s="16" t="str">
        <f aca="false">IF(OR(A191="",C191=""),"",SUMPRODUCT(('Training Detail'!$A$5:$A$5000=A191)*('Training Detail'!$M$5:$M$5000=Standards!A9)*('Training Detail'!$G$5:$G$5000&gt;=D191)*('Training Detail'!$G$5:$G$5000&lt;=E191)*('Training Detail'!$P$5:$P$5000)))</f>
        <v/>
      </c>
      <c r="N191" s="17" t="str">
        <f aca="false">IF(A191="","",IF(C191="","Set exp date",IF(AND(F191&gt;=Requirements!B5,G191&gt;=Requirements!B6,H191&gt;=Requirements!B7,I191&gt;=Requirements!B8,J191&gt;=Requirements!B9,K191&gt;=Requirements!B10,L191&gt;=Requirements!B11,M191&gt;=Requirements!B12),"Met","Short")))</f>
        <v/>
      </c>
      <c r="O191" s="18" t="str">
        <f aca="false">IF(OR(A191="",C191=""),"",IF(N191="Met","",IF(F191&lt;Requirements!B5,Requirements!A5&amp;" "&amp;TEXT(Requirements!B5-F191,"0.##")&amp;"; ","")&amp;IF(G191&lt;Requirements!B6,Requirements!A6&amp;" "&amp;TEXT(Requirements!B6-G191,"0.##")&amp;"; ","")&amp;IF(H191&lt;Requirements!B7,Requirements!A7&amp;" "&amp;TEXT(Requirements!B7-H191,"0.##")&amp;"; ","")&amp;IF(I191&lt;Requirements!B8,Requirements!A8&amp;" "&amp;TEXT(Requirements!B8-I191,"0.##")&amp;"; ","")&amp;IF(J191&lt;Requirements!B9,Requirements!A9&amp;" "&amp;TEXT(Requirements!B9-J191,"0.##")&amp;"; ","")&amp;IF(K191&lt;Requirements!B10,Requirements!A10&amp;" "&amp;TEXT(Requirements!B10-K191,"0.##")&amp;"; ","")&amp;IF(L191&lt;Requirements!B11,Requirements!A11&amp;" "&amp;TEXT(Requirements!B11-L191,"0.##")&amp;"; ","")&amp;IF(M191&lt;Requirements!B12,Requirements!A12&amp;" "&amp;TEXT(Requirements!B12-M191,"0.##")&amp;"; ","")))</f>
        <v/>
      </c>
    </row>
    <row r="192" customFormat="false" ht="15" hidden="false" customHeight="true" outlineLevel="0" collapsed="false">
      <c r="A192" s="11"/>
      <c r="B192" s="12"/>
      <c r="C192" s="13"/>
      <c r="D192" s="14" t="str">
        <f aca="false">IF(C192="","",DATE(YEAR(C192)-1,1,1))</f>
        <v/>
      </c>
      <c r="E192" s="14" t="str">
        <f aca="false">IF(C192="","",DATE(YEAR(C192),12,31))</f>
        <v/>
      </c>
      <c r="F192" s="15" t="str">
        <f aca="false">IF(OR(A192="",C192=""),"",SUMPRODUCT(('Training Detail'!$A$5:$A$5000=A192)*('Training Detail'!$M$5:$M$5000=Standards!A2)*('Training Detail'!$G$5:$G$5000&gt;=D192)*('Training Detail'!$G$5:$G$5000&lt;=E192)*('Training Detail'!$P$5:$P$5000)))</f>
        <v/>
      </c>
      <c r="G192" s="15" t="str">
        <f aca="false">IF(OR(A192="",C192=""),"",SUMPRODUCT(('Training Detail'!$A$5:$A$5000=A192)*('Training Detail'!$M$5:$M$5000=Standards!A3)*('Training Detail'!$G$5:$G$5000&gt;=D192)*('Training Detail'!$G$5:$G$5000&lt;=E192)*('Training Detail'!$P$5:$P$5000)))</f>
        <v/>
      </c>
      <c r="H192" s="15" t="str">
        <f aca="false">IF(OR(A192="",C192=""),"",SUMPRODUCT(('Training Detail'!$A$5:$A$5000=A192)*('Training Detail'!$M$5:$M$5000=Standards!A4)*('Training Detail'!$G$5:$G$5000&gt;=D192)*('Training Detail'!$G$5:$G$5000&lt;=E192)*('Training Detail'!$P$5:$P$5000)))</f>
        <v/>
      </c>
      <c r="I192" s="15" t="str">
        <f aca="false">IF(OR(A192="",C192=""),"",SUMPRODUCT(('Training Detail'!$A$5:$A$5000=A192)*('Training Detail'!$M$5:$M$5000=Standards!A5)*('Training Detail'!$G$5:$G$5000&gt;=D192)*('Training Detail'!$G$5:$G$5000&lt;=E192)*('Training Detail'!$P$5:$P$5000)))</f>
        <v/>
      </c>
      <c r="J192" s="15" t="str">
        <f aca="false">IF(OR(A192="",C192=""),"",SUMPRODUCT(('Training Detail'!$A$5:$A$5000=A192)*('Training Detail'!$M$5:$M$5000=Standards!A6)*('Training Detail'!$G$5:$G$5000&gt;=D192)*('Training Detail'!$G$5:$G$5000&lt;=E192)*('Training Detail'!$P$5:$P$5000)))</f>
        <v/>
      </c>
      <c r="K192" s="15" t="str">
        <f aca="false">IF(OR(A192="",C192=""),"",SUMPRODUCT(('Training Detail'!$A$5:$A$5000=A192)*('Training Detail'!$M$5:$M$5000=Standards!A7)*('Training Detail'!$G$5:$G$5000&gt;=D192)*('Training Detail'!$G$5:$G$5000&lt;=E192)*('Training Detail'!$P$5:$P$5000)))</f>
        <v/>
      </c>
      <c r="L192" s="15" t="str">
        <f aca="false">IF(OR(A192="",C192=""),"",SUMPRODUCT(('Training Detail'!$A$5:$A$5000=A192)*('Training Detail'!$M$5:$M$5000=Standards!A8)*('Training Detail'!$G$5:$G$5000&gt;=D192)*('Training Detail'!$G$5:$G$5000&lt;=E192)*('Training Detail'!$P$5:$P$5000)))</f>
        <v/>
      </c>
      <c r="M192" s="16" t="str">
        <f aca="false">IF(OR(A192="",C192=""),"",SUMPRODUCT(('Training Detail'!$A$5:$A$5000=A192)*('Training Detail'!$M$5:$M$5000=Standards!A9)*('Training Detail'!$G$5:$G$5000&gt;=D192)*('Training Detail'!$G$5:$G$5000&lt;=E192)*('Training Detail'!$P$5:$P$5000)))</f>
        <v/>
      </c>
      <c r="N192" s="17" t="str">
        <f aca="false">IF(A192="","",IF(C192="","Set exp date",IF(AND(F192&gt;=Requirements!B5,G192&gt;=Requirements!B6,H192&gt;=Requirements!B7,I192&gt;=Requirements!B8,J192&gt;=Requirements!B9,K192&gt;=Requirements!B10,L192&gt;=Requirements!B11,M192&gt;=Requirements!B12),"Met","Short")))</f>
        <v/>
      </c>
      <c r="O192" s="18" t="str">
        <f aca="false">IF(OR(A192="",C192=""),"",IF(N192="Met","",IF(F192&lt;Requirements!B5,Requirements!A5&amp;" "&amp;TEXT(Requirements!B5-F192,"0.##")&amp;"; ","")&amp;IF(G192&lt;Requirements!B6,Requirements!A6&amp;" "&amp;TEXT(Requirements!B6-G192,"0.##")&amp;"; ","")&amp;IF(H192&lt;Requirements!B7,Requirements!A7&amp;" "&amp;TEXT(Requirements!B7-H192,"0.##")&amp;"; ","")&amp;IF(I192&lt;Requirements!B8,Requirements!A8&amp;" "&amp;TEXT(Requirements!B8-I192,"0.##")&amp;"; ","")&amp;IF(J192&lt;Requirements!B9,Requirements!A9&amp;" "&amp;TEXT(Requirements!B9-J192,"0.##")&amp;"; ","")&amp;IF(K192&lt;Requirements!B10,Requirements!A10&amp;" "&amp;TEXT(Requirements!B10-K192,"0.##")&amp;"; ","")&amp;IF(L192&lt;Requirements!B11,Requirements!A11&amp;" "&amp;TEXT(Requirements!B11-L192,"0.##")&amp;"; ","")&amp;IF(M192&lt;Requirements!B12,Requirements!A12&amp;" "&amp;TEXT(Requirements!B12-M192,"0.##")&amp;"; ","")))</f>
        <v/>
      </c>
    </row>
    <row r="193" customFormat="false" ht="15" hidden="false" customHeight="true" outlineLevel="0" collapsed="false">
      <c r="A193" s="11"/>
      <c r="B193" s="12"/>
      <c r="C193" s="13"/>
      <c r="D193" s="14" t="str">
        <f aca="false">IF(C193="","",DATE(YEAR(C193)-1,1,1))</f>
        <v/>
      </c>
      <c r="E193" s="14" t="str">
        <f aca="false">IF(C193="","",DATE(YEAR(C193),12,31))</f>
        <v/>
      </c>
      <c r="F193" s="15" t="str">
        <f aca="false">IF(OR(A193="",C193=""),"",SUMPRODUCT(('Training Detail'!$A$5:$A$5000=A193)*('Training Detail'!$M$5:$M$5000=Standards!A2)*('Training Detail'!$G$5:$G$5000&gt;=D193)*('Training Detail'!$G$5:$G$5000&lt;=E193)*('Training Detail'!$P$5:$P$5000)))</f>
        <v/>
      </c>
      <c r="G193" s="15" t="str">
        <f aca="false">IF(OR(A193="",C193=""),"",SUMPRODUCT(('Training Detail'!$A$5:$A$5000=A193)*('Training Detail'!$M$5:$M$5000=Standards!A3)*('Training Detail'!$G$5:$G$5000&gt;=D193)*('Training Detail'!$G$5:$G$5000&lt;=E193)*('Training Detail'!$P$5:$P$5000)))</f>
        <v/>
      </c>
      <c r="H193" s="15" t="str">
        <f aca="false">IF(OR(A193="",C193=""),"",SUMPRODUCT(('Training Detail'!$A$5:$A$5000=A193)*('Training Detail'!$M$5:$M$5000=Standards!A4)*('Training Detail'!$G$5:$G$5000&gt;=D193)*('Training Detail'!$G$5:$G$5000&lt;=E193)*('Training Detail'!$P$5:$P$5000)))</f>
        <v/>
      </c>
      <c r="I193" s="15" t="str">
        <f aca="false">IF(OR(A193="",C193=""),"",SUMPRODUCT(('Training Detail'!$A$5:$A$5000=A193)*('Training Detail'!$M$5:$M$5000=Standards!A5)*('Training Detail'!$G$5:$G$5000&gt;=D193)*('Training Detail'!$G$5:$G$5000&lt;=E193)*('Training Detail'!$P$5:$P$5000)))</f>
        <v/>
      </c>
      <c r="J193" s="15" t="str">
        <f aca="false">IF(OR(A193="",C193=""),"",SUMPRODUCT(('Training Detail'!$A$5:$A$5000=A193)*('Training Detail'!$M$5:$M$5000=Standards!A6)*('Training Detail'!$G$5:$G$5000&gt;=D193)*('Training Detail'!$G$5:$G$5000&lt;=E193)*('Training Detail'!$P$5:$P$5000)))</f>
        <v/>
      </c>
      <c r="K193" s="15" t="str">
        <f aca="false">IF(OR(A193="",C193=""),"",SUMPRODUCT(('Training Detail'!$A$5:$A$5000=A193)*('Training Detail'!$M$5:$M$5000=Standards!A7)*('Training Detail'!$G$5:$G$5000&gt;=D193)*('Training Detail'!$G$5:$G$5000&lt;=E193)*('Training Detail'!$P$5:$P$5000)))</f>
        <v/>
      </c>
      <c r="L193" s="15" t="str">
        <f aca="false">IF(OR(A193="",C193=""),"",SUMPRODUCT(('Training Detail'!$A$5:$A$5000=A193)*('Training Detail'!$M$5:$M$5000=Standards!A8)*('Training Detail'!$G$5:$G$5000&gt;=D193)*('Training Detail'!$G$5:$G$5000&lt;=E193)*('Training Detail'!$P$5:$P$5000)))</f>
        <v/>
      </c>
      <c r="M193" s="16" t="str">
        <f aca="false">IF(OR(A193="",C193=""),"",SUMPRODUCT(('Training Detail'!$A$5:$A$5000=A193)*('Training Detail'!$M$5:$M$5000=Standards!A9)*('Training Detail'!$G$5:$G$5000&gt;=D193)*('Training Detail'!$G$5:$G$5000&lt;=E193)*('Training Detail'!$P$5:$P$5000)))</f>
        <v/>
      </c>
      <c r="N193" s="17" t="str">
        <f aca="false">IF(A193="","",IF(C193="","Set exp date",IF(AND(F193&gt;=Requirements!B5,G193&gt;=Requirements!B6,H193&gt;=Requirements!B7,I193&gt;=Requirements!B8,J193&gt;=Requirements!B9,K193&gt;=Requirements!B10,L193&gt;=Requirements!B11,M193&gt;=Requirements!B12),"Met","Short")))</f>
        <v/>
      </c>
      <c r="O193" s="18" t="str">
        <f aca="false">IF(OR(A193="",C193=""),"",IF(N193="Met","",IF(F193&lt;Requirements!B5,Requirements!A5&amp;" "&amp;TEXT(Requirements!B5-F193,"0.##")&amp;"; ","")&amp;IF(G193&lt;Requirements!B6,Requirements!A6&amp;" "&amp;TEXT(Requirements!B6-G193,"0.##")&amp;"; ","")&amp;IF(H193&lt;Requirements!B7,Requirements!A7&amp;" "&amp;TEXT(Requirements!B7-H193,"0.##")&amp;"; ","")&amp;IF(I193&lt;Requirements!B8,Requirements!A8&amp;" "&amp;TEXT(Requirements!B8-I193,"0.##")&amp;"; ","")&amp;IF(J193&lt;Requirements!B9,Requirements!A9&amp;" "&amp;TEXT(Requirements!B9-J193,"0.##")&amp;"; ","")&amp;IF(K193&lt;Requirements!B10,Requirements!A10&amp;" "&amp;TEXT(Requirements!B10-K193,"0.##")&amp;"; ","")&amp;IF(L193&lt;Requirements!B11,Requirements!A11&amp;" "&amp;TEXT(Requirements!B11-L193,"0.##")&amp;"; ","")&amp;IF(M193&lt;Requirements!B12,Requirements!A12&amp;" "&amp;TEXT(Requirements!B12-M193,"0.##")&amp;"; ","")))</f>
        <v/>
      </c>
    </row>
    <row r="194" customFormat="false" ht="15" hidden="false" customHeight="true" outlineLevel="0" collapsed="false">
      <c r="A194" s="11"/>
      <c r="B194" s="12"/>
      <c r="C194" s="13"/>
      <c r="D194" s="14" t="str">
        <f aca="false">IF(C194="","",DATE(YEAR(C194)-1,1,1))</f>
        <v/>
      </c>
      <c r="E194" s="14" t="str">
        <f aca="false">IF(C194="","",DATE(YEAR(C194),12,31))</f>
        <v/>
      </c>
      <c r="F194" s="15" t="str">
        <f aca="false">IF(OR(A194="",C194=""),"",SUMPRODUCT(('Training Detail'!$A$5:$A$5000=A194)*('Training Detail'!$M$5:$M$5000=Standards!A2)*('Training Detail'!$G$5:$G$5000&gt;=D194)*('Training Detail'!$G$5:$G$5000&lt;=E194)*('Training Detail'!$P$5:$P$5000)))</f>
        <v/>
      </c>
      <c r="G194" s="15" t="str">
        <f aca="false">IF(OR(A194="",C194=""),"",SUMPRODUCT(('Training Detail'!$A$5:$A$5000=A194)*('Training Detail'!$M$5:$M$5000=Standards!A3)*('Training Detail'!$G$5:$G$5000&gt;=D194)*('Training Detail'!$G$5:$G$5000&lt;=E194)*('Training Detail'!$P$5:$P$5000)))</f>
        <v/>
      </c>
      <c r="H194" s="15" t="str">
        <f aca="false">IF(OR(A194="",C194=""),"",SUMPRODUCT(('Training Detail'!$A$5:$A$5000=A194)*('Training Detail'!$M$5:$M$5000=Standards!A4)*('Training Detail'!$G$5:$G$5000&gt;=D194)*('Training Detail'!$G$5:$G$5000&lt;=E194)*('Training Detail'!$P$5:$P$5000)))</f>
        <v/>
      </c>
      <c r="I194" s="15" t="str">
        <f aca="false">IF(OR(A194="",C194=""),"",SUMPRODUCT(('Training Detail'!$A$5:$A$5000=A194)*('Training Detail'!$M$5:$M$5000=Standards!A5)*('Training Detail'!$G$5:$G$5000&gt;=D194)*('Training Detail'!$G$5:$G$5000&lt;=E194)*('Training Detail'!$P$5:$P$5000)))</f>
        <v/>
      </c>
      <c r="J194" s="15" t="str">
        <f aca="false">IF(OR(A194="",C194=""),"",SUMPRODUCT(('Training Detail'!$A$5:$A$5000=A194)*('Training Detail'!$M$5:$M$5000=Standards!A6)*('Training Detail'!$G$5:$G$5000&gt;=D194)*('Training Detail'!$G$5:$G$5000&lt;=E194)*('Training Detail'!$P$5:$P$5000)))</f>
        <v/>
      </c>
      <c r="K194" s="15" t="str">
        <f aca="false">IF(OR(A194="",C194=""),"",SUMPRODUCT(('Training Detail'!$A$5:$A$5000=A194)*('Training Detail'!$M$5:$M$5000=Standards!A7)*('Training Detail'!$G$5:$G$5000&gt;=D194)*('Training Detail'!$G$5:$G$5000&lt;=E194)*('Training Detail'!$P$5:$P$5000)))</f>
        <v/>
      </c>
      <c r="L194" s="15" t="str">
        <f aca="false">IF(OR(A194="",C194=""),"",SUMPRODUCT(('Training Detail'!$A$5:$A$5000=A194)*('Training Detail'!$M$5:$M$5000=Standards!A8)*('Training Detail'!$G$5:$G$5000&gt;=D194)*('Training Detail'!$G$5:$G$5000&lt;=E194)*('Training Detail'!$P$5:$P$5000)))</f>
        <v/>
      </c>
      <c r="M194" s="16" t="str">
        <f aca="false">IF(OR(A194="",C194=""),"",SUMPRODUCT(('Training Detail'!$A$5:$A$5000=A194)*('Training Detail'!$M$5:$M$5000=Standards!A9)*('Training Detail'!$G$5:$G$5000&gt;=D194)*('Training Detail'!$G$5:$G$5000&lt;=E194)*('Training Detail'!$P$5:$P$5000)))</f>
        <v/>
      </c>
      <c r="N194" s="17" t="str">
        <f aca="false">IF(A194="","",IF(C194="","Set exp date",IF(AND(F194&gt;=Requirements!B5,G194&gt;=Requirements!B6,H194&gt;=Requirements!B7,I194&gt;=Requirements!B8,J194&gt;=Requirements!B9,K194&gt;=Requirements!B10,L194&gt;=Requirements!B11,M194&gt;=Requirements!B12),"Met","Short")))</f>
        <v/>
      </c>
      <c r="O194" s="18" t="str">
        <f aca="false">IF(OR(A194="",C194=""),"",IF(N194="Met","",IF(F194&lt;Requirements!B5,Requirements!A5&amp;" "&amp;TEXT(Requirements!B5-F194,"0.##")&amp;"; ","")&amp;IF(G194&lt;Requirements!B6,Requirements!A6&amp;" "&amp;TEXT(Requirements!B6-G194,"0.##")&amp;"; ","")&amp;IF(H194&lt;Requirements!B7,Requirements!A7&amp;" "&amp;TEXT(Requirements!B7-H194,"0.##")&amp;"; ","")&amp;IF(I194&lt;Requirements!B8,Requirements!A8&amp;" "&amp;TEXT(Requirements!B8-I194,"0.##")&amp;"; ","")&amp;IF(J194&lt;Requirements!B9,Requirements!A9&amp;" "&amp;TEXT(Requirements!B9-J194,"0.##")&amp;"; ","")&amp;IF(K194&lt;Requirements!B10,Requirements!A10&amp;" "&amp;TEXT(Requirements!B10-K194,"0.##")&amp;"; ","")&amp;IF(L194&lt;Requirements!B11,Requirements!A11&amp;" "&amp;TEXT(Requirements!B11-L194,"0.##")&amp;"; ","")&amp;IF(M194&lt;Requirements!B12,Requirements!A12&amp;" "&amp;TEXT(Requirements!B12-M194,"0.##")&amp;"; ","")))</f>
        <v/>
      </c>
    </row>
    <row r="195" customFormat="false" ht="15" hidden="false" customHeight="true" outlineLevel="0" collapsed="false">
      <c r="A195" s="11"/>
      <c r="B195" s="12"/>
      <c r="C195" s="13"/>
      <c r="D195" s="14" t="str">
        <f aca="false">IF(C195="","",DATE(YEAR(C195)-1,1,1))</f>
        <v/>
      </c>
      <c r="E195" s="14" t="str">
        <f aca="false">IF(C195="","",DATE(YEAR(C195),12,31))</f>
        <v/>
      </c>
      <c r="F195" s="15" t="str">
        <f aca="false">IF(OR(A195="",C195=""),"",SUMPRODUCT(('Training Detail'!$A$5:$A$5000=A195)*('Training Detail'!$M$5:$M$5000=Standards!A2)*('Training Detail'!$G$5:$G$5000&gt;=D195)*('Training Detail'!$G$5:$G$5000&lt;=E195)*('Training Detail'!$P$5:$P$5000)))</f>
        <v/>
      </c>
      <c r="G195" s="15" t="str">
        <f aca="false">IF(OR(A195="",C195=""),"",SUMPRODUCT(('Training Detail'!$A$5:$A$5000=A195)*('Training Detail'!$M$5:$M$5000=Standards!A3)*('Training Detail'!$G$5:$G$5000&gt;=D195)*('Training Detail'!$G$5:$G$5000&lt;=E195)*('Training Detail'!$P$5:$P$5000)))</f>
        <v/>
      </c>
      <c r="H195" s="15" t="str">
        <f aca="false">IF(OR(A195="",C195=""),"",SUMPRODUCT(('Training Detail'!$A$5:$A$5000=A195)*('Training Detail'!$M$5:$M$5000=Standards!A4)*('Training Detail'!$G$5:$G$5000&gt;=D195)*('Training Detail'!$G$5:$G$5000&lt;=E195)*('Training Detail'!$P$5:$P$5000)))</f>
        <v/>
      </c>
      <c r="I195" s="15" t="str">
        <f aca="false">IF(OR(A195="",C195=""),"",SUMPRODUCT(('Training Detail'!$A$5:$A$5000=A195)*('Training Detail'!$M$5:$M$5000=Standards!A5)*('Training Detail'!$G$5:$G$5000&gt;=D195)*('Training Detail'!$G$5:$G$5000&lt;=E195)*('Training Detail'!$P$5:$P$5000)))</f>
        <v/>
      </c>
      <c r="J195" s="15" t="str">
        <f aca="false">IF(OR(A195="",C195=""),"",SUMPRODUCT(('Training Detail'!$A$5:$A$5000=A195)*('Training Detail'!$M$5:$M$5000=Standards!A6)*('Training Detail'!$G$5:$G$5000&gt;=D195)*('Training Detail'!$G$5:$G$5000&lt;=E195)*('Training Detail'!$P$5:$P$5000)))</f>
        <v/>
      </c>
      <c r="K195" s="15" t="str">
        <f aca="false">IF(OR(A195="",C195=""),"",SUMPRODUCT(('Training Detail'!$A$5:$A$5000=A195)*('Training Detail'!$M$5:$M$5000=Standards!A7)*('Training Detail'!$G$5:$G$5000&gt;=D195)*('Training Detail'!$G$5:$G$5000&lt;=E195)*('Training Detail'!$P$5:$P$5000)))</f>
        <v/>
      </c>
      <c r="L195" s="15" t="str">
        <f aca="false">IF(OR(A195="",C195=""),"",SUMPRODUCT(('Training Detail'!$A$5:$A$5000=A195)*('Training Detail'!$M$5:$M$5000=Standards!A8)*('Training Detail'!$G$5:$G$5000&gt;=D195)*('Training Detail'!$G$5:$G$5000&lt;=E195)*('Training Detail'!$P$5:$P$5000)))</f>
        <v/>
      </c>
      <c r="M195" s="16" t="str">
        <f aca="false">IF(OR(A195="",C195=""),"",SUMPRODUCT(('Training Detail'!$A$5:$A$5000=A195)*('Training Detail'!$M$5:$M$5000=Standards!A9)*('Training Detail'!$G$5:$G$5000&gt;=D195)*('Training Detail'!$G$5:$G$5000&lt;=E195)*('Training Detail'!$P$5:$P$5000)))</f>
        <v/>
      </c>
      <c r="N195" s="17" t="str">
        <f aca="false">IF(A195="","",IF(C195="","Set exp date",IF(AND(F195&gt;=Requirements!B5,G195&gt;=Requirements!B6,H195&gt;=Requirements!B7,I195&gt;=Requirements!B8,J195&gt;=Requirements!B9,K195&gt;=Requirements!B10,L195&gt;=Requirements!B11,M195&gt;=Requirements!B12),"Met","Short")))</f>
        <v/>
      </c>
      <c r="O195" s="18" t="str">
        <f aca="false">IF(OR(A195="",C195=""),"",IF(N195="Met","",IF(F195&lt;Requirements!B5,Requirements!A5&amp;" "&amp;TEXT(Requirements!B5-F195,"0.##")&amp;"; ","")&amp;IF(G195&lt;Requirements!B6,Requirements!A6&amp;" "&amp;TEXT(Requirements!B6-G195,"0.##")&amp;"; ","")&amp;IF(H195&lt;Requirements!B7,Requirements!A7&amp;" "&amp;TEXT(Requirements!B7-H195,"0.##")&amp;"; ","")&amp;IF(I195&lt;Requirements!B8,Requirements!A8&amp;" "&amp;TEXT(Requirements!B8-I195,"0.##")&amp;"; ","")&amp;IF(J195&lt;Requirements!B9,Requirements!A9&amp;" "&amp;TEXT(Requirements!B9-J195,"0.##")&amp;"; ","")&amp;IF(K195&lt;Requirements!B10,Requirements!A10&amp;" "&amp;TEXT(Requirements!B10-K195,"0.##")&amp;"; ","")&amp;IF(L195&lt;Requirements!B11,Requirements!A11&amp;" "&amp;TEXT(Requirements!B11-L195,"0.##")&amp;"; ","")&amp;IF(M195&lt;Requirements!B12,Requirements!A12&amp;" "&amp;TEXT(Requirements!B12-M195,"0.##")&amp;"; ","")))</f>
        <v/>
      </c>
    </row>
    <row r="196" customFormat="false" ht="15" hidden="false" customHeight="true" outlineLevel="0" collapsed="false">
      <c r="A196" s="11"/>
      <c r="B196" s="12"/>
      <c r="C196" s="13"/>
      <c r="D196" s="14" t="str">
        <f aca="false">IF(C196="","",DATE(YEAR(C196)-1,1,1))</f>
        <v/>
      </c>
      <c r="E196" s="14" t="str">
        <f aca="false">IF(C196="","",DATE(YEAR(C196),12,31))</f>
        <v/>
      </c>
      <c r="F196" s="15" t="str">
        <f aca="false">IF(OR(A196="",C196=""),"",SUMPRODUCT(('Training Detail'!$A$5:$A$5000=A196)*('Training Detail'!$M$5:$M$5000=Standards!A2)*('Training Detail'!$G$5:$G$5000&gt;=D196)*('Training Detail'!$G$5:$G$5000&lt;=E196)*('Training Detail'!$P$5:$P$5000)))</f>
        <v/>
      </c>
      <c r="G196" s="15" t="str">
        <f aca="false">IF(OR(A196="",C196=""),"",SUMPRODUCT(('Training Detail'!$A$5:$A$5000=A196)*('Training Detail'!$M$5:$M$5000=Standards!A3)*('Training Detail'!$G$5:$G$5000&gt;=D196)*('Training Detail'!$G$5:$G$5000&lt;=E196)*('Training Detail'!$P$5:$P$5000)))</f>
        <v/>
      </c>
      <c r="H196" s="15" t="str">
        <f aca="false">IF(OR(A196="",C196=""),"",SUMPRODUCT(('Training Detail'!$A$5:$A$5000=A196)*('Training Detail'!$M$5:$M$5000=Standards!A4)*('Training Detail'!$G$5:$G$5000&gt;=D196)*('Training Detail'!$G$5:$G$5000&lt;=E196)*('Training Detail'!$P$5:$P$5000)))</f>
        <v/>
      </c>
      <c r="I196" s="15" t="str">
        <f aca="false">IF(OR(A196="",C196=""),"",SUMPRODUCT(('Training Detail'!$A$5:$A$5000=A196)*('Training Detail'!$M$5:$M$5000=Standards!A5)*('Training Detail'!$G$5:$G$5000&gt;=D196)*('Training Detail'!$G$5:$G$5000&lt;=E196)*('Training Detail'!$P$5:$P$5000)))</f>
        <v/>
      </c>
      <c r="J196" s="15" t="str">
        <f aca="false">IF(OR(A196="",C196=""),"",SUMPRODUCT(('Training Detail'!$A$5:$A$5000=A196)*('Training Detail'!$M$5:$M$5000=Standards!A6)*('Training Detail'!$G$5:$G$5000&gt;=D196)*('Training Detail'!$G$5:$G$5000&lt;=E196)*('Training Detail'!$P$5:$P$5000)))</f>
        <v/>
      </c>
      <c r="K196" s="15" t="str">
        <f aca="false">IF(OR(A196="",C196=""),"",SUMPRODUCT(('Training Detail'!$A$5:$A$5000=A196)*('Training Detail'!$M$5:$M$5000=Standards!A7)*('Training Detail'!$G$5:$G$5000&gt;=D196)*('Training Detail'!$G$5:$G$5000&lt;=E196)*('Training Detail'!$P$5:$P$5000)))</f>
        <v/>
      </c>
      <c r="L196" s="15" t="str">
        <f aca="false">IF(OR(A196="",C196=""),"",SUMPRODUCT(('Training Detail'!$A$5:$A$5000=A196)*('Training Detail'!$M$5:$M$5000=Standards!A8)*('Training Detail'!$G$5:$G$5000&gt;=D196)*('Training Detail'!$G$5:$G$5000&lt;=E196)*('Training Detail'!$P$5:$P$5000)))</f>
        <v/>
      </c>
      <c r="M196" s="16" t="str">
        <f aca="false">IF(OR(A196="",C196=""),"",SUMPRODUCT(('Training Detail'!$A$5:$A$5000=A196)*('Training Detail'!$M$5:$M$5000=Standards!A9)*('Training Detail'!$G$5:$G$5000&gt;=D196)*('Training Detail'!$G$5:$G$5000&lt;=E196)*('Training Detail'!$P$5:$P$5000)))</f>
        <v/>
      </c>
      <c r="N196" s="17" t="str">
        <f aca="false">IF(A196="","",IF(C196="","Set exp date",IF(AND(F196&gt;=Requirements!B5,G196&gt;=Requirements!B6,H196&gt;=Requirements!B7,I196&gt;=Requirements!B8,J196&gt;=Requirements!B9,K196&gt;=Requirements!B10,L196&gt;=Requirements!B11,M196&gt;=Requirements!B12),"Met","Short")))</f>
        <v/>
      </c>
      <c r="O196" s="18" t="str">
        <f aca="false">IF(OR(A196="",C196=""),"",IF(N196="Met","",IF(F196&lt;Requirements!B5,Requirements!A5&amp;" "&amp;TEXT(Requirements!B5-F196,"0.##")&amp;"; ","")&amp;IF(G196&lt;Requirements!B6,Requirements!A6&amp;" "&amp;TEXT(Requirements!B6-G196,"0.##")&amp;"; ","")&amp;IF(H196&lt;Requirements!B7,Requirements!A7&amp;" "&amp;TEXT(Requirements!B7-H196,"0.##")&amp;"; ","")&amp;IF(I196&lt;Requirements!B8,Requirements!A8&amp;" "&amp;TEXT(Requirements!B8-I196,"0.##")&amp;"; ","")&amp;IF(J196&lt;Requirements!B9,Requirements!A9&amp;" "&amp;TEXT(Requirements!B9-J196,"0.##")&amp;"; ","")&amp;IF(K196&lt;Requirements!B10,Requirements!A10&amp;" "&amp;TEXT(Requirements!B10-K196,"0.##")&amp;"; ","")&amp;IF(L196&lt;Requirements!B11,Requirements!A11&amp;" "&amp;TEXT(Requirements!B11-L196,"0.##")&amp;"; ","")&amp;IF(M196&lt;Requirements!B12,Requirements!A12&amp;" "&amp;TEXT(Requirements!B12-M196,"0.##")&amp;"; ","")))</f>
        <v/>
      </c>
    </row>
    <row r="197" customFormat="false" ht="15" hidden="false" customHeight="true" outlineLevel="0" collapsed="false">
      <c r="A197" s="11"/>
      <c r="B197" s="12"/>
      <c r="C197" s="13"/>
      <c r="D197" s="14" t="str">
        <f aca="false">IF(C197="","",DATE(YEAR(C197)-1,1,1))</f>
        <v/>
      </c>
      <c r="E197" s="14" t="str">
        <f aca="false">IF(C197="","",DATE(YEAR(C197),12,31))</f>
        <v/>
      </c>
      <c r="F197" s="15" t="str">
        <f aca="false">IF(OR(A197="",C197=""),"",SUMPRODUCT(('Training Detail'!$A$5:$A$5000=A197)*('Training Detail'!$M$5:$M$5000=Standards!A2)*('Training Detail'!$G$5:$G$5000&gt;=D197)*('Training Detail'!$G$5:$G$5000&lt;=E197)*('Training Detail'!$P$5:$P$5000)))</f>
        <v/>
      </c>
      <c r="G197" s="15" t="str">
        <f aca="false">IF(OR(A197="",C197=""),"",SUMPRODUCT(('Training Detail'!$A$5:$A$5000=A197)*('Training Detail'!$M$5:$M$5000=Standards!A3)*('Training Detail'!$G$5:$G$5000&gt;=D197)*('Training Detail'!$G$5:$G$5000&lt;=E197)*('Training Detail'!$P$5:$P$5000)))</f>
        <v/>
      </c>
      <c r="H197" s="15" t="str">
        <f aca="false">IF(OR(A197="",C197=""),"",SUMPRODUCT(('Training Detail'!$A$5:$A$5000=A197)*('Training Detail'!$M$5:$M$5000=Standards!A4)*('Training Detail'!$G$5:$G$5000&gt;=D197)*('Training Detail'!$G$5:$G$5000&lt;=E197)*('Training Detail'!$P$5:$P$5000)))</f>
        <v/>
      </c>
      <c r="I197" s="15" t="str">
        <f aca="false">IF(OR(A197="",C197=""),"",SUMPRODUCT(('Training Detail'!$A$5:$A$5000=A197)*('Training Detail'!$M$5:$M$5000=Standards!A5)*('Training Detail'!$G$5:$G$5000&gt;=D197)*('Training Detail'!$G$5:$G$5000&lt;=E197)*('Training Detail'!$P$5:$P$5000)))</f>
        <v/>
      </c>
      <c r="J197" s="15" t="str">
        <f aca="false">IF(OR(A197="",C197=""),"",SUMPRODUCT(('Training Detail'!$A$5:$A$5000=A197)*('Training Detail'!$M$5:$M$5000=Standards!A6)*('Training Detail'!$G$5:$G$5000&gt;=D197)*('Training Detail'!$G$5:$G$5000&lt;=E197)*('Training Detail'!$P$5:$P$5000)))</f>
        <v/>
      </c>
      <c r="K197" s="15" t="str">
        <f aca="false">IF(OR(A197="",C197=""),"",SUMPRODUCT(('Training Detail'!$A$5:$A$5000=A197)*('Training Detail'!$M$5:$M$5000=Standards!A7)*('Training Detail'!$G$5:$G$5000&gt;=D197)*('Training Detail'!$G$5:$G$5000&lt;=E197)*('Training Detail'!$P$5:$P$5000)))</f>
        <v/>
      </c>
      <c r="L197" s="15" t="str">
        <f aca="false">IF(OR(A197="",C197=""),"",SUMPRODUCT(('Training Detail'!$A$5:$A$5000=A197)*('Training Detail'!$M$5:$M$5000=Standards!A8)*('Training Detail'!$G$5:$G$5000&gt;=D197)*('Training Detail'!$G$5:$G$5000&lt;=E197)*('Training Detail'!$P$5:$P$5000)))</f>
        <v/>
      </c>
      <c r="M197" s="16" t="str">
        <f aca="false">IF(OR(A197="",C197=""),"",SUMPRODUCT(('Training Detail'!$A$5:$A$5000=A197)*('Training Detail'!$M$5:$M$5000=Standards!A9)*('Training Detail'!$G$5:$G$5000&gt;=D197)*('Training Detail'!$G$5:$G$5000&lt;=E197)*('Training Detail'!$P$5:$P$5000)))</f>
        <v/>
      </c>
      <c r="N197" s="17" t="str">
        <f aca="false">IF(A197="","",IF(C197="","Set exp date",IF(AND(F197&gt;=Requirements!B5,G197&gt;=Requirements!B6,H197&gt;=Requirements!B7,I197&gt;=Requirements!B8,J197&gt;=Requirements!B9,K197&gt;=Requirements!B10,L197&gt;=Requirements!B11,M197&gt;=Requirements!B12),"Met","Short")))</f>
        <v/>
      </c>
      <c r="O197" s="18" t="str">
        <f aca="false">IF(OR(A197="",C197=""),"",IF(N197="Met","",IF(F197&lt;Requirements!B5,Requirements!A5&amp;" "&amp;TEXT(Requirements!B5-F197,"0.##")&amp;"; ","")&amp;IF(G197&lt;Requirements!B6,Requirements!A6&amp;" "&amp;TEXT(Requirements!B6-G197,"0.##")&amp;"; ","")&amp;IF(H197&lt;Requirements!B7,Requirements!A7&amp;" "&amp;TEXT(Requirements!B7-H197,"0.##")&amp;"; ","")&amp;IF(I197&lt;Requirements!B8,Requirements!A8&amp;" "&amp;TEXT(Requirements!B8-I197,"0.##")&amp;"; ","")&amp;IF(J197&lt;Requirements!B9,Requirements!A9&amp;" "&amp;TEXT(Requirements!B9-J197,"0.##")&amp;"; ","")&amp;IF(K197&lt;Requirements!B10,Requirements!A10&amp;" "&amp;TEXT(Requirements!B10-K197,"0.##")&amp;"; ","")&amp;IF(L197&lt;Requirements!B11,Requirements!A11&amp;" "&amp;TEXT(Requirements!B11-L197,"0.##")&amp;"; ","")&amp;IF(M197&lt;Requirements!B12,Requirements!A12&amp;" "&amp;TEXT(Requirements!B12-M197,"0.##")&amp;"; ","")))</f>
        <v/>
      </c>
    </row>
    <row r="198" customFormat="false" ht="15" hidden="false" customHeight="true" outlineLevel="0" collapsed="false">
      <c r="A198" s="11"/>
      <c r="B198" s="12"/>
      <c r="C198" s="13"/>
      <c r="D198" s="14" t="str">
        <f aca="false">IF(C198="","",DATE(YEAR(C198)-1,1,1))</f>
        <v/>
      </c>
      <c r="E198" s="14" t="str">
        <f aca="false">IF(C198="","",DATE(YEAR(C198),12,31))</f>
        <v/>
      </c>
      <c r="F198" s="15" t="str">
        <f aca="false">IF(OR(A198="",C198=""),"",SUMPRODUCT(('Training Detail'!$A$5:$A$5000=A198)*('Training Detail'!$M$5:$M$5000=Standards!A2)*('Training Detail'!$G$5:$G$5000&gt;=D198)*('Training Detail'!$G$5:$G$5000&lt;=E198)*('Training Detail'!$P$5:$P$5000)))</f>
        <v/>
      </c>
      <c r="G198" s="15" t="str">
        <f aca="false">IF(OR(A198="",C198=""),"",SUMPRODUCT(('Training Detail'!$A$5:$A$5000=A198)*('Training Detail'!$M$5:$M$5000=Standards!A3)*('Training Detail'!$G$5:$G$5000&gt;=D198)*('Training Detail'!$G$5:$G$5000&lt;=E198)*('Training Detail'!$P$5:$P$5000)))</f>
        <v/>
      </c>
      <c r="H198" s="15" t="str">
        <f aca="false">IF(OR(A198="",C198=""),"",SUMPRODUCT(('Training Detail'!$A$5:$A$5000=A198)*('Training Detail'!$M$5:$M$5000=Standards!A4)*('Training Detail'!$G$5:$G$5000&gt;=D198)*('Training Detail'!$G$5:$G$5000&lt;=E198)*('Training Detail'!$P$5:$P$5000)))</f>
        <v/>
      </c>
      <c r="I198" s="15" t="str">
        <f aca="false">IF(OR(A198="",C198=""),"",SUMPRODUCT(('Training Detail'!$A$5:$A$5000=A198)*('Training Detail'!$M$5:$M$5000=Standards!A5)*('Training Detail'!$G$5:$G$5000&gt;=D198)*('Training Detail'!$G$5:$G$5000&lt;=E198)*('Training Detail'!$P$5:$P$5000)))</f>
        <v/>
      </c>
      <c r="J198" s="15" t="str">
        <f aca="false">IF(OR(A198="",C198=""),"",SUMPRODUCT(('Training Detail'!$A$5:$A$5000=A198)*('Training Detail'!$M$5:$M$5000=Standards!A6)*('Training Detail'!$G$5:$G$5000&gt;=D198)*('Training Detail'!$G$5:$G$5000&lt;=E198)*('Training Detail'!$P$5:$P$5000)))</f>
        <v/>
      </c>
      <c r="K198" s="15" t="str">
        <f aca="false">IF(OR(A198="",C198=""),"",SUMPRODUCT(('Training Detail'!$A$5:$A$5000=A198)*('Training Detail'!$M$5:$M$5000=Standards!A7)*('Training Detail'!$G$5:$G$5000&gt;=D198)*('Training Detail'!$G$5:$G$5000&lt;=E198)*('Training Detail'!$P$5:$P$5000)))</f>
        <v/>
      </c>
      <c r="L198" s="15" t="str">
        <f aca="false">IF(OR(A198="",C198=""),"",SUMPRODUCT(('Training Detail'!$A$5:$A$5000=A198)*('Training Detail'!$M$5:$M$5000=Standards!A8)*('Training Detail'!$G$5:$G$5000&gt;=D198)*('Training Detail'!$G$5:$G$5000&lt;=E198)*('Training Detail'!$P$5:$P$5000)))</f>
        <v/>
      </c>
      <c r="M198" s="16" t="str">
        <f aca="false">IF(OR(A198="",C198=""),"",SUMPRODUCT(('Training Detail'!$A$5:$A$5000=A198)*('Training Detail'!$M$5:$M$5000=Standards!A9)*('Training Detail'!$G$5:$G$5000&gt;=D198)*('Training Detail'!$G$5:$G$5000&lt;=E198)*('Training Detail'!$P$5:$P$5000)))</f>
        <v/>
      </c>
      <c r="N198" s="17" t="str">
        <f aca="false">IF(A198="","",IF(C198="","Set exp date",IF(AND(F198&gt;=Requirements!B5,G198&gt;=Requirements!B6,H198&gt;=Requirements!B7,I198&gt;=Requirements!B8,J198&gt;=Requirements!B9,K198&gt;=Requirements!B10,L198&gt;=Requirements!B11,M198&gt;=Requirements!B12),"Met","Short")))</f>
        <v/>
      </c>
      <c r="O198" s="18" t="str">
        <f aca="false">IF(OR(A198="",C198=""),"",IF(N198="Met","",IF(F198&lt;Requirements!B5,Requirements!A5&amp;" "&amp;TEXT(Requirements!B5-F198,"0.##")&amp;"; ","")&amp;IF(G198&lt;Requirements!B6,Requirements!A6&amp;" "&amp;TEXT(Requirements!B6-G198,"0.##")&amp;"; ","")&amp;IF(H198&lt;Requirements!B7,Requirements!A7&amp;" "&amp;TEXT(Requirements!B7-H198,"0.##")&amp;"; ","")&amp;IF(I198&lt;Requirements!B8,Requirements!A8&amp;" "&amp;TEXT(Requirements!B8-I198,"0.##")&amp;"; ","")&amp;IF(J198&lt;Requirements!B9,Requirements!A9&amp;" "&amp;TEXT(Requirements!B9-J198,"0.##")&amp;"; ","")&amp;IF(K198&lt;Requirements!B10,Requirements!A10&amp;" "&amp;TEXT(Requirements!B10-K198,"0.##")&amp;"; ","")&amp;IF(L198&lt;Requirements!B11,Requirements!A11&amp;" "&amp;TEXT(Requirements!B11-L198,"0.##")&amp;"; ","")&amp;IF(M198&lt;Requirements!B12,Requirements!A12&amp;" "&amp;TEXT(Requirements!B12-M198,"0.##")&amp;"; ","")))</f>
        <v/>
      </c>
    </row>
    <row r="199" customFormat="false" ht="15" hidden="false" customHeight="true" outlineLevel="0" collapsed="false">
      <c r="A199" s="11"/>
      <c r="B199" s="12"/>
      <c r="C199" s="13"/>
      <c r="D199" s="14" t="str">
        <f aca="false">IF(C199="","",DATE(YEAR(C199)-1,1,1))</f>
        <v/>
      </c>
      <c r="E199" s="14" t="str">
        <f aca="false">IF(C199="","",DATE(YEAR(C199),12,31))</f>
        <v/>
      </c>
      <c r="F199" s="15" t="str">
        <f aca="false">IF(OR(A199="",C199=""),"",SUMPRODUCT(('Training Detail'!$A$5:$A$5000=A199)*('Training Detail'!$M$5:$M$5000=Standards!A2)*('Training Detail'!$G$5:$G$5000&gt;=D199)*('Training Detail'!$G$5:$G$5000&lt;=E199)*('Training Detail'!$P$5:$P$5000)))</f>
        <v/>
      </c>
      <c r="G199" s="15" t="str">
        <f aca="false">IF(OR(A199="",C199=""),"",SUMPRODUCT(('Training Detail'!$A$5:$A$5000=A199)*('Training Detail'!$M$5:$M$5000=Standards!A3)*('Training Detail'!$G$5:$G$5000&gt;=D199)*('Training Detail'!$G$5:$G$5000&lt;=E199)*('Training Detail'!$P$5:$P$5000)))</f>
        <v/>
      </c>
      <c r="H199" s="15" t="str">
        <f aca="false">IF(OR(A199="",C199=""),"",SUMPRODUCT(('Training Detail'!$A$5:$A$5000=A199)*('Training Detail'!$M$5:$M$5000=Standards!A4)*('Training Detail'!$G$5:$G$5000&gt;=D199)*('Training Detail'!$G$5:$G$5000&lt;=E199)*('Training Detail'!$P$5:$P$5000)))</f>
        <v/>
      </c>
      <c r="I199" s="15" t="str">
        <f aca="false">IF(OR(A199="",C199=""),"",SUMPRODUCT(('Training Detail'!$A$5:$A$5000=A199)*('Training Detail'!$M$5:$M$5000=Standards!A5)*('Training Detail'!$G$5:$G$5000&gt;=D199)*('Training Detail'!$G$5:$G$5000&lt;=E199)*('Training Detail'!$P$5:$P$5000)))</f>
        <v/>
      </c>
      <c r="J199" s="15" t="str">
        <f aca="false">IF(OR(A199="",C199=""),"",SUMPRODUCT(('Training Detail'!$A$5:$A$5000=A199)*('Training Detail'!$M$5:$M$5000=Standards!A6)*('Training Detail'!$G$5:$G$5000&gt;=D199)*('Training Detail'!$G$5:$G$5000&lt;=E199)*('Training Detail'!$P$5:$P$5000)))</f>
        <v/>
      </c>
      <c r="K199" s="15" t="str">
        <f aca="false">IF(OR(A199="",C199=""),"",SUMPRODUCT(('Training Detail'!$A$5:$A$5000=A199)*('Training Detail'!$M$5:$M$5000=Standards!A7)*('Training Detail'!$G$5:$G$5000&gt;=D199)*('Training Detail'!$G$5:$G$5000&lt;=E199)*('Training Detail'!$P$5:$P$5000)))</f>
        <v/>
      </c>
      <c r="L199" s="15" t="str">
        <f aca="false">IF(OR(A199="",C199=""),"",SUMPRODUCT(('Training Detail'!$A$5:$A$5000=A199)*('Training Detail'!$M$5:$M$5000=Standards!A8)*('Training Detail'!$G$5:$G$5000&gt;=D199)*('Training Detail'!$G$5:$G$5000&lt;=E199)*('Training Detail'!$P$5:$P$5000)))</f>
        <v/>
      </c>
      <c r="M199" s="16" t="str">
        <f aca="false">IF(OR(A199="",C199=""),"",SUMPRODUCT(('Training Detail'!$A$5:$A$5000=A199)*('Training Detail'!$M$5:$M$5000=Standards!A9)*('Training Detail'!$G$5:$G$5000&gt;=D199)*('Training Detail'!$G$5:$G$5000&lt;=E199)*('Training Detail'!$P$5:$P$5000)))</f>
        <v/>
      </c>
      <c r="N199" s="17" t="str">
        <f aca="false">IF(A199="","",IF(C199="","Set exp date",IF(AND(F199&gt;=Requirements!B5,G199&gt;=Requirements!B6,H199&gt;=Requirements!B7,I199&gt;=Requirements!B8,J199&gt;=Requirements!B9,K199&gt;=Requirements!B10,L199&gt;=Requirements!B11,M199&gt;=Requirements!B12),"Met","Short")))</f>
        <v/>
      </c>
      <c r="O199" s="18" t="str">
        <f aca="false">IF(OR(A199="",C199=""),"",IF(N199="Met","",IF(F199&lt;Requirements!B5,Requirements!A5&amp;" "&amp;TEXT(Requirements!B5-F199,"0.##")&amp;"; ","")&amp;IF(G199&lt;Requirements!B6,Requirements!A6&amp;" "&amp;TEXT(Requirements!B6-G199,"0.##")&amp;"; ","")&amp;IF(H199&lt;Requirements!B7,Requirements!A7&amp;" "&amp;TEXT(Requirements!B7-H199,"0.##")&amp;"; ","")&amp;IF(I199&lt;Requirements!B8,Requirements!A8&amp;" "&amp;TEXT(Requirements!B8-I199,"0.##")&amp;"; ","")&amp;IF(J199&lt;Requirements!B9,Requirements!A9&amp;" "&amp;TEXT(Requirements!B9-J199,"0.##")&amp;"; ","")&amp;IF(K199&lt;Requirements!B10,Requirements!A10&amp;" "&amp;TEXT(Requirements!B10-K199,"0.##")&amp;"; ","")&amp;IF(L199&lt;Requirements!B11,Requirements!A11&amp;" "&amp;TEXT(Requirements!B11-L199,"0.##")&amp;"; ","")&amp;IF(M199&lt;Requirements!B12,Requirements!A12&amp;" "&amp;TEXT(Requirements!B12-M199,"0.##")&amp;"; ","")))</f>
        <v/>
      </c>
    </row>
    <row r="200" customFormat="false" ht="15" hidden="false" customHeight="true" outlineLevel="0" collapsed="false">
      <c r="A200" s="11"/>
      <c r="B200" s="12"/>
      <c r="C200" s="13"/>
      <c r="D200" s="14" t="str">
        <f aca="false">IF(C200="","",DATE(YEAR(C200)-1,1,1))</f>
        <v/>
      </c>
      <c r="E200" s="14" t="str">
        <f aca="false">IF(C200="","",DATE(YEAR(C200),12,31))</f>
        <v/>
      </c>
      <c r="F200" s="15" t="str">
        <f aca="false">IF(OR(A200="",C200=""),"",SUMPRODUCT(('Training Detail'!$A$5:$A$5000=A200)*('Training Detail'!$M$5:$M$5000=Standards!A2)*('Training Detail'!$G$5:$G$5000&gt;=D200)*('Training Detail'!$G$5:$G$5000&lt;=E200)*('Training Detail'!$P$5:$P$5000)))</f>
        <v/>
      </c>
      <c r="G200" s="15" t="str">
        <f aca="false">IF(OR(A200="",C200=""),"",SUMPRODUCT(('Training Detail'!$A$5:$A$5000=A200)*('Training Detail'!$M$5:$M$5000=Standards!A3)*('Training Detail'!$G$5:$G$5000&gt;=D200)*('Training Detail'!$G$5:$G$5000&lt;=E200)*('Training Detail'!$P$5:$P$5000)))</f>
        <v/>
      </c>
      <c r="H200" s="15" t="str">
        <f aca="false">IF(OR(A200="",C200=""),"",SUMPRODUCT(('Training Detail'!$A$5:$A$5000=A200)*('Training Detail'!$M$5:$M$5000=Standards!A4)*('Training Detail'!$G$5:$G$5000&gt;=D200)*('Training Detail'!$G$5:$G$5000&lt;=E200)*('Training Detail'!$P$5:$P$5000)))</f>
        <v/>
      </c>
      <c r="I200" s="15" t="str">
        <f aca="false">IF(OR(A200="",C200=""),"",SUMPRODUCT(('Training Detail'!$A$5:$A$5000=A200)*('Training Detail'!$M$5:$M$5000=Standards!A5)*('Training Detail'!$G$5:$G$5000&gt;=D200)*('Training Detail'!$G$5:$G$5000&lt;=E200)*('Training Detail'!$P$5:$P$5000)))</f>
        <v/>
      </c>
      <c r="J200" s="15" t="str">
        <f aca="false">IF(OR(A200="",C200=""),"",SUMPRODUCT(('Training Detail'!$A$5:$A$5000=A200)*('Training Detail'!$M$5:$M$5000=Standards!A6)*('Training Detail'!$G$5:$G$5000&gt;=D200)*('Training Detail'!$G$5:$G$5000&lt;=E200)*('Training Detail'!$P$5:$P$5000)))</f>
        <v/>
      </c>
      <c r="K200" s="15" t="str">
        <f aca="false">IF(OR(A200="",C200=""),"",SUMPRODUCT(('Training Detail'!$A$5:$A$5000=A200)*('Training Detail'!$M$5:$M$5000=Standards!A7)*('Training Detail'!$G$5:$G$5000&gt;=D200)*('Training Detail'!$G$5:$G$5000&lt;=E200)*('Training Detail'!$P$5:$P$5000)))</f>
        <v/>
      </c>
      <c r="L200" s="15" t="str">
        <f aca="false">IF(OR(A200="",C200=""),"",SUMPRODUCT(('Training Detail'!$A$5:$A$5000=A200)*('Training Detail'!$M$5:$M$5000=Standards!A8)*('Training Detail'!$G$5:$G$5000&gt;=D200)*('Training Detail'!$G$5:$G$5000&lt;=E200)*('Training Detail'!$P$5:$P$5000)))</f>
        <v/>
      </c>
      <c r="M200" s="16" t="str">
        <f aca="false">IF(OR(A200="",C200=""),"",SUMPRODUCT(('Training Detail'!$A$5:$A$5000=A200)*('Training Detail'!$M$5:$M$5000=Standards!A9)*('Training Detail'!$G$5:$G$5000&gt;=D200)*('Training Detail'!$G$5:$G$5000&lt;=E200)*('Training Detail'!$P$5:$P$5000)))</f>
        <v/>
      </c>
      <c r="N200" s="17" t="str">
        <f aca="false">IF(A200="","",IF(C200="","Set exp date",IF(AND(F200&gt;=Requirements!B5,G200&gt;=Requirements!B6,H200&gt;=Requirements!B7,I200&gt;=Requirements!B8,J200&gt;=Requirements!B9,K200&gt;=Requirements!B10,L200&gt;=Requirements!B11,M200&gt;=Requirements!B12),"Met","Short")))</f>
        <v/>
      </c>
      <c r="O200" s="18" t="str">
        <f aca="false">IF(OR(A200="",C200=""),"",IF(N200="Met","",IF(F200&lt;Requirements!B5,Requirements!A5&amp;" "&amp;TEXT(Requirements!B5-F200,"0.##")&amp;"; ","")&amp;IF(G200&lt;Requirements!B6,Requirements!A6&amp;" "&amp;TEXT(Requirements!B6-G200,"0.##")&amp;"; ","")&amp;IF(H200&lt;Requirements!B7,Requirements!A7&amp;" "&amp;TEXT(Requirements!B7-H200,"0.##")&amp;"; ","")&amp;IF(I200&lt;Requirements!B8,Requirements!A8&amp;" "&amp;TEXT(Requirements!B8-I200,"0.##")&amp;"; ","")&amp;IF(J200&lt;Requirements!B9,Requirements!A9&amp;" "&amp;TEXT(Requirements!B9-J200,"0.##")&amp;"; ","")&amp;IF(K200&lt;Requirements!B10,Requirements!A10&amp;" "&amp;TEXT(Requirements!B10-K200,"0.##")&amp;"; ","")&amp;IF(L200&lt;Requirements!B11,Requirements!A11&amp;" "&amp;TEXT(Requirements!B11-L200,"0.##")&amp;"; ","")&amp;IF(M200&lt;Requirements!B12,Requirements!A12&amp;" "&amp;TEXT(Requirements!B12-M200,"0.##")&amp;"; ","")))</f>
        <v/>
      </c>
    </row>
    <row r="201" customFormat="false" ht="15" hidden="false" customHeight="true" outlineLevel="0" collapsed="false">
      <c r="A201" s="11"/>
      <c r="B201" s="12"/>
      <c r="C201" s="13"/>
      <c r="D201" s="14" t="str">
        <f aca="false">IF(C201="","",DATE(YEAR(C201)-1,1,1))</f>
        <v/>
      </c>
      <c r="E201" s="14" t="str">
        <f aca="false">IF(C201="","",DATE(YEAR(C201),12,31))</f>
        <v/>
      </c>
      <c r="F201" s="15" t="str">
        <f aca="false">IF(OR(A201="",C201=""),"",SUMPRODUCT(('Training Detail'!$A$5:$A$5000=A201)*('Training Detail'!$M$5:$M$5000=Standards!A2)*('Training Detail'!$G$5:$G$5000&gt;=D201)*('Training Detail'!$G$5:$G$5000&lt;=E201)*('Training Detail'!$P$5:$P$5000)))</f>
        <v/>
      </c>
      <c r="G201" s="15" t="str">
        <f aca="false">IF(OR(A201="",C201=""),"",SUMPRODUCT(('Training Detail'!$A$5:$A$5000=A201)*('Training Detail'!$M$5:$M$5000=Standards!A3)*('Training Detail'!$G$5:$G$5000&gt;=D201)*('Training Detail'!$G$5:$G$5000&lt;=E201)*('Training Detail'!$P$5:$P$5000)))</f>
        <v/>
      </c>
      <c r="H201" s="15" t="str">
        <f aca="false">IF(OR(A201="",C201=""),"",SUMPRODUCT(('Training Detail'!$A$5:$A$5000=A201)*('Training Detail'!$M$5:$M$5000=Standards!A4)*('Training Detail'!$G$5:$G$5000&gt;=D201)*('Training Detail'!$G$5:$G$5000&lt;=E201)*('Training Detail'!$P$5:$P$5000)))</f>
        <v/>
      </c>
      <c r="I201" s="15" t="str">
        <f aca="false">IF(OR(A201="",C201=""),"",SUMPRODUCT(('Training Detail'!$A$5:$A$5000=A201)*('Training Detail'!$M$5:$M$5000=Standards!A5)*('Training Detail'!$G$5:$G$5000&gt;=D201)*('Training Detail'!$G$5:$G$5000&lt;=E201)*('Training Detail'!$P$5:$P$5000)))</f>
        <v/>
      </c>
      <c r="J201" s="15" t="str">
        <f aca="false">IF(OR(A201="",C201=""),"",SUMPRODUCT(('Training Detail'!$A$5:$A$5000=A201)*('Training Detail'!$M$5:$M$5000=Standards!A6)*('Training Detail'!$G$5:$G$5000&gt;=D201)*('Training Detail'!$G$5:$G$5000&lt;=E201)*('Training Detail'!$P$5:$P$5000)))</f>
        <v/>
      </c>
      <c r="K201" s="15" t="str">
        <f aca="false">IF(OR(A201="",C201=""),"",SUMPRODUCT(('Training Detail'!$A$5:$A$5000=A201)*('Training Detail'!$M$5:$M$5000=Standards!A7)*('Training Detail'!$G$5:$G$5000&gt;=D201)*('Training Detail'!$G$5:$G$5000&lt;=E201)*('Training Detail'!$P$5:$P$5000)))</f>
        <v/>
      </c>
      <c r="L201" s="15" t="str">
        <f aca="false">IF(OR(A201="",C201=""),"",SUMPRODUCT(('Training Detail'!$A$5:$A$5000=A201)*('Training Detail'!$M$5:$M$5000=Standards!A8)*('Training Detail'!$G$5:$G$5000&gt;=D201)*('Training Detail'!$G$5:$G$5000&lt;=E201)*('Training Detail'!$P$5:$P$5000)))</f>
        <v/>
      </c>
      <c r="M201" s="16" t="str">
        <f aca="false">IF(OR(A201="",C201=""),"",SUMPRODUCT(('Training Detail'!$A$5:$A$5000=A201)*('Training Detail'!$M$5:$M$5000=Standards!A9)*('Training Detail'!$G$5:$G$5000&gt;=D201)*('Training Detail'!$G$5:$G$5000&lt;=E201)*('Training Detail'!$P$5:$P$5000)))</f>
        <v/>
      </c>
      <c r="N201" s="17" t="str">
        <f aca="false">IF(A201="","",IF(C201="","Set exp date",IF(AND(F201&gt;=Requirements!B5,G201&gt;=Requirements!B6,H201&gt;=Requirements!B7,I201&gt;=Requirements!B8,J201&gt;=Requirements!B9,K201&gt;=Requirements!B10,L201&gt;=Requirements!B11,M201&gt;=Requirements!B12),"Met","Short")))</f>
        <v/>
      </c>
      <c r="O201" s="18" t="str">
        <f aca="false">IF(OR(A201="",C201=""),"",IF(N201="Met","",IF(F201&lt;Requirements!B5,Requirements!A5&amp;" "&amp;TEXT(Requirements!B5-F201,"0.##")&amp;"; ","")&amp;IF(G201&lt;Requirements!B6,Requirements!A6&amp;" "&amp;TEXT(Requirements!B6-G201,"0.##")&amp;"; ","")&amp;IF(H201&lt;Requirements!B7,Requirements!A7&amp;" "&amp;TEXT(Requirements!B7-H201,"0.##")&amp;"; ","")&amp;IF(I201&lt;Requirements!B8,Requirements!A8&amp;" "&amp;TEXT(Requirements!B8-I201,"0.##")&amp;"; ","")&amp;IF(J201&lt;Requirements!B9,Requirements!A9&amp;" "&amp;TEXT(Requirements!B9-J201,"0.##")&amp;"; ","")&amp;IF(K201&lt;Requirements!B10,Requirements!A10&amp;" "&amp;TEXT(Requirements!B10-K201,"0.##")&amp;"; ","")&amp;IF(L201&lt;Requirements!B11,Requirements!A11&amp;" "&amp;TEXT(Requirements!B11-L201,"0.##")&amp;"; ","")&amp;IF(M201&lt;Requirements!B12,Requirements!A12&amp;" "&amp;TEXT(Requirements!B12-M201,"0.##")&amp;"; ","")))</f>
        <v/>
      </c>
    </row>
    <row r="202" customFormat="false" ht="15" hidden="false" customHeight="true" outlineLevel="0" collapsed="false">
      <c r="A202" s="11"/>
      <c r="B202" s="12"/>
      <c r="C202" s="13"/>
      <c r="D202" s="14" t="str">
        <f aca="false">IF(C202="","",DATE(YEAR(C202)-1,1,1))</f>
        <v/>
      </c>
      <c r="E202" s="14" t="str">
        <f aca="false">IF(C202="","",DATE(YEAR(C202),12,31))</f>
        <v/>
      </c>
      <c r="F202" s="15" t="str">
        <f aca="false">IF(OR(A202="",C202=""),"",SUMPRODUCT(('Training Detail'!$A$5:$A$5000=A202)*('Training Detail'!$M$5:$M$5000=Standards!A2)*('Training Detail'!$G$5:$G$5000&gt;=D202)*('Training Detail'!$G$5:$G$5000&lt;=E202)*('Training Detail'!$P$5:$P$5000)))</f>
        <v/>
      </c>
      <c r="G202" s="15" t="str">
        <f aca="false">IF(OR(A202="",C202=""),"",SUMPRODUCT(('Training Detail'!$A$5:$A$5000=A202)*('Training Detail'!$M$5:$M$5000=Standards!A3)*('Training Detail'!$G$5:$G$5000&gt;=D202)*('Training Detail'!$G$5:$G$5000&lt;=E202)*('Training Detail'!$P$5:$P$5000)))</f>
        <v/>
      </c>
      <c r="H202" s="15" t="str">
        <f aca="false">IF(OR(A202="",C202=""),"",SUMPRODUCT(('Training Detail'!$A$5:$A$5000=A202)*('Training Detail'!$M$5:$M$5000=Standards!A4)*('Training Detail'!$G$5:$G$5000&gt;=D202)*('Training Detail'!$G$5:$G$5000&lt;=E202)*('Training Detail'!$P$5:$P$5000)))</f>
        <v/>
      </c>
      <c r="I202" s="15" t="str">
        <f aca="false">IF(OR(A202="",C202=""),"",SUMPRODUCT(('Training Detail'!$A$5:$A$5000=A202)*('Training Detail'!$M$5:$M$5000=Standards!A5)*('Training Detail'!$G$5:$G$5000&gt;=D202)*('Training Detail'!$G$5:$G$5000&lt;=E202)*('Training Detail'!$P$5:$P$5000)))</f>
        <v/>
      </c>
      <c r="J202" s="15" t="str">
        <f aca="false">IF(OR(A202="",C202=""),"",SUMPRODUCT(('Training Detail'!$A$5:$A$5000=A202)*('Training Detail'!$M$5:$M$5000=Standards!A6)*('Training Detail'!$G$5:$G$5000&gt;=D202)*('Training Detail'!$G$5:$G$5000&lt;=E202)*('Training Detail'!$P$5:$P$5000)))</f>
        <v/>
      </c>
      <c r="K202" s="15" t="str">
        <f aca="false">IF(OR(A202="",C202=""),"",SUMPRODUCT(('Training Detail'!$A$5:$A$5000=A202)*('Training Detail'!$M$5:$M$5000=Standards!A7)*('Training Detail'!$G$5:$G$5000&gt;=D202)*('Training Detail'!$G$5:$G$5000&lt;=E202)*('Training Detail'!$P$5:$P$5000)))</f>
        <v/>
      </c>
      <c r="L202" s="15" t="str">
        <f aca="false">IF(OR(A202="",C202=""),"",SUMPRODUCT(('Training Detail'!$A$5:$A$5000=A202)*('Training Detail'!$M$5:$M$5000=Standards!A8)*('Training Detail'!$G$5:$G$5000&gt;=D202)*('Training Detail'!$G$5:$G$5000&lt;=E202)*('Training Detail'!$P$5:$P$5000)))</f>
        <v/>
      </c>
      <c r="M202" s="16" t="str">
        <f aca="false">IF(OR(A202="",C202=""),"",SUMPRODUCT(('Training Detail'!$A$5:$A$5000=A202)*('Training Detail'!$M$5:$M$5000=Standards!A9)*('Training Detail'!$G$5:$G$5000&gt;=D202)*('Training Detail'!$G$5:$G$5000&lt;=E202)*('Training Detail'!$P$5:$P$5000)))</f>
        <v/>
      </c>
      <c r="N202" s="17" t="str">
        <f aca="false">IF(A202="","",IF(C202="","Set exp date",IF(AND(F202&gt;=Requirements!B5,G202&gt;=Requirements!B6,H202&gt;=Requirements!B7,I202&gt;=Requirements!B8,J202&gt;=Requirements!B9,K202&gt;=Requirements!B10,L202&gt;=Requirements!B11,M202&gt;=Requirements!B12),"Met","Short")))</f>
        <v/>
      </c>
      <c r="O202" s="18" t="str">
        <f aca="false">IF(OR(A202="",C202=""),"",IF(N202="Met","",IF(F202&lt;Requirements!B5,Requirements!A5&amp;" "&amp;TEXT(Requirements!B5-F202,"0.##")&amp;"; ","")&amp;IF(G202&lt;Requirements!B6,Requirements!A6&amp;" "&amp;TEXT(Requirements!B6-G202,"0.##")&amp;"; ","")&amp;IF(H202&lt;Requirements!B7,Requirements!A7&amp;" "&amp;TEXT(Requirements!B7-H202,"0.##")&amp;"; ","")&amp;IF(I202&lt;Requirements!B8,Requirements!A8&amp;" "&amp;TEXT(Requirements!B8-I202,"0.##")&amp;"; ","")&amp;IF(J202&lt;Requirements!B9,Requirements!A9&amp;" "&amp;TEXT(Requirements!B9-J202,"0.##")&amp;"; ","")&amp;IF(K202&lt;Requirements!B10,Requirements!A10&amp;" "&amp;TEXT(Requirements!B10-K202,"0.##")&amp;"; ","")&amp;IF(L202&lt;Requirements!B11,Requirements!A11&amp;" "&amp;TEXT(Requirements!B11-L202,"0.##")&amp;"; ","")&amp;IF(M202&lt;Requirements!B12,Requirements!A12&amp;" "&amp;TEXT(Requirements!B12-M202,"0.##")&amp;"; ","")))</f>
        <v/>
      </c>
    </row>
    <row r="203" customFormat="false" ht="15" hidden="false" customHeight="true" outlineLevel="0" collapsed="false">
      <c r="A203" s="11"/>
      <c r="B203" s="12"/>
      <c r="C203" s="13"/>
      <c r="D203" s="14" t="str">
        <f aca="false">IF(C203="","",DATE(YEAR(C203)-1,1,1))</f>
        <v/>
      </c>
      <c r="E203" s="14" t="str">
        <f aca="false">IF(C203="","",DATE(YEAR(C203),12,31))</f>
        <v/>
      </c>
      <c r="F203" s="15" t="str">
        <f aca="false">IF(OR(A203="",C203=""),"",SUMPRODUCT(('Training Detail'!$A$5:$A$5000=A203)*('Training Detail'!$M$5:$M$5000=Standards!A2)*('Training Detail'!$G$5:$G$5000&gt;=D203)*('Training Detail'!$G$5:$G$5000&lt;=E203)*('Training Detail'!$P$5:$P$5000)))</f>
        <v/>
      </c>
      <c r="G203" s="15" t="str">
        <f aca="false">IF(OR(A203="",C203=""),"",SUMPRODUCT(('Training Detail'!$A$5:$A$5000=A203)*('Training Detail'!$M$5:$M$5000=Standards!A3)*('Training Detail'!$G$5:$G$5000&gt;=D203)*('Training Detail'!$G$5:$G$5000&lt;=E203)*('Training Detail'!$P$5:$P$5000)))</f>
        <v/>
      </c>
      <c r="H203" s="15" t="str">
        <f aca="false">IF(OR(A203="",C203=""),"",SUMPRODUCT(('Training Detail'!$A$5:$A$5000=A203)*('Training Detail'!$M$5:$M$5000=Standards!A4)*('Training Detail'!$G$5:$G$5000&gt;=D203)*('Training Detail'!$G$5:$G$5000&lt;=E203)*('Training Detail'!$P$5:$P$5000)))</f>
        <v/>
      </c>
      <c r="I203" s="15" t="str">
        <f aca="false">IF(OR(A203="",C203=""),"",SUMPRODUCT(('Training Detail'!$A$5:$A$5000=A203)*('Training Detail'!$M$5:$M$5000=Standards!A5)*('Training Detail'!$G$5:$G$5000&gt;=D203)*('Training Detail'!$G$5:$G$5000&lt;=E203)*('Training Detail'!$P$5:$P$5000)))</f>
        <v/>
      </c>
      <c r="J203" s="15" t="str">
        <f aca="false">IF(OR(A203="",C203=""),"",SUMPRODUCT(('Training Detail'!$A$5:$A$5000=A203)*('Training Detail'!$M$5:$M$5000=Standards!A6)*('Training Detail'!$G$5:$G$5000&gt;=D203)*('Training Detail'!$G$5:$G$5000&lt;=E203)*('Training Detail'!$P$5:$P$5000)))</f>
        <v/>
      </c>
      <c r="K203" s="15" t="str">
        <f aca="false">IF(OR(A203="",C203=""),"",SUMPRODUCT(('Training Detail'!$A$5:$A$5000=A203)*('Training Detail'!$M$5:$M$5000=Standards!A7)*('Training Detail'!$G$5:$G$5000&gt;=D203)*('Training Detail'!$G$5:$G$5000&lt;=E203)*('Training Detail'!$P$5:$P$5000)))</f>
        <v/>
      </c>
      <c r="L203" s="15" t="str">
        <f aca="false">IF(OR(A203="",C203=""),"",SUMPRODUCT(('Training Detail'!$A$5:$A$5000=A203)*('Training Detail'!$M$5:$M$5000=Standards!A8)*('Training Detail'!$G$5:$G$5000&gt;=D203)*('Training Detail'!$G$5:$G$5000&lt;=E203)*('Training Detail'!$P$5:$P$5000)))</f>
        <v/>
      </c>
      <c r="M203" s="16" t="str">
        <f aca="false">IF(OR(A203="",C203=""),"",SUMPRODUCT(('Training Detail'!$A$5:$A$5000=A203)*('Training Detail'!$M$5:$M$5000=Standards!A9)*('Training Detail'!$G$5:$G$5000&gt;=D203)*('Training Detail'!$G$5:$G$5000&lt;=E203)*('Training Detail'!$P$5:$P$5000)))</f>
        <v/>
      </c>
      <c r="N203" s="17" t="str">
        <f aca="false">IF(A203="","",IF(C203="","Set exp date",IF(AND(F203&gt;=Requirements!B5,G203&gt;=Requirements!B6,H203&gt;=Requirements!B7,I203&gt;=Requirements!B8,J203&gt;=Requirements!B9,K203&gt;=Requirements!B10,L203&gt;=Requirements!B11,M203&gt;=Requirements!B12),"Met","Short")))</f>
        <v/>
      </c>
      <c r="O203" s="18" t="str">
        <f aca="false">IF(OR(A203="",C203=""),"",IF(N203="Met","",IF(F203&lt;Requirements!B5,Requirements!A5&amp;" "&amp;TEXT(Requirements!B5-F203,"0.##")&amp;"; ","")&amp;IF(G203&lt;Requirements!B6,Requirements!A6&amp;" "&amp;TEXT(Requirements!B6-G203,"0.##")&amp;"; ","")&amp;IF(H203&lt;Requirements!B7,Requirements!A7&amp;" "&amp;TEXT(Requirements!B7-H203,"0.##")&amp;"; ","")&amp;IF(I203&lt;Requirements!B8,Requirements!A8&amp;" "&amp;TEXT(Requirements!B8-I203,"0.##")&amp;"; ","")&amp;IF(J203&lt;Requirements!B9,Requirements!A9&amp;" "&amp;TEXT(Requirements!B9-J203,"0.##")&amp;"; ","")&amp;IF(K203&lt;Requirements!B10,Requirements!A10&amp;" "&amp;TEXT(Requirements!B10-K203,"0.##")&amp;"; ","")&amp;IF(L203&lt;Requirements!B11,Requirements!A11&amp;" "&amp;TEXT(Requirements!B11-L203,"0.##")&amp;"; ","")&amp;IF(M203&lt;Requirements!B12,Requirements!A12&amp;" "&amp;TEXT(Requirements!B12-M203,"0.##")&amp;"; ","")))</f>
        <v/>
      </c>
    </row>
    <row r="204" customFormat="false" ht="15" hidden="false" customHeight="true" outlineLevel="0" collapsed="false">
      <c r="A204" s="11"/>
      <c r="B204" s="12"/>
      <c r="C204" s="13"/>
      <c r="D204" s="14" t="str">
        <f aca="false">IF(C204="","",DATE(YEAR(C204)-1,1,1))</f>
        <v/>
      </c>
      <c r="E204" s="14" t="str">
        <f aca="false">IF(C204="","",DATE(YEAR(C204),12,31))</f>
        <v/>
      </c>
      <c r="F204" s="15" t="str">
        <f aca="false">IF(OR(A204="",C204=""),"",SUMPRODUCT(('Training Detail'!$A$5:$A$5000=A204)*('Training Detail'!$M$5:$M$5000=Standards!A2)*('Training Detail'!$G$5:$G$5000&gt;=D204)*('Training Detail'!$G$5:$G$5000&lt;=E204)*('Training Detail'!$P$5:$P$5000)))</f>
        <v/>
      </c>
      <c r="G204" s="15" t="str">
        <f aca="false">IF(OR(A204="",C204=""),"",SUMPRODUCT(('Training Detail'!$A$5:$A$5000=A204)*('Training Detail'!$M$5:$M$5000=Standards!A3)*('Training Detail'!$G$5:$G$5000&gt;=D204)*('Training Detail'!$G$5:$G$5000&lt;=E204)*('Training Detail'!$P$5:$P$5000)))</f>
        <v/>
      </c>
      <c r="H204" s="15" t="str">
        <f aca="false">IF(OR(A204="",C204=""),"",SUMPRODUCT(('Training Detail'!$A$5:$A$5000=A204)*('Training Detail'!$M$5:$M$5000=Standards!A4)*('Training Detail'!$G$5:$G$5000&gt;=D204)*('Training Detail'!$G$5:$G$5000&lt;=E204)*('Training Detail'!$P$5:$P$5000)))</f>
        <v/>
      </c>
      <c r="I204" s="15" t="str">
        <f aca="false">IF(OR(A204="",C204=""),"",SUMPRODUCT(('Training Detail'!$A$5:$A$5000=A204)*('Training Detail'!$M$5:$M$5000=Standards!A5)*('Training Detail'!$G$5:$G$5000&gt;=D204)*('Training Detail'!$G$5:$G$5000&lt;=E204)*('Training Detail'!$P$5:$P$5000)))</f>
        <v/>
      </c>
      <c r="J204" s="15" t="str">
        <f aca="false">IF(OR(A204="",C204=""),"",SUMPRODUCT(('Training Detail'!$A$5:$A$5000=A204)*('Training Detail'!$M$5:$M$5000=Standards!A6)*('Training Detail'!$G$5:$G$5000&gt;=D204)*('Training Detail'!$G$5:$G$5000&lt;=E204)*('Training Detail'!$P$5:$P$5000)))</f>
        <v/>
      </c>
      <c r="K204" s="15" t="str">
        <f aca="false">IF(OR(A204="",C204=""),"",SUMPRODUCT(('Training Detail'!$A$5:$A$5000=A204)*('Training Detail'!$M$5:$M$5000=Standards!A7)*('Training Detail'!$G$5:$G$5000&gt;=D204)*('Training Detail'!$G$5:$G$5000&lt;=E204)*('Training Detail'!$P$5:$P$5000)))</f>
        <v/>
      </c>
      <c r="L204" s="15" t="str">
        <f aca="false">IF(OR(A204="",C204=""),"",SUMPRODUCT(('Training Detail'!$A$5:$A$5000=A204)*('Training Detail'!$M$5:$M$5000=Standards!A8)*('Training Detail'!$G$5:$G$5000&gt;=D204)*('Training Detail'!$G$5:$G$5000&lt;=E204)*('Training Detail'!$P$5:$P$5000)))</f>
        <v/>
      </c>
      <c r="M204" s="16" t="str">
        <f aca="false">IF(OR(A204="",C204=""),"",SUMPRODUCT(('Training Detail'!$A$5:$A$5000=A204)*('Training Detail'!$M$5:$M$5000=Standards!A9)*('Training Detail'!$G$5:$G$5000&gt;=D204)*('Training Detail'!$G$5:$G$5000&lt;=E204)*('Training Detail'!$P$5:$P$5000)))</f>
        <v/>
      </c>
      <c r="N204" s="17" t="str">
        <f aca="false">IF(A204="","",IF(C204="","Set exp date",IF(AND(F204&gt;=Requirements!B5,G204&gt;=Requirements!B6,H204&gt;=Requirements!B7,I204&gt;=Requirements!B8,J204&gt;=Requirements!B9,K204&gt;=Requirements!B10,L204&gt;=Requirements!B11,M204&gt;=Requirements!B12),"Met","Short")))</f>
        <v/>
      </c>
      <c r="O204" s="18" t="str">
        <f aca="false">IF(OR(A204="",C204=""),"",IF(N204="Met","",IF(F204&lt;Requirements!B5,Requirements!A5&amp;" "&amp;TEXT(Requirements!B5-F204,"0.##")&amp;"; ","")&amp;IF(G204&lt;Requirements!B6,Requirements!A6&amp;" "&amp;TEXT(Requirements!B6-G204,"0.##")&amp;"; ","")&amp;IF(H204&lt;Requirements!B7,Requirements!A7&amp;" "&amp;TEXT(Requirements!B7-H204,"0.##")&amp;"; ","")&amp;IF(I204&lt;Requirements!B8,Requirements!A8&amp;" "&amp;TEXT(Requirements!B8-I204,"0.##")&amp;"; ","")&amp;IF(J204&lt;Requirements!B9,Requirements!A9&amp;" "&amp;TEXT(Requirements!B9-J204,"0.##")&amp;"; ","")&amp;IF(K204&lt;Requirements!B10,Requirements!A10&amp;" "&amp;TEXT(Requirements!B10-K204,"0.##")&amp;"; ","")&amp;IF(L204&lt;Requirements!B11,Requirements!A11&amp;" "&amp;TEXT(Requirements!B11-L204,"0.##")&amp;"; ","")&amp;IF(M204&lt;Requirements!B12,Requirements!A12&amp;" "&amp;TEXT(Requirements!B12-M204,"0.##")&amp;"; ","")))</f>
        <v/>
      </c>
    </row>
    <row r="205" customFormat="false" ht="15" hidden="false" customHeight="true" outlineLevel="0" collapsed="false">
      <c r="A205" s="11"/>
      <c r="B205" s="12"/>
      <c r="C205" s="13"/>
      <c r="D205" s="14" t="str">
        <f aca="false">IF(C205="","",DATE(YEAR(C205)-1,1,1))</f>
        <v/>
      </c>
      <c r="E205" s="14" t="str">
        <f aca="false">IF(C205="","",DATE(YEAR(C205),12,31))</f>
        <v/>
      </c>
      <c r="F205" s="15" t="str">
        <f aca="false">IF(OR(A205="",C205=""),"",SUMPRODUCT(('Training Detail'!$A$5:$A$5000=A205)*('Training Detail'!$M$5:$M$5000=Standards!A2)*('Training Detail'!$G$5:$G$5000&gt;=D205)*('Training Detail'!$G$5:$G$5000&lt;=E205)*('Training Detail'!$P$5:$P$5000)))</f>
        <v/>
      </c>
      <c r="G205" s="15" t="str">
        <f aca="false">IF(OR(A205="",C205=""),"",SUMPRODUCT(('Training Detail'!$A$5:$A$5000=A205)*('Training Detail'!$M$5:$M$5000=Standards!A3)*('Training Detail'!$G$5:$G$5000&gt;=D205)*('Training Detail'!$G$5:$G$5000&lt;=E205)*('Training Detail'!$P$5:$P$5000)))</f>
        <v/>
      </c>
      <c r="H205" s="15" t="str">
        <f aca="false">IF(OR(A205="",C205=""),"",SUMPRODUCT(('Training Detail'!$A$5:$A$5000=A205)*('Training Detail'!$M$5:$M$5000=Standards!A4)*('Training Detail'!$G$5:$G$5000&gt;=D205)*('Training Detail'!$G$5:$G$5000&lt;=E205)*('Training Detail'!$P$5:$P$5000)))</f>
        <v/>
      </c>
      <c r="I205" s="15" t="str">
        <f aca="false">IF(OR(A205="",C205=""),"",SUMPRODUCT(('Training Detail'!$A$5:$A$5000=A205)*('Training Detail'!$M$5:$M$5000=Standards!A5)*('Training Detail'!$G$5:$G$5000&gt;=D205)*('Training Detail'!$G$5:$G$5000&lt;=E205)*('Training Detail'!$P$5:$P$5000)))</f>
        <v/>
      </c>
      <c r="J205" s="15" t="str">
        <f aca="false">IF(OR(A205="",C205=""),"",SUMPRODUCT(('Training Detail'!$A$5:$A$5000=A205)*('Training Detail'!$M$5:$M$5000=Standards!A6)*('Training Detail'!$G$5:$G$5000&gt;=D205)*('Training Detail'!$G$5:$G$5000&lt;=E205)*('Training Detail'!$P$5:$P$5000)))</f>
        <v/>
      </c>
      <c r="K205" s="15" t="str">
        <f aca="false">IF(OR(A205="",C205=""),"",SUMPRODUCT(('Training Detail'!$A$5:$A$5000=A205)*('Training Detail'!$M$5:$M$5000=Standards!A7)*('Training Detail'!$G$5:$G$5000&gt;=D205)*('Training Detail'!$G$5:$G$5000&lt;=E205)*('Training Detail'!$P$5:$P$5000)))</f>
        <v/>
      </c>
      <c r="L205" s="15" t="str">
        <f aca="false">IF(OR(A205="",C205=""),"",SUMPRODUCT(('Training Detail'!$A$5:$A$5000=A205)*('Training Detail'!$M$5:$M$5000=Standards!A8)*('Training Detail'!$G$5:$G$5000&gt;=D205)*('Training Detail'!$G$5:$G$5000&lt;=E205)*('Training Detail'!$P$5:$P$5000)))</f>
        <v/>
      </c>
      <c r="M205" s="16" t="str">
        <f aca="false">IF(OR(A205="",C205=""),"",SUMPRODUCT(('Training Detail'!$A$5:$A$5000=A205)*('Training Detail'!$M$5:$M$5000=Standards!A9)*('Training Detail'!$G$5:$G$5000&gt;=D205)*('Training Detail'!$G$5:$G$5000&lt;=E205)*('Training Detail'!$P$5:$P$5000)))</f>
        <v/>
      </c>
      <c r="N205" s="17" t="str">
        <f aca="false">IF(A205="","",IF(C205="","Set exp date",IF(AND(F205&gt;=Requirements!B5,G205&gt;=Requirements!B6,H205&gt;=Requirements!B7,I205&gt;=Requirements!B8,J205&gt;=Requirements!B9,K205&gt;=Requirements!B10,L205&gt;=Requirements!B11,M205&gt;=Requirements!B12),"Met","Short")))</f>
        <v/>
      </c>
      <c r="O205" s="18" t="str">
        <f aca="false">IF(OR(A205="",C205=""),"",IF(N205="Met","",IF(F205&lt;Requirements!B5,Requirements!A5&amp;" "&amp;TEXT(Requirements!B5-F205,"0.##")&amp;"; ","")&amp;IF(G205&lt;Requirements!B6,Requirements!A6&amp;" "&amp;TEXT(Requirements!B6-G205,"0.##")&amp;"; ","")&amp;IF(H205&lt;Requirements!B7,Requirements!A7&amp;" "&amp;TEXT(Requirements!B7-H205,"0.##")&amp;"; ","")&amp;IF(I205&lt;Requirements!B8,Requirements!A8&amp;" "&amp;TEXT(Requirements!B8-I205,"0.##")&amp;"; ","")&amp;IF(J205&lt;Requirements!B9,Requirements!A9&amp;" "&amp;TEXT(Requirements!B9-J205,"0.##")&amp;"; ","")&amp;IF(K205&lt;Requirements!B10,Requirements!A10&amp;" "&amp;TEXT(Requirements!B10-K205,"0.##")&amp;"; ","")&amp;IF(L205&lt;Requirements!B11,Requirements!A11&amp;" "&amp;TEXT(Requirements!B11-L205,"0.##")&amp;"; ","")&amp;IF(M205&lt;Requirements!B12,Requirements!A12&amp;" "&amp;TEXT(Requirements!B12-M205,"0.##")&amp;"; ","")))</f>
        <v/>
      </c>
    </row>
    <row r="206" customFormat="false" ht="15" hidden="false" customHeight="true" outlineLevel="0" collapsed="false">
      <c r="A206" s="11"/>
      <c r="B206" s="12"/>
      <c r="C206" s="13"/>
      <c r="D206" s="14" t="str">
        <f aca="false">IF(C206="","",DATE(YEAR(C206)-1,1,1))</f>
        <v/>
      </c>
      <c r="E206" s="14" t="str">
        <f aca="false">IF(C206="","",DATE(YEAR(C206),12,31))</f>
        <v/>
      </c>
      <c r="F206" s="15" t="str">
        <f aca="false">IF(OR(A206="",C206=""),"",SUMPRODUCT(('Training Detail'!$A$5:$A$5000=A206)*('Training Detail'!$M$5:$M$5000=Standards!A2)*('Training Detail'!$G$5:$G$5000&gt;=D206)*('Training Detail'!$G$5:$G$5000&lt;=E206)*('Training Detail'!$P$5:$P$5000)))</f>
        <v/>
      </c>
      <c r="G206" s="15" t="str">
        <f aca="false">IF(OR(A206="",C206=""),"",SUMPRODUCT(('Training Detail'!$A$5:$A$5000=A206)*('Training Detail'!$M$5:$M$5000=Standards!A3)*('Training Detail'!$G$5:$G$5000&gt;=D206)*('Training Detail'!$G$5:$G$5000&lt;=E206)*('Training Detail'!$P$5:$P$5000)))</f>
        <v/>
      </c>
      <c r="H206" s="15" t="str">
        <f aca="false">IF(OR(A206="",C206=""),"",SUMPRODUCT(('Training Detail'!$A$5:$A$5000=A206)*('Training Detail'!$M$5:$M$5000=Standards!A4)*('Training Detail'!$G$5:$G$5000&gt;=D206)*('Training Detail'!$G$5:$G$5000&lt;=E206)*('Training Detail'!$P$5:$P$5000)))</f>
        <v/>
      </c>
      <c r="I206" s="15" t="str">
        <f aca="false">IF(OR(A206="",C206=""),"",SUMPRODUCT(('Training Detail'!$A$5:$A$5000=A206)*('Training Detail'!$M$5:$M$5000=Standards!A5)*('Training Detail'!$G$5:$G$5000&gt;=D206)*('Training Detail'!$G$5:$G$5000&lt;=E206)*('Training Detail'!$P$5:$P$5000)))</f>
        <v/>
      </c>
      <c r="J206" s="15" t="str">
        <f aca="false">IF(OR(A206="",C206=""),"",SUMPRODUCT(('Training Detail'!$A$5:$A$5000=A206)*('Training Detail'!$M$5:$M$5000=Standards!A6)*('Training Detail'!$G$5:$G$5000&gt;=D206)*('Training Detail'!$G$5:$G$5000&lt;=E206)*('Training Detail'!$P$5:$P$5000)))</f>
        <v/>
      </c>
      <c r="K206" s="15" t="str">
        <f aca="false">IF(OR(A206="",C206=""),"",SUMPRODUCT(('Training Detail'!$A$5:$A$5000=A206)*('Training Detail'!$M$5:$M$5000=Standards!A7)*('Training Detail'!$G$5:$G$5000&gt;=D206)*('Training Detail'!$G$5:$G$5000&lt;=E206)*('Training Detail'!$P$5:$P$5000)))</f>
        <v/>
      </c>
      <c r="L206" s="15" t="str">
        <f aca="false">IF(OR(A206="",C206=""),"",SUMPRODUCT(('Training Detail'!$A$5:$A$5000=A206)*('Training Detail'!$M$5:$M$5000=Standards!A8)*('Training Detail'!$G$5:$G$5000&gt;=D206)*('Training Detail'!$G$5:$G$5000&lt;=E206)*('Training Detail'!$P$5:$P$5000)))</f>
        <v/>
      </c>
      <c r="M206" s="16" t="str">
        <f aca="false">IF(OR(A206="",C206=""),"",SUMPRODUCT(('Training Detail'!$A$5:$A$5000=A206)*('Training Detail'!$M$5:$M$5000=Standards!A9)*('Training Detail'!$G$5:$G$5000&gt;=D206)*('Training Detail'!$G$5:$G$5000&lt;=E206)*('Training Detail'!$P$5:$P$5000)))</f>
        <v/>
      </c>
      <c r="N206" s="17" t="str">
        <f aca="false">IF(A206="","",IF(C206="","Set exp date",IF(AND(F206&gt;=Requirements!B5,G206&gt;=Requirements!B6,H206&gt;=Requirements!B7,I206&gt;=Requirements!B8,J206&gt;=Requirements!B9,K206&gt;=Requirements!B10,L206&gt;=Requirements!B11,M206&gt;=Requirements!B12),"Met","Short")))</f>
        <v/>
      </c>
      <c r="O206" s="18" t="str">
        <f aca="false">IF(OR(A206="",C206=""),"",IF(N206="Met","",IF(F206&lt;Requirements!B5,Requirements!A5&amp;" "&amp;TEXT(Requirements!B5-F206,"0.##")&amp;"; ","")&amp;IF(G206&lt;Requirements!B6,Requirements!A6&amp;" "&amp;TEXT(Requirements!B6-G206,"0.##")&amp;"; ","")&amp;IF(H206&lt;Requirements!B7,Requirements!A7&amp;" "&amp;TEXT(Requirements!B7-H206,"0.##")&amp;"; ","")&amp;IF(I206&lt;Requirements!B8,Requirements!A8&amp;" "&amp;TEXT(Requirements!B8-I206,"0.##")&amp;"; ","")&amp;IF(J206&lt;Requirements!B9,Requirements!A9&amp;" "&amp;TEXT(Requirements!B9-J206,"0.##")&amp;"; ","")&amp;IF(K206&lt;Requirements!B10,Requirements!A10&amp;" "&amp;TEXT(Requirements!B10-K206,"0.##")&amp;"; ","")&amp;IF(L206&lt;Requirements!B11,Requirements!A11&amp;" "&amp;TEXT(Requirements!B11-L206,"0.##")&amp;"; ","")&amp;IF(M206&lt;Requirements!B12,Requirements!A12&amp;" "&amp;TEXT(Requirements!B12-M206,"0.##")&amp;"; ","")))</f>
        <v/>
      </c>
    </row>
    <row r="207" customFormat="false" ht="15" hidden="false" customHeight="true" outlineLevel="0" collapsed="false">
      <c r="A207" s="11"/>
      <c r="B207" s="12"/>
      <c r="C207" s="13"/>
      <c r="D207" s="14" t="str">
        <f aca="false">IF(C207="","",DATE(YEAR(C207)-1,1,1))</f>
        <v/>
      </c>
      <c r="E207" s="14" t="str">
        <f aca="false">IF(C207="","",DATE(YEAR(C207),12,31))</f>
        <v/>
      </c>
      <c r="F207" s="15" t="str">
        <f aca="false">IF(OR(A207="",C207=""),"",SUMPRODUCT(('Training Detail'!$A$5:$A$5000=A207)*('Training Detail'!$M$5:$M$5000=Standards!A2)*('Training Detail'!$G$5:$G$5000&gt;=D207)*('Training Detail'!$G$5:$G$5000&lt;=E207)*('Training Detail'!$P$5:$P$5000)))</f>
        <v/>
      </c>
      <c r="G207" s="15" t="str">
        <f aca="false">IF(OR(A207="",C207=""),"",SUMPRODUCT(('Training Detail'!$A$5:$A$5000=A207)*('Training Detail'!$M$5:$M$5000=Standards!A3)*('Training Detail'!$G$5:$G$5000&gt;=D207)*('Training Detail'!$G$5:$G$5000&lt;=E207)*('Training Detail'!$P$5:$P$5000)))</f>
        <v/>
      </c>
      <c r="H207" s="15" t="str">
        <f aca="false">IF(OR(A207="",C207=""),"",SUMPRODUCT(('Training Detail'!$A$5:$A$5000=A207)*('Training Detail'!$M$5:$M$5000=Standards!A4)*('Training Detail'!$G$5:$G$5000&gt;=D207)*('Training Detail'!$G$5:$G$5000&lt;=E207)*('Training Detail'!$P$5:$P$5000)))</f>
        <v/>
      </c>
      <c r="I207" s="15" t="str">
        <f aca="false">IF(OR(A207="",C207=""),"",SUMPRODUCT(('Training Detail'!$A$5:$A$5000=A207)*('Training Detail'!$M$5:$M$5000=Standards!A5)*('Training Detail'!$G$5:$G$5000&gt;=D207)*('Training Detail'!$G$5:$G$5000&lt;=E207)*('Training Detail'!$P$5:$P$5000)))</f>
        <v/>
      </c>
      <c r="J207" s="15" t="str">
        <f aca="false">IF(OR(A207="",C207=""),"",SUMPRODUCT(('Training Detail'!$A$5:$A$5000=A207)*('Training Detail'!$M$5:$M$5000=Standards!A6)*('Training Detail'!$G$5:$G$5000&gt;=D207)*('Training Detail'!$G$5:$G$5000&lt;=E207)*('Training Detail'!$P$5:$P$5000)))</f>
        <v/>
      </c>
      <c r="K207" s="15" t="str">
        <f aca="false">IF(OR(A207="",C207=""),"",SUMPRODUCT(('Training Detail'!$A$5:$A$5000=A207)*('Training Detail'!$M$5:$M$5000=Standards!A7)*('Training Detail'!$G$5:$G$5000&gt;=D207)*('Training Detail'!$G$5:$G$5000&lt;=E207)*('Training Detail'!$P$5:$P$5000)))</f>
        <v/>
      </c>
      <c r="L207" s="15" t="str">
        <f aca="false">IF(OR(A207="",C207=""),"",SUMPRODUCT(('Training Detail'!$A$5:$A$5000=A207)*('Training Detail'!$M$5:$M$5000=Standards!A8)*('Training Detail'!$G$5:$G$5000&gt;=D207)*('Training Detail'!$G$5:$G$5000&lt;=E207)*('Training Detail'!$P$5:$P$5000)))</f>
        <v/>
      </c>
      <c r="M207" s="16" t="str">
        <f aca="false">IF(OR(A207="",C207=""),"",SUMPRODUCT(('Training Detail'!$A$5:$A$5000=A207)*('Training Detail'!$M$5:$M$5000=Standards!A9)*('Training Detail'!$G$5:$G$5000&gt;=D207)*('Training Detail'!$G$5:$G$5000&lt;=E207)*('Training Detail'!$P$5:$P$5000)))</f>
        <v/>
      </c>
      <c r="N207" s="17" t="str">
        <f aca="false">IF(A207="","",IF(C207="","Set exp date",IF(AND(F207&gt;=Requirements!B5,G207&gt;=Requirements!B6,H207&gt;=Requirements!B7,I207&gt;=Requirements!B8,J207&gt;=Requirements!B9,K207&gt;=Requirements!B10,L207&gt;=Requirements!B11,M207&gt;=Requirements!B12),"Met","Short")))</f>
        <v/>
      </c>
      <c r="O207" s="18" t="str">
        <f aca="false">IF(OR(A207="",C207=""),"",IF(N207="Met","",IF(F207&lt;Requirements!B5,Requirements!A5&amp;" "&amp;TEXT(Requirements!B5-F207,"0.##")&amp;"; ","")&amp;IF(G207&lt;Requirements!B6,Requirements!A6&amp;" "&amp;TEXT(Requirements!B6-G207,"0.##")&amp;"; ","")&amp;IF(H207&lt;Requirements!B7,Requirements!A7&amp;" "&amp;TEXT(Requirements!B7-H207,"0.##")&amp;"; ","")&amp;IF(I207&lt;Requirements!B8,Requirements!A8&amp;" "&amp;TEXT(Requirements!B8-I207,"0.##")&amp;"; ","")&amp;IF(J207&lt;Requirements!B9,Requirements!A9&amp;" "&amp;TEXT(Requirements!B9-J207,"0.##")&amp;"; ","")&amp;IF(K207&lt;Requirements!B10,Requirements!A10&amp;" "&amp;TEXT(Requirements!B10-K207,"0.##")&amp;"; ","")&amp;IF(L207&lt;Requirements!B11,Requirements!A11&amp;" "&amp;TEXT(Requirements!B11-L207,"0.##")&amp;"; ","")&amp;IF(M207&lt;Requirements!B12,Requirements!A12&amp;" "&amp;TEXT(Requirements!B12-M207,"0.##")&amp;"; ","")))</f>
        <v/>
      </c>
    </row>
    <row r="208" customFormat="false" ht="15" hidden="false" customHeight="true" outlineLevel="0" collapsed="false">
      <c r="A208" s="11"/>
      <c r="B208" s="12"/>
      <c r="C208" s="13"/>
      <c r="D208" s="14" t="str">
        <f aca="false">IF(C208="","",DATE(YEAR(C208)-1,1,1))</f>
        <v/>
      </c>
      <c r="E208" s="14" t="str">
        <f aca="false">IF(C208="","",DATE(YEAR(C208),12,31))</f>
        <v/>
      </c>
      <c r="F208" s="15" t="str">
        <f aca="false">IF(OR(A208="",C208=""),"",SUMPRODUCT(('Training Detail'!$A$5:$A$5000=A208)*('Training Detail'!$M$5:$M$5000=Standards!A2)*('Training Detail'!$G$5:$G$5000&gt;=D208)*('Training Detail'!$G$5:$G$5000&lt;=E208)*('Training Detail'!$P$5:$P$5000)))</f>
        <v/>
      </c>
      <c r="G208" s="15" t="str">
        <f aca="false">IF(OR(A208="",C208=""),"",SUMPRODUCT(('Training Detail'!$A$5:$A$5000=A208)*('Training Detail'!$M$5:$M$5000=Standards!A3)*('Training Detail'!$G$5:$G$5000&gt;=D208)*('Training Detail'!$G$5:$G$5000&lt;=E208)*('Training Detail'!$P$5:$P$5000)))</f>
        <v/>
      </c>
      <c r="H208" s="15" t="str">
        <f aca="false">IF(OR(A208="",C208=""),"",SUMPRODUCT(('Training Detail'!$A$5:$A$5000=A208)*('Training Detail'!$M$5:$M$5000=Standards!A4)*('Training Detail'!$G$5:$G$5000&gt;=D208)*('Training Detail'!$G$5:$G$5000&lt;=E208)*('Training Detail'!$P$5:$P$5000)))</f>
        <v/>
      </c>
      <c r="I208" s="15" t="str">
        <f aca="false">IF(OR(A208="",C208=""),"",SUMPRODUCT(('Training Detail'!$A$5:$A$5000=A208)*('Training Detail'!$M$5:$M$5000=Standards!A5)*('Training Detail'!$G$5:$G$5000&gt;=D208)*('Training Detail'!$G$5:$G$5000&lt;=E208)*('Training Detail'!$P$5:$P$5000)))</f>
        <v/>
      </c>
      <c r="J208" s="15" t="str">
        <f aca="false">IF(OR(A208="",C208=""),"",SUMPRODUCT(('Training Detail'!$A$5:$A$5000=A208)*('Training Detail'!$M$5:$M$5000=Standards!A6)*('Training Detail'!$G$5:$G$5000&gt;=D208)*('Training Detail'!$G$5:$G$5000&lt;=E208)*('Training Detail'!$P$5:$P$5000)))</f>
        <v/>
      </c>
      <c r="K208" s="15" t="str">
        <f aca="false">IF(OR(A208="",C208=""),"",SUMPRODUCT(('Training Detail'!$A$5:$A$5000=A208)*('Training Detail'!$M$5:$M$5000=Standards!A7)*('Training Detail'!$G$5:$G$5000&gt;=D208)*('Training Detail'!$G$5:$G$5000&lt;=E208)*('Training Detail'!$P$5:$P$5000)))</f>
        <v/>
      </c>
      <c r="L208" s="15" t="str">
        <f aca="false">IF(OR(A208="",C208=""),"",SUMPRODUCT(('Training Detail'!$A$5:$A$5000=A208)*('Training Detail'!$M$5:$M$5000=Standards!A8)*('Training Detail'!$G$5:$G$5000&gt;=D208)*('Training Detail'!$G$5:$G$5000&lt;=E208)*('Training Detail'!$P$5:$P$5000)))</f>
        <v/>
      </c>
      <c r="M208" s="16" t="str">
        <f aca="false">IF(OR(A208="",C208=""),"",SUMPRODUCT(('Training Detail'!$A$5:$A$5000=A208)*('Training Detail'!$M$5:$M$5000=Standards!A9)*('Training Detail'!$G$5:$G$5000&gt;=D208)*('Training Detail'!$G$5:$G$5000&lt;=E208)*('Training Detail'!$P$5:$P$5000)))</f>
        <v/>
      </c>
      <c r="N208" s="17" t="str">
        <f aca="false">IF(A208="","",IF(C208="","Set exp date",IF(AND(F208&gt;=Requirements!B5,G208&gt;=Requirements!B6,H208&gt;=Requirements!B7,I208&gt;=Requirements!B8,J208&gt;=Requirements!B9,K208&gt;=Requirements!B10,L208&gt;=Requirements!B11,M208&gt;=Requirements!B12),"Met","Short")))</f>
        <v/>
      </c>
      <c r="O208" s="18" t="str">
        <f aca="false">IF(OR(A208="",C208=""),"",IF(N208="Met","",IF(F208&lt;Requirements!B5,Requirements!A5&amp;" "&amp;TEXT(Requirements!B5-F208,"0.##")&amp;"; ","")&amp;IF(G208&lt;Requirements!B6,Requirements!A6&amp;" "&amp;TEXT(Requirements!B6-G208,"0.##")&amp;"; ","")&amp;IF(H208&lt;Requirements!B7,Requirements!A7&amp;" "&amp;TEXT(Requirements!B7-H208,"0.##")&amp;"; ","")&amp;IF(I208&lt;Requirements!B8,Requirements!A8&amp;" "&amp;TEXT(Requirements!B8-I208,"0.##")&amp;"; ","")&amp;IF(J208&lt;Requirements!B9,Requirements!A9&amp;" "&amp;TEXT(Requirements!B9-J208,"0.##")&amp;"; ","")&amp;IF(K208&lt;Requirements!B10,Requirements!A10&amp;" "&amp;TEXT(Requirements!B10-K208,"0.##")&amp;"; ","")&amp;IF(L208&lt;Requirements!B11,Requirements!A11&amp;" "&amp;TEXT(Requirements!B11-L208,"0.##")&amp;"; ","")&amp;IF(M208&lt;Requirements!B12,Requirements!A12&amp;" "&amp;TEXT(Requirements!B12-M208,"0.##")&amp;"; ","")))</f>
        <v/>
      </c>
    </row>
    <row r="209" customFormat="false" ht="15" hidden="false" customHeight="true" outlineLevel="0" collapsed="false">
      <c r="A209" s="11"/>
      <c r="B209" s="12"/>
      <c r="C209" s="13"/>
      <c r="D209" s="14" t="str">
        <f aca="false">IF(C209="","",DATE(YEAR(C209)-1,1,1))</f>
        <v/>
      </c>
      <c r="E209" s="14" t="str">
        <f aca="false">IF(C209="","",DATE(YEAR(C209),12,31))</f>
        <v/>
      </c>
      <c r="F209" s="15" t="str">
        <f aca="false">IF(OR(A209="",C209=""),"",SUMPRODUCT(('Training Detail'!$A$5:$A$5000=A209)*('Training Detail'!$M$5:$M$5000=Standards!A2)*('Training Detail'!$G$5:$G$5000&gt;=D209)*('Training Detail'!$G$5:$G$5000&lt;=E209)*('Training Detail'!$P$5:$P$5000)))</f>
        <v/>
      </c>
      <c r="G209" s="15" t="str">
        <f aca="false">IF(OR(A209="",C209=""),"",SUMPRODUCT(('Training Detail'!$A$5:$A$5000=A209)*('Training Detail'!$M$5:$M$5000=Standards!A3)*('Training Detail'!$G$5:$G$5000&gt;=D209)*('Training Detail'!$G$5:$G$5000&lt;=E209)*('Training Detail'!$P$5:$P$5000)))</f>
        <v/>
      </c>
      <c r="H209" s="15" t="str">
        <f aca="false">IF(OR(A209="",C209=""),"",SUMPRODUCT(('Training Detail'!$A$5:$A$5000=A209)*('Training Detail'!$M$5:$M$5000=Standards!A4)*('Training Detail'!$G$5:$G$5000&gt;=D209)*('Training Detail'!$G$5:$G$5000&lt;=E209)*('Training Detail'!$P$5:$P$5000)))</f>
        <v/>
      </c>
      <c r="I209" s="15" t="str">
        <f aca="false">IF(OR(A209="",C209=""),"",SUMPRODUCT(('Training Detail'!$A$5:$A$5000=A209)*('Training Detail'!$M$5:$M$5000=Standards!A5)*('Training Detail'!$G$5:$G$5000&gt;=D209)*('Training Detail'!$G$5:$G$5000&lt;=E209)*('Training Detail'!$P$5:$P$5000)))</f>
        <v/>
      </c>
      <c r="J209" s="15" t="str">
        <f aca="false">IF(OR(A209="",C209=""),"",SUMPRODUCT(('Training Detail'!$A$5:$A$5000=A209)*('Training Detail'!$M$5:$M$5000=Standards!A6)*('Training Detail'!$G$5:$G$5000&gt;=D209)*('Training Detail'!$G$5:$G$5000&lt;=E209)*('Training Detail'!$P$5:$P$5000)))</f>
        <v/>
      </c>
      <c r="K209" s="15" t="str">
        <f aca="false">IF(OR(A209="",C209=""),"",SUMPRODUCT(('Training Detail'!$A$5:$A$5000=A209)*('Training Detail'!$M$5:$M$5000=Standards!A7)*('Training Detail'!$G$5:$G$5000&gt;=D209)*('Training Detail'!$G$5:$G$5000&lt;=E209)*('Training Detail'!$P$5:$P$5000)))</f>
        <v/>
      </c>
      <c r="L209" s="15" t="str">
        <f aca="false">IF(OR(A209="",C209=""),"",SUMPRODUCT(('Training Detail'!$A$5:$A$5000=A209)*('Training Detail'!$M$5:$M$5000=Standards!A8)*('Training Detail'!$G$5:$G$5000&gt;=D209)*('Training Detail'!$G$5:$G$5000&lt;=E209)*('Training Detail'!$P$5:$P$5000)))</f>
        <v/>
      </c>
      <c r="M209" s="16" t="str">
        <f aca="false">IF(OR(A209="",C209=""),"",SUMPRODUCT(('Training Detail'!$A$5:$A$5000=A209)*('Training Detail'!$M$5:$M$5000=Standards!A9)*('Training Detail'!$G$5:$G$5000&gt;=D209)*('Training Detail'!$G$5:$G$5000&lt;=E209)*('Training Detail'!$P$5:$P$5000)))</f>
        <v/>
      </c>
      <c r="N209" s="17" t="str">
        <f aca="false">IF(A209="","",IF(C209="","Set exp date",IF(AND(F209&gt;=Requirements!B5,G209&gt;=Requirements!B6,H209&gt;=Requirements!B7,I209&gt;=Requirements!B8,J209&gt;=Requirements!B9,K209&gt;=Requirements!B10,L209&gt;=Requirements!B11,M209&gt;=Requirements!B12),"Met","Short")))</f>
        <v/>
      </c>
      <c r="O209" s="18" t="str">
        <f aca="false">IF(OR(A209="",C209=""),"",IF(N209="Met","",IF(F209&lt;Requirements!B5,Requirements!A5&amp;" "&amp;TEXT(Requirements!B5-F209,"0.##")&amp;"; ","")&amp;IF(G209&lt;Requirements!B6,Requirements!A6&amp;" "&amp;TEXT(Requirements!B6-G209,"0.##")&amp;"; ","")&amp;IF(H209&lt;Requirements!B7,Requirements!A7&amp;" "&amp;TEXT(Requirements!B7-H209,"0.##")&amp;"; ","")&amp;IF(I209&lt;Requirements!B8,Requirements!A8&amp;" "&amp;TEXT(Requirements!B8-I209,"0.##")&amp;"; ","")&amp;IF(J209&lt;Requirements!B9,Requirements!A9&amp;" "&amp;TEXT(Requirements!B9-J209,"0.##")&amp;"; ","")&amp;IF(K209&lt;Requirements!B10,Requirements!A10&amp;" "&amp;TEXT(Requirements!B10-K209,"0.##")&amp;"; ","")&amp;IF(L209&lt;Requirements!B11,Requirements!A11&amp;" "&amp;TEXT(Requirements!B11-L209,"0.##")&amp;"; ","")&amp;IF(M209&lt;Requirements!B12,Requirements!A12&amp;" "&amp;TEXT(Requirements!B12-M209,"0.##")&amp;"; ","")))</f>
        <v/>
      </c>
    </row>
    <row r="210" customFormat="false" ht="15" hidden="false" customHeight="true" outlineLevel="0" collapsed="false">
      <c r="A210" s="11"/>
      <c r="B210" s="12"/>
      <c r="C210" s="13"/>
      <c r="D210" s="14" t="str">
        <f aca="false">IF(C210="","",DATE(YEAR(C210)-1,1,1))</f>
        <v/>
      </c>
      <c r="E210" s="14" t="str">
        <f aca="false">IF(C210="","",DATE(YEAR(C210),12,31))</f>
        <v/>
      </c>
      <c r="F210" s="15" t="str">
        <f aca="false">IF(OR(A210="",C210=""),"",SUMPRODUCT(('Training Detail'!$A$5:$A$5000=A210)*('Training Detail'!$M$5:$M$5000=Standards!A2)*('Training Detail'!$G$5:$G$5000&gt;=D210)*('Training Detail'!$G$5:$G$5000&lt;=E210)*('Training Detail'!$P$5:$P$5000)))</f>
        <v/>
      </c>
      <c r="G210" s="15" t="str">
        <f aca="false">IF(OR(A210="",C210=""),"",SUMPRODUCT(('Training Detail'!$A$5:$A$5000=A210)*('Training Detail'!$M$5:$M$5000=Standards!A3)*('Training Detail'!$G$5:$G$5000&gt;=D210)*('Training Detail'!$G$5:$G$5000&lt;=E210)*('Training Detail'!$P$5:$P$5000)))</f>
        <v/>
      </c>
      <c r="H210" s="15" t="str">
        <f aca="false">IF(OR(A210="",C210=""),"",SUMPRODUCT(('Training Detail'!$A$5:$A$5000=A210)*('Training Detail'!$M$5:$M$5000=Standards!A4)*('Training Detail'!$G$5:$G$5000&gt;=D210)*('Training Detail'!$G$5:$G$5000&lt;=E210)*('Training Detail'!$P$5:$P$5000)))</f>
        <v/>
      </c>
      <c r="I210" s="15" t="str">
        <f aca="false">IF(OR(A210="",C210=""),"",SUMPRODUCT(('Training Detail'!$A$5:$A$5000=A210)*('Training Detail'!$M$5:$M$5000=Standards!A5)*('Training Detail'!$G$5:$G$5000&gt;=D210)*('Training Detail'!$G$5:$G$5000&lt;=E210)*('Training Detail'!$P$5:$P$5000)))</f>
        <v/>
      </c>
      <c r="J210" s="15" t="str">
        <f aca="false">IF(OR(A210="",C210=""),"",SUMPRODUCT(('Training Detail'!$A$5:$A$5000=A210)*('Training Detail'!$M$5:$M$5000=Standards!A6)*('Training Detail'!$G$5:$G$5000&gt;=D210)*('Training Detail'!$G$5:$G$5000&lt;=E210)*('Training Detail'!$P$5:$P$5000)))</f>
        <v/>
      </c>
      <c r="K210" s="15" t="str">
        <f aca="false">IF(OR(A210="",C210=""),"",SUMPRODUCT(('Training Detail'!$A$5:$A$5000=A210)*('Training Detail'!$M$5:$M$5000=Standards!A7)*('Training Detail'!$G$5:$G$5000&gt;=D210)*('Training Detail'!$G$5:$G$5000&lt;=E210)*('Training Detail'!$P$5:$P$5000)))</f>
        <v/>
      </c>
      <c r="L210" s="15" t="str">
        <f aca="false">IF(OR(A210="",C210=""),"",SUMPRODUCT(('Training Detail'!$A$5:$A$5000=A210)*('Training Detail'!$M$5:$M$5000=Standards!A8)*('Training Detail'!$G$5:$G$5000&gt;=D210)*('Training Detail'!$G$5:$G$5000&lt;=E210)*('Training Detail'!$P$5:$P$5000)))</f>
        <v/>
      </c>
      <c r="M210" s="16" t="str">
        <f aca="false">IF(OR(A210="",C210=""),"",SUMPRODUCT(('Training Detail'!$A$5:$A$5000=A210)*('Training Detail'!$M$5:$M$5000=Standards!A9)*('Training Detail'!$G$5:$G$5000&gt;=D210)*('Training Detail'!$G$5:$G$5000&lt;=E210)*('Training Detail'!$P$5:$P$5000)))</f>
        <v/>
      </c>
      <c r="N210" s="17" t="str">
        <f aca="false">IF(A210="","",IF(C210="","Set exp date",IF(AND(F210&gt;=Requirements!B5,G210&gt;=Requirements!B6,H210&gt;=Requirements!B7,I210&gt;=Requirements!B8,J210&gt;=Requirements!B9,K210&gt;=Requirements!B10,L210&gt;=Requirements!B11,M210&gt;=Requirements!B12),"Met","Short")))</f>
        <v/>
      </c>
      <c r="O210" s="18" t="str">
        <f aca="false">IF(OR(A210="",C210=""),"",IF(N210="Met","",IF(F210&lt;Requirements!B5,Requirements!A5&amp;" "&amp;TEXT(Requirements!B5-F210,"0.##")&amp;"; ","")&amp;IF(G210&lt;Requirements!B6,Requirements!A6&amp;" "&amp;TEXT(Requirements!B6-G210,"0.##")&amp;"; ","")&amp;IF(H210&lt;Requirements!B7,Requirements!A7&amp;" "&amp;TEXT(Requirements!B7-H210,"0.##")&amp;"; ","")&amp;IF(I210&lt;Requirements!B8,Requirements!A8&amp;" "&amp;TEXT(Requirements!B8-I210,"0.##")&amp;"; ","")&amp;IF(J210&lt;Requirements!B9,Requirements!A9&amp;" "&amp;TEXT(Requirements!B9-J210,"0.##")&amp;"; ","")&amp;IF(K210&lt;Requirements!B10,Requirements!A10&amp;" "&amp;TEXT(Requirements!B10-K210,"0.##")&amp;"; ","")&amp;IF(L210&lt;Requirements!B11,Requirements!A11&amp;" "&amp;TEXT(Requirements!B11-L210,"0.##")&amp;"; ","")&amp;IF(M210&lt;Requirements!B12,Requirements!A12&amp;" "&amp;TEXT(Requirements!B12-M210,"0.##")&amp;"; ","")))</f>
        <v/>
      </c>
    </row>
    <row r="213" customFormat="false" ht="15" hidden="false" customHeight="true" outlineLevel="0" collapsed="false">
      <c r="A213" s="22" t="s">
        <v>345</v>
      </c>
    </row>
    <row r="214" customFormat="false" ht="15" hidden="false" customHeight="true" outlineLevel="0" collapsed="false">
      <c r="A214" s="23" t="str">
        <f aca="false">Requirements!A5</f>
        <v>Airway</v>
      </c>
      <c r="B214" s="23" t="str">
        <f aca="false">Requirements!A6</f>
        <v>Cardiovascular</v>
      </c>
      <c r="C214" s="23" t="str">
        <f aca="false">Requirements!A7</f>
        <v>Trauma</v>
      </c>
      <c r="D214" s="23" t="str">
        <f aca="false">Requirements!A8</f>
        <v>Medical</v>
      </c>
      <c r="E214" s="23" t="str">
        <f aca="false">Requirements!A9</f>
        <v>Operations</v>
      </c>
      <c r="F214" s="23" t="str">
        <f aca="false">Requirements!A10</f>
        <v>PAHT</v>
      </c>
      <c r="G214" s="23" t="str">
        <f aca="false">Requirements!A11</f>
        <v>SVAT</v>
      </c>
      <c r="H214" s="23" t="str">
        <f aca="false">Requirements!A12</f>
        <v>CPR/AED</v>
      </c>
    </row>
    <row r="215" customFormat="false" ht="15" hidden="false" customHeight="true" outlineLevel="0" collapsed="false">
      <c r="A215" s="24" t="n">
        <f aca="false">COUNTIFS($A$8:$A$210,"&lt;&gt;",$C$8:$C$210,"&lt;&gt;",F8:F210,"&lt;"&amp;Requirements!B5)</f>
        <v>137</v>
      </c>
      <c r="B215" s="24" t="n">
        <f aca="false">COUNTIFS($A$8:$A$210,"&lt;&gt;",$C$8:$C$210,"&lt;&gt;",G8:G210,"&lt;"&amp;Requirements!B6)</f>
        <v>134</v>
      </c>
      <c r="C215" s="24" t="n">
        <f aca="false">COUNTIFS($A$8:$A$210,"&lt;&gt;",$C$8:$C$210,"&lt;&gt;",H8:H210,"&lt;"&amp;Requirements!B7)</f>
        <v>35</v>
      </c>
      <c r="D215" s="24" t="n">
        <f aca="false">COUNTIFS($A$8:$A$210,"&lt;&gt;",$C$8:$C$210,"&lt;&gt;",I8:I210,"&lt;"&amp;Requirements!B8)</f>
        <v>108</v>
      </c>
      <c r="E215" s="24" t="n">
        <f aca="false">COUNTIFS($A$8:$A$210,"&lt;&gt;",$C$8:$C$210,"&lt;&gt;",J8:J210,"&lt;"&amp;Requirements!B9)</f>
        <v>66</v>
      </c>
      <c r="F215" s="24" t="n">
        <f aca="false">COUNTIFS($A$8:$A$210,"&lt;&gt;",$C$8:$C$210,"&lt;&gt;",K8:K210,"&lt;"&amp;Requirements!B10)</f>
        <v>119</v>
      </c>
      <c r="G215" s="24" t="n">
        <f aca="false">COUNTIFS($A$8:$A$210,"&lt;&gt;",$C$8:$C$210,"&lt;&gt;",L8:L210,"&lt;"&amp;Requirements!B11)</f>
        <v>137</v>
      </c>
      <c r="H215" s="25" t="n">
        <f aca="false">COUNTIFS($A$8:$A$210,"&lt;&gt;",$C$8:$C$210,"&lt;&gt;",M8:M210,"&lt;"&amp;Requirements!B12)</f>
        <v>114</v>
      </c>
    </row>
  </sheetData>
  <autoFilter ref="A7:O185"/>
  <mergeCells count="2">
    <mergeCell ref="A1:N1"/>
    <mergeCell ref="A2:N2"/>
  </mergeCells>
  <conditionalFormatting sqref="M8:M210">
    <cfRule type="expression" priority="2" aboveAverage="0" equalAverage="0" bottom="0" percent="0" rank="0" text="" dxfId="10">
      <formula>M8="Met"</formula>
    </cfRule>
    <cfRule type="expression" priority="3" aboveAverage="0" equalAverage="0" bottom="0" percent="0" rank="0" text="" dxfId="11">
      <formula>M8="Short"</formula>
    </cfRule>
    <cfRule type="expression" priority="4" aboveAverage="0" equalAverage="0" bottom="0" percent="0" rank="0" text="" dxfId="12">
      <formula>M8="Set exp date"</formula>
    </cfRule>
    <cfRule type="expression" priority="5" aboveAverage="0" equalAverage="0" bottom="0" percent="0" rank="0" text="" dxfId="13">
      <formula>AND(M8&lt;&gt;"",M8&lt;Requirements!B12)</formula>
    </cfRule>
    <cfRule type="expression" priority="6" aboveAverage="0" equalAverage="0" bottom="0" percent="0" rank="0" text="" dxfId="14">
      <formula>AND(M8&lt;&gt;"",M8&gt;=Requirements!B12)</formula>
    </cfRule>
  </conditionalFormatting>
  <conditionalFormatting sqref="F8:F210">
    <cfRule type="expression" priority="7" aboveAverage="0" equalAverage="0" bottom="0" percent="0" rank="0" text="" dxfId="11">
      <formula>AND(F8&lt;&gt;"",F8&lt;Requirements!B5)</formula>
    </cfRule>
    <cfRule type="expression" priority="8" aboveAverage="0" equalAverage="0" bottom="0" percent="0" rank="0" text="" dxfId="10">
      <formula>AND(F8&lt;&gt;"",F8&gt;=Requirements!B5)</formula>
    </cfRule>
  </conditionalFormatting>
  <conditionalFormatting sqref="G8:G210">
    <cfRule type="expression" priority="9" aboveAverage="0" equalAverage="0" bottom="0" percent="0" rank="0" text="" dxfId="11">
      <formula>AND(G8&lt;&gt;"",G8&lt;Requirements!B6)</formula>
    </cfRule>
    <cfRule type="expression" priority="10" aboveAverage="0" equalAverage="0" bottom="0" percent="0" rank="0" text="" dxfId="10">
      <formula>AND(G8&lt;&gt;"",G8&gt;=Requirements!B6)</formula>
    </cfRule>
  </conditionalFormatting>
  <conditionalFormatting sqref="H8:H210">
    <cfRule type="expression" priority="11" aboveAverage="0" equalAverage="0" bottom="0" percent="0" rank="0" text="" dxfId="11">
      <formula>AND(H8&lt;&gt;"",H8&lt;Requirements!B7)</formula>
    </cfRule>
    <cfRule type="expression" priority="12" aboveAverage="0" equalAverage="0" bottom="0" percent="0" rank="0" text="" dxfId="10">
      <formula>AND(H8&lt;&gt;"",H8&gt;=Requirements!B7)</formula>
    </cfRule>
  </conditionalFormatting>
  <conditionalFormatting sqref="I8:I210">
    <cfRule type="expression" priority="13" aboveAverage="0" equalAverage="0" bottom="0" percent="0" rank="0" text="" dxfId="11">
      <formula>AND(I8&lt;&gt;"",I8&lt;Requirements!B8)</formula>
    </cfRule>
    <cfRule type="expression" priority="14" aboveAverage="0" equalAverage="0" bottom="0" percent="0" rank="0" text="" dxfId="10">
      <formula>AND(I8&lt;&gt;"",I8&gt;=Requirements!B8)</formula>
    </cfRule>
  </conditionalFormatting>
  <conditionalFormatting sqref="J8:J210">
    <cfRule type="expression" priority="15" aboveAverage="0" equalAverage="0" bottom="0" percent="0" rank="0" text="" dxfId="11">
      <formula>AND(J8&lt;&gt;"",J8&lt;Requirements!B9)</formula>
    </cfRule>
    <cfRule type="expression" priority="16" aboveAverage="0" equalAverage="0" bottom="0" percent="0" rank="0" text="" dxfId="10">
      <formula>AND(J8&lt;&gt;"",J8&gt;=Requirements!B9)</formula>
    </cfRule>
  </conditionalFormatting>
  <conditionalFormatting sqref="K8:K210">
    <cfRule type="expression" priority="17" aboveAverage="0" equalAverage="0" bottom="0" percent="0" rank="0" text="" dxfId="11">
      <formula>AND(K8&lt;&gt;"",K8&lt;Requirements!B10)</formula>
    </cfRule>
    <cfRule type="expression" priority="18" aboveAverage="0" equalAverage="0" bottom="0" percent="0" rank="0" text="" dxfId="10">
      <formula>AND(K8&lt;&gt;"",K8&gt;=Requirements!B10)</formula>
    </cfRule>
  </conditionalFormatting>
  <conditionalFormatting sqref="L8:L210">
    <cfRule type="expression" priority="19" aboveAverage="0" equalAverage="0" bottom="0" percent="0" rank="0" text="" dxfId="11">
      <formula>AND(L8&lt;&gt;"",L8&lt;Requirements!B11)</formula>
    </cfRule>
    <cfRule type="expression" priority="20" aboveAverage="0" equalAverage="0" bottom="0" percent="0" rank="0" text="" dxfId="10">
      <formula>AND(L8&lt;&gt;"",L8&gt;=Requirements!B11)</formula>
    </cfRule>
  </conditionalFormatting>
  <printOptions headings="false" gridLines="false" gridLinesSet="true" horizontalCentered="false" verticalCentered="false"/>
  <pageMargins left="0.4" right="0.4" top="0.55" bottom="0.45" header="0.511811023622047" footer="0.5"/>
  <pageSetup paperSize="3" scale="100" fitToWidth="1" fitToHeight="1" pageOrder="downThenOver" orientation="landscape" blackAndWhite="false" draft="false" cellComments="none" horizontalDpi="300" verticalDpi="300" copies="1"/>
  <headerFooter differentFirst="false" differentOddEven="false">
    <oddHeader/>
    <oddFooter>&amp;RPage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9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6"/>
    <col collapsed="false" customWidth="true" hidden="false" outlineLevel="0" max="4" min="4" style="1" width="36"/>
    <col collapsed="false" customWidth="true" hidden="false" outlineLevel="0" max="5" min="5" style="1" width="28"/>
    <col collapsed="false" customWidth="true" hidden="false" outlineLevel="0" max="6" min="6" style="1" width="12"/>
    <col collapsed="false" customWidth="true" hidden="false" outlineLevel="0" max="8" min="7" style="1" width="16"/>
    <col collapsed="false" customWidth="true" hidden="false" outlineLevel="0" max="9" min="9" style="1" width="55"/>
    <col collapsed="false" customWidth="true" hidden="false" outlineLevel="0" max="10" min="10" style="1" width="42"/>
    <col collapsed="false" customWidth="true" hidden="false" outlineLevel="0" max="11" min="11" style="1" width="48"/>
    <col collapsed="false" customWidth="true" hidden="false" outlineLevel="0" max="12" min="12" style="1" width="10"/>
    <col collapsed="false" customWidth="true" hidden="false" outlineLevel="0" max="13" min="13" style="1" width="46"/>
    <col collapsed="false" customWidth="true" hidden="false" outlineLevel="0" max="14" min="14" style="1" width="36"/>
    <col collapsed="false" customWidth="true" hidden="false" outlineLevel="0" max="15" min="15" style="1" width="16"/>
    <col collapsed="false" customWidth="true" hidden="false" outlineLevel="0" max="16" min="16" style="1" width="14"/>
  </cols>
  <sheetData>
    <row r="1" customFormat="false" ht="24" hidden="false" customHeight="true" outlineLevel="0" collapsed="false">
      <c r="A1" s="2" t="s">
        <v>346</v>
      </c>
      <c r="B1" s="2"/>
      <c r="C1" s="2"/>
      <c r="D1" s="2"/>
      <c r="E1" s="2"/>
      <c r="F1" s="2"/>
      <c r="G1" s="2"/>
      <c r="H1" s="2"/>
      <c r="I1" s="2"/>
      <c r="J1" s="2"/>
      <c r="K1" s="2"/>
      <c r="L1" s="2"/>
      <c r="M1" s="2"/>
      <c r="N1" s="2"/>
      <c r="O1" s="2"/>
      <c r="P1" s="2"/>
    </row>
    <row r="2" customFormat="false" ht="31.5" hidden="false" customHeight="true" outlineLevel="0" collapsed="false">
      <c r="A2" s="3" t="s">
        <v>347</v>
      </c>
      <c r="B2" s="3"/>
      <c r="C2" s="3"/>
      <c r="D2" s="3"/>
      <c r="E2" s="3"/>
      <c r="F2" s="3"/>
      <c r="G2" s="3"/>
      <c r="H2" s="3"/>
      <c r="I2" s="3"/>
      <c r="J2" s="3"/>
      <c r="K2" s="3"/>
      <c r="L2" s="3"/>
      <c r="M2" s="3"/>
      <c r="N2" s="3"/>
      <c r="O2" s="3"/>
      <c r="P2" s="3"/>
    </row>
    <row r="4" customFormat="false" ht="30" hidden="false" customHeight="true" outlineLevel="0" collapsed="false">
      <c r="A4" s="10" t="s">
        <v>348</v>
      </c>
      <c r="B4" s="10" t="s">
        <v>6</v>
      </c>
      <c r="C4" s="10" t="s">
        <v>7</v>
      </c>
      <c r="D4" s="10" t="s">
        <v>349</v>
      </c>
      <c r="E4" s="10" t="s">
        <v>350</v>
      </c>
      <c r="F4" s="10" t="s">
        <v>351</v>
      </c>
      <c r="G4" s="10" t="s">
        <v>352</v>
      </c>
      <c r="H4" s="10" t="s">
        <v>353</v>
      </c>
      <c r="I4" s="10" t="s">
        <v>354</v>
      </c>
      <c r="J4" s="10" t="s">
        <v>355</v>
      </c>
      <c r="K4" s="10" t="s">
        <v>356</v>
      </c>
      <c r="L4" s="10" t="s">
        <v>357</v>
      </c>
      <c r="M4" s="10" t="s">
        <v>358</v>
      </c>
      <c r="N4" s="10" t="s">
        <v>359</v>
      </c>
      <c r="O4" s="10" t="s">
        <v>360</v>
      </c>
      <c r="P4" s="10" t="s">
        <v>361</v>
      </c>
    </row>
    <row r="5" customFormat="false" ht="15" hidden="false" customHeight="true" outlineLevel="0" collapsed="false">
      <c r="A5" s="26" t="s">
        <v>12</v>
      </c>
      <c r="B5" s="26" t="s">
        <v>13</v>
      </c>
      <c r="C5" s="14" t="n">
        <f aca="false">IF(A5="","",IFERROR(VLOOKUP(A5,'Recert Status'!$A$8:$C$400,3,FALSE()),""))</f>
        <v>46387</v>
      </c>
      <c r="D5" s="18" t="s">
        <v>362</v>
      </c>
      <c r="E5" s="26" t="s">
        <v>363</v>
      </c>
      <c r="F5" s="27" t="n">
        <v>0.5</v>
      </c>
      <c r="G5" s="28" t="n">
        <v>45783</v>
      </c>
      <c r="H5" s="28" t="n">
        <v>45783</v>
      </c>
      <c r="I5" s="18" t="s">
        <v>364</v>
      </c>
      <c r="J5" s="26" t="s">
        <v>363</v>
      </c>
      <c r="K5" s="18" t="s">
        <v>365</v>
      </c>
      <c r="L5" s="27" t="n">
        <v>0.5</v>
      </c>
      <c r="M5" s="29" t="s">
        <v>366</v>
      </c>
      <c r="N5" s="18" t="s">
        <v>367</v>
      </c>
      <c r="O5" s="27" t="n">
        <v>0.5</v>
      </c>
      <c r="P5" s="15" t="n">
        <f aca="false">IF(A5="","",IF(O5&lt;&gt;"",O5,IF(L5&lt;&gt;"",L5,F5)))</f>
        <v>0.5</v>
      </c>
    </row>
    <row r="6" customFormat="false" ht="15" hidden="false" customHeight="true" outlineLevel="0" collapsed="false">
      <c r="A6" s="30" t="s">
        <v>12</v>
      </c>
      <c r="B6" s="30" t="s">
        <v>13</v>
      </c>
      <c r="C6" s="21" t="n">
        <f aca="false">IF(A6="","",IFERROR(VLOOKUP(A6,'Recert Status'!$A$8:$C$400,3,FALSE()),""))</f>
        <v>46387</v>
      </c>
      <c r="D6" s="31" t="s">
        <v>368</v>
      </c>
      <c r="E6" s="30" t="s">
        <v>363</v>
      </c>
      <c r="F6" s="32" t="n">
        <v>1.5</v>
      </c>
      <c r="G6" s="33" t="n">
        <v>45820</v>
      </c>
      <c r="H6" s="33" t="n">
        <v>45820</v>
      </c>
      <c r="I6" s="31" t="s">
        <v>369</v>
      </c>
      <c r="J6" s="30" t="s">
        <v>363</v>
      </c>
      <c r="K6" s="31" t="s">
        <v>370</v>
      </c>
      <c r="L6" s="32" t="n">
        <v>1.5</v>
      </c>
      <c r="M6" s="29" t="s">
        <v>366</v>
      </c>
      <c r="N6" s="31" t="s">
        <v>367</v>
      </c>
      <c r="O6" s="32" t="n">
        <v>1.5</v>
      </c>
      <c r="P6" s="15" t="n">
        <f aca="false">IF(A6="","",IF(O6&lt;&gt;"",O6,IF(L6&lt;&gt;"",L6,F6)))</f>
        <v>1.5</v>
      </c>
    </row>
    <row r="7" customFormat="false" ht="15" hidden="false" customHeight="true" outlineLevel="0" collapsed="false">
      <c r="A7" s="26" t="s">
        <v>12</v>
      </c>
      <c r="B7" s="26" t="s">
        <v>13</v>
      </c>
      <c r="C7" s="14" t="n">
        <f aca="false">IF(A7="","",IFERROR(VLOOKUP(A7,'Recert Status'!$A$8:$C$400,3,FALSE()),""))</f>
        <v>46387</v>
      </c>
      <c r="D7" s="18" t="s">
        <v>371</v>
      </c>
      <c r="E7" s="26" t="s">
        <v>372</v>
      </c>
      <c r="F7" s="27" t="n">
        <v>0.5</v>
      </c>
      <c r="G7" s="28" t="n">
        <v>45771</v>
      </c>
      <c r="H7" s="28" t="n">
        <v>45771</v>
      </c>
      <c r="I7" s="18" t="s">
        <v>373</v>
      </c>
      <c r="J7" s="26" t="s">
        <v>372</v>
      </c>
      <c r="K7" s="18" t="s">
        <v>374</v>
      </c>
      <c r="L7" s="27" t="n">
        <v>0.5</v>
      </c>
      <c r="M7" s="34" t="s">
        <v>375</v>
      </c>
      <c r="N7" s="18" t="s">
        <v>376</v>
      </c>
      <c r="O7" s="27" t="n">
        <v>0.5</v>
      </c>
      <c r="P7" s="15" t="n">
        <f aca="false">IF(A7="","",IF(O7&lt;&gt;"",O7,IF(L7&lt;&gt;"",L7,F7)))</f>
        <v>0.5</v>
      </c>
    </row>
    <row r="8" customFormat="false" ht="15" hidden="false" customHeight="true" outlineLevel="0" collapsed="false">
      <c r="A8" s="30" t="s">
        <v>12</v>
      </c>
      <c r="B8" s="30" t="s">
        <v>13</v>
      </c>
      <c r="C8" s="21" t="n">
        <f aca="false">IF(A8="","",IFERROR(VLOOKUP(A8,'Recert Status'!$A$8:$C$400,3,FALSE()),""))</f>
        <v>46387</v>
      </c>
      <c r="D8" s="31" t="s">
        <v>377</v>
      </c>
      <c r="E8" s="30" t="s">
        <v>372</v>
      </c>
      <c r="F8" s="32" t="n">
        <v>1</v>
      </c>
      <c r="G8" s="33" t="n">
        <v>46065</v>
      </c>
      <c r="H8" s="33" t="n">
        <v>46065</v>
      </c>
      <c r="I8" s="31" t="s">
        <v>378</v>
      </c>
      <c r="J8" s="30" t="s">
        <v>372</v>
      </c>
      <c r="K8" s="31" t="s">
        <v>374</v>
      </c>
      <c r="L8" s="32" t="n">
        <v>1</v>
      </c>
      <c r="M8" s="34" t="s">
        <v>375</v>
      </c>
      <c r="N8" s="31" t="s">
        <v>376</v>
      </c>
      <c r="O8" s="32" t="n">
        <v>1</v>
      </c>
      <c r="P8" s="15" t="n">
        <f aca="false">IF(A8="","",IF(O8&lt;&gt;"",O8,IF(L8&lt;&gt;"",L8,F8)))</f>
        <v>1</v>
      </c>
    </row>
    <row r="9" customFormat="false" ht="15" hidden="false" customHeight="true" outlineLevel="0" collapsed="false">
      <c r="A9" s="26" t="s">
        <v>12</v>
      </c>
      <c r="B9" s="26" t="s">
        <v>13</v>
      </c>
      <c r="C9" s="14" t="n">
        <f aca="false">IF(A9="","",IFERROR(VLOOKUP(A9,'Recert Status'!$A$8:$C$400,3,FALSE()),""))</f>
        <v>46387</v>
      </c>
      <c r="D9" s="18" t="s">
        <v>379</v>
      </c>
      <c r="E9" s="26" t="s">
        <v>372</v>
      </c>
      <c r="F9" s="27" t="n">
        <v>1</v>
      </c>
      <c r="G9" s="28" t="n">
        <v>46140</v>
      </c>
      <c r="H9" s="28" t="n">
        <v>46140</v>
      </c>
      <c r="I9" s="18" t="s">
        <v>380</v>
      </c>
      <c r="J9" s="26" t="s">
        <v>372</v>
      </c>
      <c r="K9" s="18" t="s">
        <v>381</v>
      </c>
      <c r="L9" s="27" t="n">
        <v>1</v>
      </c>
      <c r="M9" s="34" t="s">
        <v>375</v>
      </c>
      <c r="N9" s="18" t="s">
        <v>376</v>
      </c>
      <c r="O9" s="27" t="n">
        <v>1</v>
      </c>
      <c r="P9" s="15" t="n">
        <f aca="false">IF(A9="","",IF(O9&lt;&gt;"",O9,IF(L9&lt;&gt;"",L9,F9)))</f>
        <v>1</v>
      </c>
    </row>
    <row r="10" customFormat="false" ht="15" hidden="false" customHeight="true" outlineLevel="0" collapsed="false">
      <c r="A10" s="30" t="s">
        <v>12</v>
      </c>
      <c r="B10" s="30" t="s">
        <v>13</v>
      </c>
      <c r="C10" s="21" t="n">
        <f aca="false">IF(A10="","",IFERROR(VLOOKUP(A10,'Recert Status'!$A$8:$C$400,3,FALSE()),""))</f>
        <v>46387</v>
      </c>
      <c r="D10" s="31" t="s">
        <v>382</v>
      </c>
      <c r="E10" s="30" t="n">
        <v>35513</v>
      </c>
      <c r="F10" s="32" t="n">
        <v>2</v>
      </c>
      <c r="G10" s="33" t="n">
        <v>45883</v>
      </c>
      <c r="H10" s="33" t="n">
        <v>45883</v>
      </c>
      <c r="I10" s="31" t="s">
        <v>383</v>
      </c>
      <c r="J10" s="30" t="s">
        <v>384</v>
      </c>
      <c r="K10" s="31" t="s">
        <v>385</v>
      </c>
      <c r="L10" s="32" t="n">
        <v>2</v>
      </c>
      <c r="M10" s="35" t="s">
        <v>386</v>
      </c>
      <c r="N10" s="31" t="s">
        <v>387</v>
      </c>
      <c r="O10" s="32" t="n">
        <v>2</v>
      </c>
      <c r="P10" s="15" t="n">
        <f aca="false">IF(A10="","",IF(O10&lt;&gt;"",O10,IF(L10&lt;&gt;"",L10,F10)))</f>
        <v>2</v>
      </c>
    </row>
    <row r="11" customFormat="false" ht="15" hidden="false" customHeight="true" outlineLevel="0" collapsed="false">
      <c r="A11" s="26" t="s">
        <v>12</v>
      </c>
      <c r="B11" s="26" t="s">
        <v>13</v>
      </c>
      <c r="C11" s="14" t="n">
        <f aca="false">IF(A11="","",IFERROR(VLOOKUP(A11,'Recert Status'!$A$8:$C$400,3,FALSE()),""))</f>
        <v>46387</v>
      </c>
      <c r="D11" s="18" t="s">
        <v>388</v>
      </c>
      <c r="E11" s="26" t="s">
        <v>389</v>
      </c>
      <c r="F11" s="27" t="n">
        <v>3</v>
      </c>
      <c r="G11" s="28" t="n">
        <v>46083</v>
      </c>
      <c r="H11" s="28" t="n">
        <v>46083</v>
      </c>
      <c r="I11" s="18" t="s">
        <v>390</v>
      </c>
      <c r="J11" s="26" t="s">
        <v>389</v>
      </c>
      <c r="K11" s="18" t="s">
        <v>391</v>
      </c>
      <c r="L11" s="27" t="n">
        <v>3</v>
      </c>
      <c r="M11" s="35" t="s">
        <v>386</v>
      </c>
      <c r="N11" s="18" t="s">
        <v>387</v>
      </c>
      <c r="O11" s="27" t="n">
        <v>3</v>
      </c>
      <c r="P11" s="15" t="n">
        <f aca="false">IF(A11="","",IF(O11&lt;&gt;"",O11,IF(L11&lt;&gt;"",L11,F11)))</f>
        <v>3</v>
      </c>
    </row>
    <row r="12" customFormat="false" ht="15" hidden="false" customHeight="true" outlineLevel="0" collapsed="false">
      <c r="A12" s="30" t="s">
        <v>12</v>
      </c>
      <c r="B12" s="30" t="s">
        <v>13</v>
      </c>
      <c r="C12" s="21" t="n">
        <f aca="false">IF(A12="","",IFERROR(VLOOKUP(A12,'Recert Status'!$A$8:$C$400,3,FALSE()),""))</f>
        <v>46387</v>
      </c>
      <c r="D12" s="31" t="s">
        <v>392</v>
      </c>
      <c r="E12" s="30" t="n">
        <v>29740</v>
      </c>
      <c r="F12" s="32" t="n">
        <v>1</v>
      </c>
      <c r="G12" s="33" t="n">
        <v>46071</v>
      </c>
      <c r="H12" s="33" t="n">
        <v>46071</v>
      </c>
      <c r="I12" s="31" t="s">
        <v>393</v>
      </c>
      <c r="J12" s="30" t="s">
        <v>394</v>
      </c>
      <c r="K12" s="31" t="s">
        <v>395</v>
      </c>
      <c r="L12" s="32" t="n">
        <v>1</v>
      </c>
      <c r="M12" s="36" t="s">
        <v>396</v>
      </c>
      <c r="N12" s="31" t="s">
        <v>397</v>
      </c>
      <c r="O12" s="32" t="n">
        <v>1</v>
      </c>
      <c r="P12" s="15" t="n">
        <f aca="false">IF(A12="","",IF(O12&lt;&gt;"",O12,IF(L12&lt;&gt;"",L12,F12)))</f>
        <v>1</v>
      </c>
    </row>
    <row r="13" customFormat="false" ht="15" hidden="false" customHeight="true" outlineLevel="0" collapsed="false">
      <c r="A13" s="26" t="s">
        <v>12</v>
      </c>
      <c r="B13" s="26" t="s">
        <v>13</v>
      </c>
      <c r="C13" s="14" t="n">
        <f aca="false">IF(A13="","",IFERROR(VLOOKUP(A13,'Recert Status'!$A$8:$C$400,3,FALSE()),""))</f>
        <v>46387</v>
      </c>
      <c r="D13" s="18" t="s">
        <v>398</v>
      </c>
      <c r="E13" s="26" t="s">
        <v>399</v>
      </c>
      <c r="F13" s="27" t="n">
        <v>1</v>
      </c>
      <c r="G13" s="28" t="n">
        <v>46068</v>
      </c>
      <c r="H13" s="28" t="n">
        <v>46068</v>
      </c>
      <c r="I13" s="18" t="s">
        <v>400</v>
      </c>
      <c r="J13" s="26" t="s">
        <v>399</v>
      </c>
      <c r="K13" s="18" t="s">
        <v>401</v>
      </c>
      <c r="L13" s="27" t="n">
        <v>1</v>
      </c>
      <c r="M13" s="37" t="s">
        <v>402</v>
      </c>
      <c r="N13" s="18" t="s">
        <v>403</v>
      </c>
      <c r="O13" s="27" t="n">
        <v>1</v>
      </c>
      <c r="P13" s="15" t="n">
        <f aca="false">IF(A13="","",IF(O13&lt;&gt;"",O13,IF(L13&lt;&gt;"",L13,F13)))</f>
        <v>1</v>
      </c>
    </row>
    <row r="14" customFormat="false" ht="15" hidden="false" customHeight="true" outlineLevel="0" collapsed="false">
      <c r="A14" s="30" t="s">
        <v>12</v>
      </c>
      <c r="B14" s="30" t="s">
        <v>13</v>
      </c>
      <c r="C14" s="21" t="n">
        <f aca="false">IF(A14="","",IFERROR(VLOOKUP(A14,'Recert Status'!$A$8:$C$400,3,FALSE()),""))</f>
        <v>46387</v>
      </c>
      <c r="D14" s="31" t="s">
        <v>404</v>
      </c>
      <c r="E14" s="30" t="n">
        <v>29675</v>
      </c>
      <c r="F14" s="32" t="n">
        <v>1</v>
      </c>
      <c r="G14" s="33" t="n">
        <v>46068</v>
      </c>
      <c r="H14" s="33" t="n">
        <v>46068</v>
      </c>
      <c r="I14" s="31" t="s">
        <v>405</v>
      </c>
      <c r="J14" s="30" t="s">
        <v>406</v>
      </c>
      <c r="K14" s="31" t="s">
        <v>407</v>
      </c>
      <c r="L14" s="32" t="n">
        <v>1</v>
      </c>
      <c r="M14" s="38" t="s">
        <v>408</v>
      </c>
      <c r="N14" s="31" t="s">
        <v>409</v>
      </c>
      <c r="O14" s="32" t="n">
        <v>1</v>
      </c>
      <c r="P14" s="15" t="n">
        <f aca="false">IF(A14="","",IF(O14&lt;&gt;"",O14,IF(L14&lt;&gt;"",L14,F14)))</f>
        <v>1</v>
      </c>
    </row>
    <row r="15" customFormat="false" ht="15" hidden="false" customHeight="true" outlineLevel="0" collapsed="false">
      <c r="A15" s="26" t="s">
        <v>12</v>
      </c>
      <c r="B15" s="26" t="s">
        <v>13</v>
      </c>
      <c r="C15" s="14" t="n">
        <f aca="false">IF(A15="","",IFERROR(VLOOKUP(A15,'Recert Status'!$A$8:$C$400,3,FALSE()),""))</f>
        <v>46387</v>
      </c>
      <c r="D15" s="18" t="s">
        <v>410</v>
      </c>
      <c r="E15" s="26" t="n">
        <v>29737</v>
      </c>
      <c r="F15" s="27" t="n">
        <v>0.5</v>
      </c>
      <c r="G15" s="28" t="n">
        <v>45879</v>
      </c>
      <c r="H15" s="28" t="n">
        <v>45879</v>
      </c>
      <c r="I15" s="18" t="s">
        <v>410</v>
      </c>
      <c r="J15" s="26" t="s">
        <v>411</v>
      </c>
      <c r="K15" s="18" t="s">
        <v>412</v>
      </c>
      <c r="L15" s="27" t="n">
        <v>0.5</v>
      </c>
      <c r="M15" s="39" t="s">
        <v>413</v>
      </c>
      <c r="N15" s="18" t="s">
        <v>414</v>
      </c>
      <c r="O15" s="27" t="n">
        <v>0.5</v>
      </c>
      <c r="P15" s="15" t="n">
        <f aca="false">IF(A15="","",IF(O15&lt;&gt;"",O15,IF(L15&lt;&gt;"",L15,F15)))</f>
        <v>0.5</v>
      </c>
    </row>
    <row r="16" customFormat="false" ht="15" hidden="false" customHeight="true" outlineLevel="0" collapsed="false">
      <c r="A16" s="30" t="s">
        <v>12</v>
      </c>
      <c r="B16" s="30" t="s">
        <v>13</v>
      </c>
      <c r="C16" s="21" t="n">
        <f aca="false">IF(A16="","",IFERROR(VLOOKUP(A16,'Recert Status'!$A$8:$C$400,3,FALSE()),""))</f>
        <v>46387</v>
      </c>
      <c r="D16" s="31" t="s">
        <v>415</v>
      </c>
      <c r="E16" s="30" t="s">
        <v>416</v>
      </c>
      <c r="F16" s="32" t="n">
        <v>2</v>
      </c>
      <c r="G16" s="33" t="n">
        <v>46071</v>
      </c>
      <c r="H16" s="33" t="n">
        <v>46071</v>
      </c>
      <c r="I16" s="31" t="s">
        <v>417</v>
      </c>
      <c r="J16" s="30" t="s">
        <v>416</v>
      </c>
      <c r="K16" s="31" t="s">
        <v>418</v>
      </c>
      <c r="L16" s="32" t="n">
        <v>2</v>
      </c>
      <c r="M16" s="39" t="s">
        <v>413</v>
      </c>
      <c r="N16" s="31" t="s">
        <v>414</v>
      </c>
      <c r="O16" s="32" t="n">
        <v>2</v>
      </c>
      <c r="P16" s="15" t="n">
        <f aca="false">IF(A16="","",IF(O16&lt;&gt;"",O16,IF(L16&lt;&gt;"",L16,F16)))</f>
        <v>2</v>
      </c>
    </row>
    <row r="17" customFormat="false" ht="15" hidden="false" customHeight="true" outlineLevel="0" collapsed="false">
      <c r="A17" s="26" t="s">
        <v>14</v>
      </c>
      <c r="B17" s="26" t="s">
        <v>15</v>
      </c>
      <c r="C17" s="14" t="n">
        <f aca="false">IF(A17="","",IFERROR(VLOOKUP(A17,'Recert Status'!$A$8:$C$400,3,FALSE()),""))</f>
        <v>46752</v>
      </c>
      <c r="D17" s="18" t="s">
        <v>419</v>
      </c>
      <c r="E17" s="26" t="n">
        <v>57433</v>
      </c>
      <c r="F17" s="27" t="n">
        <v>1</v>
      </c>
      <c r="G17" s="28" t="n">
        <v>45956</v>
      </c>
      <c r="H17" s="28" t="n">
        <v>45956</v>
      </c>
      <c r="I17" s="18" t="s">
        <v>420</v>
      </c>
      <c r="J17" s="26" t="s">
        <v>421</v>
      </c>
      <c r="K17" s="18" t="s">
        <v>422</v>
      </c>
      <c r="L17" s="27" t="n">
        <v>1</v>
      </c>
      <c r="M17" s="40" t="s">
        <v>423</v>
      </c>
      <c r="N17" s="18" t="s">
        <v>424</v>
      </c>
      <c r="O17" s="27" t="n">
        <v>1</v>
      </c>
      <c r="P17" s="15" t="n">
        <f aca="false">IF(A17="","",IF(O17&lt;&gt;"",O17,IF(L17&lt;&gt;"",L17,F17)))</f>
        <v>1</v>
      </c>
    </row>
    <row r="18" customFormat="false" ht="15" hidden="false" customHeight="true" outlineLevel="0" collapsed="false">
      <c r="A18" s="30" t="s">
        <v>14</v>
      </c>
      <c r="B18" s="30" t="s">
        <v>15</v>
      </c>
      <c r="C18" s="21" t="n">
        <f aca="false">IF(A18="","",IFERROR(VLOOKUP(A18,'Recert Status'!$A$8:$C$400,3,FALSE()),""))</f>
        <v>46752</v>
      </c>
      <c r="D18" s="31" t="s">
        <v>425</v>
      </c>
      <c r="E18" s="30" t="s">
        <v>426</v>
      </c>
      <c r="F18" s="32" t="n">
        <v>2</v>
      </c>
      <c r="G18" s="33" t="n">
        <v>45929</v>
      </c>
      <c r="H18" s="33" t="n">
        <v>45929</v>
      </c>
      <c r="I18" s="31" t="s">
        <v>427</v>
      </c>
      <c r="J18" s="30" t="s">
        <v>426</v>
      </c>
      <c r="K18" s="31" t="s">
        <v>428</v>
      </c>
      <c r="L18" s="32" t="n">
        <v>2</v>
      </c>
      <c r="M18" s="41" t="s">
        <v>429</v>
      </c>
      <c r="N18" s="31" t="s">
        <v>430</v>
      </c>
      <c r="O18" s="32" t="n">
        <v>2</v>
      </c>
      <c r="P18" s="15" t="n">
        <f aca="false">IF(A18="","",IF(O18&lt;&gt;"",O18,IF(L18&lt;&gt;"",L18,F18)))</f>
        <v>2</v>
      </c>
    </row>
    <row r="19" customFormat="false" ht="15" hidden="false" customHeight="true" outlineLevel="0" collapsed="false">
      <c r="A19" s="26" t="s">
        <v>14</v>
      </c>
      <c r="B19" s="26" t="s">
        <v>15</v>
      </c>
      <c r="C19" s="14" t="n">
        <f aca="false">IF(A19="","",IFERROR(VLOOKUP(A19,'Recert Status'!$A$8:$C$400,3,FALSE()),""))</f>
        <v>46752</v>
      </c>
      <c r="D19" s="18" t="s">
        <v>431</v>
      </c>
      <c r="E19" s="26" t="s">
        <v>426</v>
      </c>
      <c r="F19" s="27" t="n">
        <v>2</v>
      </c>
      <c r="G19" s="28" t="n">
        <v>45971</v>
      </c>
      <c r="H19" s="28" t="n">
        <v>45971</v>
      </c>
      <c r="I19" s="18" t="s">
        <v>432</v>
      </c>
      <c r="J19" s="26" t="s">
        <v>426</v>
      </c>
      <c r="K19" s="18" t="s">
        <v>428</v>
      </c>
      <c r="L19" s="27" t="n">
        <v>2</v>
      </c>
      <c r="M19" s="41" t="s">
        <v>429</v>
      </c>
      <c r="N19" s="18" t="s">
        <v>430</v>
      </c>
      <c r="O19" s="27" t="n">
        <v>2</v>
      </c>
      <c r="P19" s="15" t="n">
        <f aca="false">IF(A19="","",IF(O19&lt;&gt;"",O19,IF(L19&lt;&gt;"",L19,F19)))</f>
        <v>2</v>
      </c>
    </row>
    <row r="20" customFormat="false" ht="15" hidden="false" customHeight="true" outlineLevel="0" collapsed="false">
      <c r="A20" s="30" t="s">
        <v>14</v>
      </c>
      <c r="B20" s="30" t="s">
        <v>15</v>
      </c>
      <c r="C20" s="21" t="n">
        <f aca="false">IF(A20="","",IFERROR(VLOOKUP(A20,'Recert Status'!$A$8:$C$400,3,FALSE()),""))</f>
        <v>46752</v>
      </c>
      <c r="D20" s="31" t="s">
        <v>433</v>
      </c>
      <c r="E20" s="30" t="n">
        <v>29784</v>
      </c>
      <c r="F20" s="32" t="n">
        <v>1</v>
      </c>
      <c r="G20" s="33" t="n">
        <v>45722</v>
      </c>
      <c r="H20" s="33" t="n">
        <v>45722</v>
      </c>
      <c r="I20" s="31" t="s">
        <v>434</v>
      </c>
      <c r="J20" s="30" t="s">
        <v>435</v>
      </c>
      <c r="K20" s="31" t="s">
        <v>436</v>
      </c>
      <c r="L20" s="32" t="n">
        <v>1</v>
      </c>
      <c r="M20" s="35" t="s">
        <v>386</v>
      </c>
      <c r="N20" s="31" t="s">
        <v>387</v>
      </c>
      <c r="O20" s="32" t="n">
        <v>1</v>
      </c>
      <c r="P20" s="15" t="n">
        <f aca="false">IF(A20="","",IF(O20&lt;&gt;"",O20,IF(L20&lt;&gt;"",L20,F20)))</f>
        <v>1</v>
      </c>
    </row>
    <row r="21" customFormat="false" ht="15" hidden="false" customHeight="true" outlineLevel="0" collapsed="false">
      <c r="A21" s="26" t="s">
        <v>14</v>
      </c>
      <c r="B21" s="26" t="s">
        <v>15</v>
      </c>
      <c r="C21" s="14" t="n">
        <f aca="false">IF(A21="","",IFERROR(VLOOKUP(A21,'Recert Status'!$A$8:$C$400,3,FALSE()),""))</f>
        <v>46752</v>
      </c>
      <c r="D21" s="18" t="s">
        <v>437</v>
      </c>
      <c r="E21" s="26" t="n">
        <v>29743</v>
      </c>
      <c r="F21" s="27" t="n">
        <v>1</v>
      </c>
      <c r="G21" s="28" t="n">
        <v>45833</v>
      </c>
      <c r="H21" s="28" t="n">
        <v>45833</v>
      </c>
      <c r="I21" s="18" t="s">
        <v>438</v>
      </c>
      <c r="J21" s="26" t="s">
        <v>439</v>
      </c>
      <c r="K21" s="18" t="s">
        <v>440</v>
      </c>
      <c r="L21" s="27" t="n">
        <v>1</v>
      </c>
      <c r="M21" s="35" t="s">
        <v>386</v>
      </c>
      <c r="N21" s="18" t="s">
        <v>387</v>
      </c>
      <c r="O21" s="27" t="n">
        <v>1</v>
      </c>
      <c r="P21" s="15" t="n">
        <f aca="false">IF(A21="","",IF(O21&lt;&gt;"",O21,IF(L21&lt;&gt;"",L21,F21)))</f>
        <v>1</v>
      </c>
    </row>
    <row r="22" customFormat="false" ht="15" hidden="false" customHeight="true" outlineLevel="0" collapsed="false">
      <c r="A22" s="30" t="s">
        <v>14</v>
      </c>
      <c r="B22" s="30" t="s">
        <v>15</v>
      </c>
      <c r="C22" s="21" t="n">
        <f aca="false">IF(A22="","",IFERROR(VLOOKUP(A22,'Recert Status'!$A$8:$C$400,3,FALSE()),""))</f>
        <v>46752</v>
      </c>
      <c r="D22" s="31" t="s">
        <v>441</v>
      </c>
      <c r="E22" s="30" t="n">
        <v>29743</v>
      </c>
      <c r="F22" s="32" t="n">
        <v>1</v>
      </c>
      <c r="G22" s="33" t="n">
        <v>45833</v>
      </c>
      <c r="H22" s="33" t="n">
        <v>45833</v>
      </c>
      <c r="I22" s="31" t="s">
        <v>442</v>
      </c>
      <c r="J22" s="30" t="s">
        <v>439</v>
      </c>
      <c r="K22" s="31" t="s">
        <v>443</v>
      </c>
      <c r="L22" s="32" t="n">
        <v>1</v>
      </c>
      <c r="M22" s="35" t="s">
        <v>386</v>
      </c>
      <c r="N22" s="31" t="s">
        <v>387</v>
      </c>
      <c r="O22" s="32" t="n">
        <v>1</v>
      </c>
      <c r="P22" s="15" t="n">
        <f aca="false">IF(A22="","",IF(O22&lt;&gt;"",O22,IF(L22&lt;&gt;"",L22,F22)))</f>
        <v>1</v>
      </c>
    </row>
    <row r="23" customFormat="false" ht="15" hidden="false" customHeight="true" outlineLevel="0" collapsed="false">
      <c r="A23" s="26" t="s">
        <v>14</v>
      </c>
      <c r="B23" s="26" t="s">
        <v>15</v>
      </c>
      <c r="C23" s="14" t="n">
        <f aca="false">IF(A23="","",IFERROR(VLOOKUP(A23,'Recert Status'!$A$8:$C$400,3,FALSE()),""))</f>
        <v>46752</v>
      </c>
      <c r="D23" s="18" t="s">
        <v>444</v>
      </c>
      <c r="E23" s="26" t="n">
        <v>29675</v>
      </c>
      <c r="F23" s="27" t="n">
        <v>1</v>
      </c>
      <c r="G23" s="28" t="n">
        <v>45971</v>
      </c>
      <c r="H23" s="28" t="n">
        <v>45971</v>
      </c>
      <c r="I23" s="18" t="s">
        <v>445</v>
      </c>
      <c r="J23" s="26" t="s">
        <v>406</v>
      </c>
      <c r="K23" s="18" t="s">
        <v>446</v>
      </c>
      <c r="L23" s="27" t="n">
        <v>1</v>
      </c>
      <c r="M23" s="35" t="s">
        <v>386</v>
      </c>
      <c r="N23" s="18" t="s">
        <v>387</v>
      </c>
      <c r="O23" s="27" t="n">
        <v>1</v>
      </c>
      <c r="P23" s="15" t="n">
        <f aca="false">IF(A23="","",IF(O23&lt;&gt;"",O23,IF(L23&lt;&gt;"",L23,F23)))</f>
        <v>1</v>
      </c>
    </row>
    <row r="24" customFormat="false" ht="15" hidden="false" customHeight="true" outlineLevel="0" collapsed="false">
      <c r="A24" s="30" t="s">
        <v>14</v>
      </c>
      <c r="B24" s="30" t="s">
        <v>15</v>
      </c>
      <c r="C24" s="21" t="n">
        <f aca="false">IF(A24="","",IFERROR(VLOOKUP(A24,'Recert Status'!$A$8:$C$400,3,FALSE()),""))</f>
        <v>46752</v>
      </c>
      <c r="D24" s="31" t="s">
        <v>447</v>
      </c>
      <c r="E24" s="30" t="n">
        <v>29675</v>
      </c>
      <c r="F24" s="32" t="n">
        <v>1</v>
      </c>
      <c r="G24" s="33" t="n">
        <v>45986</v>
      </c>
      <c r="H24" s="33" t="n">
        <v>45986</v>
      </c>
      <c r="I24" s="31" t="s">
        <v>448</v>
      </c>
      <c r="J24" s="30" t="s">
        <v>406</v>
      </c>
      <c r="K24" s="31" t="s">
        <v>446</v>
      </c>
      <c r="L24" s="32" t="n">
        <v>1</v>
      </c>
      <c r="M24" s="35" t="s">
        <v>386</v>
      </c>
      <c r="N24" s="31" t="s">
        <v>387</v>
      </c>
      <c r="O24" s="32" t="n">
        <v>1</v>
      </c>
      <c r="P24" s="15" t="n">
        <f aca="false">IF(A24="","",IF(O24&lt;&gt;"",O24,IF(L24&lt;&gt;"",L24,F24)))</f>
        <v>1</v>
      </c>
    </row>
    <row r="25" customFormat="false" ht="15" hidden="false" customHeight="true" outlineLevel="0" collapsed="false">
      <c r="A25" s="26" t="s">
        <v>14</v>
      </c>
      <c r="B25" s="26" t="s">
        <v>15</v>
      </c>
      <c r="C25" s="14" t="n">
        <f aca="false">IF(A25="","",IFERROR(VLOOKUP(A25,'Recert Status'!$A$8:$C$400,3,FALSE()),""))</f>
        <v>46752</v>
      </c>
      <c r="D25" s="18" t="s">
        <v>449</v>
      </c>
      <c r="E25" s="26" t="n">
        <v>29675</v>
      </c>
      <c r="F25" s="27" t="n">
        <v>0.5</v>
      </c>
      <c r="G25" s="28" t="n">
        <v>45995</v>
      </c>
      <c r="H25" s="28" t="n">
        <v>45995</v>
      </c>
      <c r="I25" s="18" t="s">
        <v>450</v>
      </c>
      <c r="J25" s="26" t="s">
        <v>406</v>
      </c>
      <c r="K25" s="18" t="s">
        <v>451</v>
      </c>
      <c r="L25" s="27" t="n">
        <v>0.5</v>
      </c>
      <c r="M25" s="35" t="s">
        <v>386</v>
      </c>
      <c r="N25" s="18" t="s">
        <v>387</v>
      </c>
      <c r="O25" s="27" t="n">
        <v>0.5</v>
      </c>
      <c r="P25" s="15" t="n">
        <f aca="false">IF(A25="","",IF(O25&lt;&gt;"",O25,IF(L25&lt;&gt;"",L25,F25)))</f>
        <v>0.5</v>
      </c>
    </row>
    <row r="26" customFormat="false" ht="15" hidden="false" customHeight="true" outlineLevel="0" collapsed="false">
      <c r="A26" s="30" t="s">
        <v>14</v>
      </c>
      <c r="B26" s="30" t="s">
        <v>15</v>
      </c>
      <c r="C26" s="21" t="n">
        <f aca="false">IF(A26="","",IFERROR(VLOOKUP(A26,'Recert Status'!$A$8:$C$400,3,FALSE()),""))</f>
        <v>46752</v>
      </c>
      <c r="D26" s="31" t="s">
        <v>397</v>
      </c>
      <c r="E26" s="30" t="s">
        <v>452</v>
      </c>
      <c r="F26" s="32" t="n">
        <v>1</v>
      </c>
      <c r="G26" s="33" t="n">
        <v>46244</v>
      </c>
      <c r="H26" s="33" t="n">
        <v>46244</v>
      </c>
      <c r="I26" s="31" t="s">
        <v>453</v>
      </c>
      <c r="J26" s="30" t="s">
        <v>452</v>
      </c>
      <c r="K26" s="31" t="s">
        <v>385</v>
      </c>
      <c r="L26" s="32" t="n">
        <v>1</v>
      </c>
      <c r="M26" s="36" t="s">
        <v>396</v>
      </c>
      <c r="N26" s="31" t="s">
        <v>397</v>
      </c>
      <c r="O26" s="32" t="n">
        <v>1</v>
      </c>
      <c r="P26" s="15" t="n">
        <f aca="false">IF(A26="","",IF(O26&lt;&gt;"",O26,IF(L26&lt;&gt;"",L26,F26)))</f>
        <v>1</v>
      </c>
    </row>
    <row r="27" customFormat="false" ht="15" hidden="false" customHeight="true" outlineLevel="0" collapsed="false">
      <c r="A27" s="26" t="s">
        <v>14</v>
      </c>
      <c r="B27" s="26" t="s">
        <v>15</v>
      </c>
      <c r="C27" s="14" t="n">
        <f aca="false">IF(A27="","",IFERROR(VLOOKUP(A27,'Recert Status'!$A$8:$C$400,3,FALSE()),""))</f>
        <v>46752</v>
      </c>
      <c r="D27" s="18" t="s">
        <v>454</v>
      </c>
      <c r="E27" s="26" t="s">
        <v>416</v>
      </c>
      <c r="F27" s="27" t="n">
        <v>1</v>
      </c>
      <c r="G27" s="28" t="n">
        <v>45824</v>
      </c>
      <c r="H27" s="28" t="n">
        <v>45824</v>
      </c>
      <c r="I27" s="18" t="s">
        <v>455</v>
      </c>
      <c r="J27" s="26" t="s">
        <v>416</v>
      </c>
      <c r="K27" s="18" t="s">
        <v>456</v>
      </c>
      <c r="L27" s="27" t="n">
        <v>1</v>
      </c>
      <c r="M27" s="39" t="s">
        <v>413</v>
      </c>
      <c r="N27" s="18" t="s">
        <v>414</v>
      </c>
      <c r="O27" s="27" t="n">
        <v>1</v>
      </c>
      <c r="P27" s="15" t="n">
        <f aca="false">IF(A27="","",IF(O27&lt;&gt;"",O27,IF(L27&lt;&gt;"",L27,F27)))</f>
        <v>1</v>
      </c>
    </row>
    <row r="28" customFormat="false" ht="15" hidden="false" customHeight="true" outlineLevel="0" collapsed="false">
      <c r="A28" s="30" t="s">
        <v>14</v>
      </c>
      <c r="B28" s="30" t="s">
        <v>15</v>
      </c>
      <c r="C28" s="21" t="n">
        <f aca="false">IF(A28="","",IFERROR(VLOOKUP(A28,'Recert Status'!$A$8:$C$400,3,FALSE()),""))</f>
        <v>46752</v>
      </c>
      <c r="D28" s="31" t="s">
        <v>454</v>
      </c>
      <c r="E28" s="30" t="s">
        <v>416</v>
      </c>
      <c r="F28" s="32" t="n">
        <v>1</v>
      </c>
      <c r="G28" s="33" t="n">
        <v>45824</v>
      </c>
      <c r="H28" s="33" t="n">
        <v>45824</v>
      </c>
      <c r="I28" s="31" t="s">
        <v>455</v>
      </c>
      <c r="J28" s="30" t="s">
        <v>416</v>
      </c>
      <c r="K28" s="31" t="s">
        <v>456</v>
      </c>
      <c r="L28" s="32" t="n">
        <v>1</v>
      </c>
      <c r="M28" s="39" t="s">
        <v>413</v>
      </c>
      <c r="N28" s="31" t="s">
        <v>414</v>
      </c>
      <c r="O28" s="32" t="n">
        <v>1</v>
      </c>
      <c r="P28" s="15" t="n">
        <f aca="false">IF(A28="","",IF(O28&lt;&gt;"",O28,IF(L28&lt;&gt;"",L28,F28)))</f>
        <v>1</v>
      </c>
    </row>
    <row r="29" customFormat="false" ht="15" hidden="false" customHeight="true" outlineLevel="0" collapsed="false">
      <c r="A29" s="26" t="s">
        <v>14</v>
      </c>
      <c r="B29" s="26" t="s">
        <v>15</v>
      </c>
      <c r="C29" s="14" t="n">
        <f aca="false">IF(A29="","",IFERROR(VLOOKUP(A29,'Recert Status'!$A$8:$C$400,3,FALSE()),""))</f>
        <v>46752</v>
      </c>
      <c r="D29" s="18" t="s">
        <v>457</v>
      </c>
      <c r="E29" s="26" t="s">
        <v>416</v>
      </c>
      <c r="F29" s="27" t="n">
        <v>2</v>
      </c>
      <c r="G29" s="28" t="n">
        <v>45860</v>
      </c>
      <c r="H29" s="28" t="n">
        <v>45860</v>
      </c>
      <c r="I29" s="18" t="s">
        <v>458</v>
      </c>
      <c r="J29" s="26" t="s">
        <v>416</v>
      </c>
      <c r="K29" s="18" t="s">
        <v>459</v>
      </c>
      <c r="L29" s="27" t="n">
        <v>2</v>
      </c>
      <c r="M29" s="39" t="s">
        <v>413</v>
      </c>
      <c r="N29" s="18" t="s">
        <v>414</v>
      </c>
      <c r="O29" s="27" t="n">
        <v>2</v>
      </c>
      <c r="P29" s="15" t="n">
        <f aca="false">IF(A29="","",IF(O29&lt;&gt;"",O29,IF(L29&lt;&gt;"",L29,F29)))</f>
        <v>2</v>
      </c>
    </row>
    <row r="30" customFormat="false" ht="15" hidden="false" customHeight="true" outlineLevel="0" collapsed="false">
      <c r="A30" s="30" t="s">
        <v>14</v>
      </c>
      <c r="B30" s="30" t="s">
        <v>15</v>
      </c>
      <c r="C30" s="21" t="n">
        <f aca="false">IF(A30="","",IFERROR(VLOOKUP(A30,'Recert Status'!$A$8:$C$400,3,FALSE()),""))</f>
        <v>46752</v>
      </c>
      <c r="D30" s="31" t="s">
        <v>414</v>
      </c>
      <c r="E30" s="30" t="s">
        <v>416</v>
      </c>
      <c r="F30" s="32" t="n">
        <v>2</v>
      </c>
      <c r="G30" s="33" t="n">
        <v>46217</v>
      </c>
      <c r="H30" s="33" t="n">
        <v>46217</v>
      </c>
      <c r="I30" s="31" t="s">
        <v>460</v>
      </c>
      <c r="J30" s="30" t="s">
        <v>416</v>
      </c>
      <c r="K30" s="31" t="s">
        <v>418</v>
      </c>
      <c r="L30" s="32" t="n">
        <v>2</v>
      </c>
      <c r="M30" s="39" t="s">
        <v>413</v>
      </c>
      <c r="N30" s="31" t="s">
        <v>414</v>
      </c>
      <c r="O30" s="32" t="n">
        <v>2</v>
      </c>
      <c r="P30" s="15" t="n">
        <f aca="false">IF(A30="","",IF(O30&lt;&gt;"",O30,IF(L30&lt;&gt;"",L30,F30)))</f>
        <v>2</v>
      </c>
    </row>
    <row r="31" customFormat="false" ht="15" hidden="false" customHeight="true" outlineLevel="0" collapsed="false">
      <c r="A31" s="26" t="s">
        <v>16</v>
      </c>
      <c r="B31" s="26" t="s">
        <v>17</v>
      </c>
      <c r="C31" s="14" t="n">
        <f aca="false">IF(A31="","",IFERROR(VLOOKUP(A31,'Recert Status'!$A$8:$C$400,3,FALSE()),""))</f>
        <v>46387</v>
      </c>
      <c r="D31" s="18" t="s">
        <v>362</v>
      </c>
      <c r="E31" s="26" t="s">
        <v>363</v>
      </c>
      <c r="F31" s="27" t="n">
        <v>1</v>
      </c>
      <c r="G31" s="28" t="n">
        <v>45832</v>
      </c>
      <c r="H31" s="28" t="n">
        <v>45832</v>
      </c>
      <c r="I31" s="18" t="s">
        <v>461</v>
      </c>
      <c r="J31" s="26" t="s">
        <v>363</v>
      </c>
      <c r="K31" s="18" t="s">
        <v>365</v>
      </c>
      <c r="L31" s="27" t="n">
        <v>1</v>
      </c>
      <c r="M31" s="29" t="s">
        <v>366</v>
      </c>
      <c r="N31" s="18" t="s">
        <v>367</v>
      </c>
      <c r="O31" s="27" t="n">
        <v>1</v>
      </c>
      <c r="P31" s="15" t="n">
        <f aca="false">IF(A31="","",IF(O31&lt;&gt;"",O31,IF(L31&lt;&gt;"",L31,F31)))</f>
        <v>1</v>
      </c>
    </row>
    <row r="32" customFormat="false" ht="15" hidden="false" customHeight="true" outlineLevel="0" collapsed="false">
      <c r="A32" s="30" t="s">
        <v>16</v>
      </c>
      <c r="B32" s="30" t="s">
        <v>17</v>
      </c>
      <c r="C32" s="21" t="n">
        <f aca="false">IF(A32="","",IFERROR(VLOOKUP(A32,'Recert Status'!$A$8:$C$400,3,FALSE()),""))</f>
        <v>46387</v>
      </c>
      <c r="D32" s="31" t="s">
        <v>367</v>
      </c>
      <c r="E32" s="30" t="s">
        <v>363</v>
      </c>
      <c r="F32" s="32" t="n">
        <v>1</v>
      </c>
      <c r="G32" s="33" t="n">
        <v>46267</v>
      </c>
      <c r="H32" s="33" t="n">
        <v>46267</v>
      </c>
      <c r="I32" s="31" t="s">
        <v>462</v>
      </c>
      <c r="J32" s="30" t="s">
        <v>363</v>
      </c>
      <c r="K32" s="31" t="s">
        <v>370</v>
      </c>
      <c r="L32" s="32" t="n">
        <v>1</v>
      </c>
      <c r="M32" s="29" t="s">
        <v>366</v>
      </c>
      <c r="N32" s="31" t="s">
        <v>367</v>
      </c>
      <c r="O32" s="32" t="n">
        <v>1</v>
      </c>
      <c r="P32" s="15" t="n">
        <f aca="false">IF(A32="","",IF(O32&lt;&gt;"",O32,IF(L32&lt;&gt;"",L32,F32)))</f>
        <v>1</v>
      </c>
    </row>
    <row r="33" customFormat="false" ht="15" hidden="false" customHeight="true" outlineLevel="0" collapsed="false">
      <c r="A33" s="26" t="s">
        <v>16</v>
      </c>
      <c r="B33" s="26" t="s">
        <v>17</v>
      </c>
      <c r="C33" s="14" t="n">
        <f aca="false">IF(A33="","",IFERROR(VLOOKUP(A33,'Recert Status'!$A$8:$C$400,3,FALSE()),""))</f>
        <v>46387</v>
      </c>
      <c r="D33" s="18" t="s">
        <v>367</v>
      </c>
      <c r="E33" s="26" t="s">
        <v>363</v>
      </c>
      <c r="F33" s="27" t="n">
        <v>1</v>
      </c>
      <c r="G33" s="28" t="n">
        <v>46267</v>
      </c>
      <c r="H33" s="28" t="n">
        <v>46267</v>
      </c>
      <c r="I33" s="18" t="s">
        <v>463</v>
      </c>
      <c r="J33" s="26" t="s">
        <v>363</v>
      </c>
      <c r="K33" s="18" t="s">
        <v>370</v>
      </c>
      <c r="L33" s="27" t="n">
        <v>1</v>
      </c>
      <c r="M33" s="29" t="s">
        <v>366</v>
      </c>
      <c r="N33" s="18" t="s">
        <v>367</v>
      </c>
      <c r="O33" s="27" t="n">
        <v>1</v>
      </c>
      <c r="P33" s="15" t="n">
        <f aca="false">IF(A33="","",IF(O33&lt;&gt;"",O33,IF(L33&lt;&gt;"",L33,F33)))</f>
        <v>1</v>
      </c>
    </row>
    <row r="34" customFormat="false" ht="15" hidden="false" customHeight="true" outlineLevel="0" collapsed="false">
      <c r="A34" s="30" t="s">
        <v>16</v>
      </c>
      <c r="B34" s="30" t="s">
        <v>17</v>
      </c>
      <c r="C34" s="21" t="n">
        <f aca="false">IF(A34="","",IFERROR(VLOOKUP(A34,'Recert Status'!$A$8:$C$400,3,FALSE()),""))</f>
        <v>46387</v>
      </c>
      <c r="D34" s="31" t="s">
        <v>430</v>
      </c>
      <c r="E34" s="30" t="s">
        <v>426</v>
      </c>
      <c r="F34" s="32" t="n">
        <v>1</v>
      </c>
      <c r="G34" s="33" t="n">
        <v>46273</v>
      </c>
      <c r="H34" s="33" t="n">
        <v>46273</v>
      </c>
      <c r="I34" s="31" t="s">
        <v>464</v>
      </c>
      <c r="J34" s="30" t="s">
        <v>426</v>
      </c>
      <c r="K34" s="31" t="s">
        <v>428</v>
      </c>
      <c r="L34" s="32" t="n">
        <v>1</v>
      </c>
      <c r="M34" s="41" t="s">
        <v>429</v>
      </c>
      <c r="N34" s="31" t="s">
        <v>430</v>
      </c>
      <c r="O34" s="32" t="n">
        <v>1</v>
      </c>
      <c r="P34" s="15" t="n">
        <f aca="false">IF(A34="","",IF(O34&lt;&gt;"",O34,IF(L34&lt;&gt;"",L34,F34)))</f>
        <v>1</v>
      </c>
    </row>
    <row r="35" customFormat="false" ht="15" hidden="false" customHeight="true" outlineLevel="0" collapsed="false">
      <c r="A35" s="26" t="s">
        <v>16</v>
      </c>
      <c r="B35" s="26" t="s">
        <v>17</v>
      </c>
      <c r="C35" s="14" t="n">
        <f aca="false">IF(A35="","",IFERROR(VLOOKUP(A35,'Recert Status'!$A$8:$C$400,3,FALSE()),""))</f>
        <v>46387</v>
      </c>
      <c r="D35" s="18" t="s">
        <v>430</v>
      </c>
      <c r="E35" s="26" t="s">
        <v>426</v>
      </c>
      <c r="F35" s="27" t="n">
        <v>1</v>
      </c>
      <c r="G35" s="28" t="n">
        <v>46285</v>
      </c>
      <c r="H35" s="28" t="n">
        <v>46285</v>
      </c>
      <c r="I35" s="18" t="s">
        <v>465</v>
      </c>
      <c r="J35" s="26" t="s">
        <v>426</v>
      </c>
      <c r="K35" s="18" t="s">
        <v>428</v>
      </c>
      <c r="L35" s="27" t="n">
        <v>1</v>
      </c>
      <c r="M35" s="41" t="s">
        <v>429</v>
      </c>
      <c r="N35" s="18" t="s">
        <v>430</v>
      </c>
      <c r="O35" s="27" t="n">
        <v>1</v>
      </c>
      <c r="P35" s="15" t="n">
        <f aca="false">IF(A35="","",IF(O35&lt;&gt;"",O35,IF(L35&lt;&gt;"",L35,F35)))</f>
        <v>1</v>
      </c>
    </row>
    <row r="36" customFormat="false" ht="15" hidden="false" customHeight="true" outlineLevel="0" collapsed="false">
      <c r="A36" s="30" t="s">
        <v>16</v>
      </c>
      <c r="B36" s="30" t="s">
        <v>17</v>
      </c>
      <c r="C36" s="21" t="n">
        <f aca="false">IF(A36="","",IFERROR(VLOOKUP(A36,'Recert Status'!$A$8:$C$400,3,FALSE()),""))</f>
        <v>46387</v>
      </c>
      <c r="D36" s="31" t="s">
        <v>466</v>
      </c>
      <c r="E36" s="30" t="n">
        <v>29784</v>
      </c>
      <c r="F36" s="32" t="n">
        <v>0.5</v>
      </c>
      <c r="G36" s="33" t="n">
        <v>45691</v>
      </c>
      <c r="H36" s="33" t="n">
        <v>45691</v>
      </c>
      <c r="I36" s="31" t="s">
        <v>467</v>
      </c>
      <c r="J36" s="30" t="s">
        <v>435</v>
      </c>
      <c r="K36" s="31" t="s">
        <v>468</v>
      </c>
      <c r="L36" s="32" t="n">
        <v>0.5</v>
      </c>
      <c r="M36" s="35" t="s">
        <v>386</v>
      </c>
      <c r="N36" s="31" t="s">
        <v>387</v>
      </c>
      <c r="O36" s="32" t="n">
        <v>0.5</v>
      </c>
      <c r="P36" s="15" t="n">
        <f aca="false">IF(A36="","",IF(O36&lt;&gt;"",O36,IF(L36&lt;&gt;"",L36,F36)))</f>
        <v>0.5</v>
      </c>
    </row>
    <row r="37" customFormat="false" ht="15" hidden="false" customHeight="true" outlineLevel="0" collapsed="false">
      <c r="A37" s="26" t="s">
        <v>16</v>
      </c>
      <c r="B37" s="26" t="s">
        <v>17</v>
      </c>
      <c r="C37" s="14" t="n">
        <f aca="false">IF(A37="","",IFERROR(VLOOKUP(A37,'Recert Status'!$A$8:$C$400,3,FALSE()),""))</f>
        <v>46387</v>
      </c>
      <c r="D37" s="18" t="s">
        <v>469</v>
      </c>
      <c r="E37" s="26" t="n">
        <v>29737</v>
      </c>
      <c r="F37" s="27" t="n">
        <v>0.5</v>
      </c>
      <c r="G37" s="28" t="n">
        <v>45841</v>
      </c>
      <c r="H37" s="28" t="n">
        <v>45841</v>
      </c>
      <c r="I37" s="18" t="s">
        <v>470</v>
      </c>
      <c r="J37" s="26" t="s">
        <v>411</v>
      </c>
      <c r="K37" s="18" t="s">
        <v>412</v>
      </c>
      <c r="L37" s="27" t="n">
        <v>0.5</v>
      </c>
      <c r="M37" s="35" t="s">
        <v>386</v>
      </c>
      <c r="N37" s="18" t="s">
        <v>387</v>
      </c>
      <c r="O37" s="27" t="n">
        <v>0.5</v>
      </c>
      <c r="P37" s="15" t="n">
        <f aca="false">IF(A37="","",IF(O37&lt;&gt;"",O37,IF(L37&lt;&gt;"",L37,F37)))</f>
        <v>0.5</v>
      </c>
    </row>
    <row r="38" customFormat="false" ht="15" hidden="false" customHeight="true" outlineLevel="0" collapsed="false">
      <c r="A38" s="30" t="s">
        <v>16</v>
      </c>
      <c r="B38" s="30" t="s">
        <v>17</v>
      </c>
      <c r="C38" s="21" t="n">
        <f aca="false">IF(A38="","",IFERROR(VLOOKUP(A38,'Recert Status'!$A$8:$C$400,3,FALSE()),""))</f>
        <v>46387</v>
      </c>
      <c r="D38" s="31" t="s">
        <v>471</v>
      </c>
      <c r="E38" s="30" t="s">
        <v>389</v>
      </c>
      <c r="F38" s="32" t="n">
        <v>1</v>
      </c>
      <c r="G38" s="33" t="n">
        <v>46184</v>
      </c>
      <c r="H38" s="33" t="n">
        <v>46184</v>
      </c>
      <c r="I38" s="31" t="s">
        <v>472</v>
      </c>
      <c r="J38" s="30" t="s">
        <v>389</v>
      </c>
      <c r="K38" s="31" t="s">
        <v>473</v>
      </c>
      <c r="L38" s="32" t="n">
        <v>1</v>
      </c>
      <c r="M38" s="35" t="s">
        <v>386</v>
      </c>
      <c r="N38" s="31" t="s">
        <v>387</v>
      </c>
      <c r="O38" s="32" t="n">
        <v>1</v>
      </c>
      <c r="P38" s="15" t="n">
        <f aca="false">IF(A38="","",IF(O38&lt;&gt;"",O38,IF(L38&lt;&gt;"",L38,F38)))</f>
        <v>1</v>
      </c>
    </row>
    <row r="39" customFormat="false" ht="15" hidden="false" customHeight="true" outlineLevel="0" collapsed="false">
      <c r="A39" s="26" t="s">
        <v>16</v>
      </c>
      <c r="B39" s="26" t="s">
        <v>17</v>
      </c>
      <c r="C39" s="14" t="n">
        <f aca="false">IF(A39="","",IFERROR(VLOOKUP(A39,'Recert Status'!$A$8:$C$400,3,FALSE()),""))</f>
        <v>46387</v>
      </c>
      <c r="D39" s="18" t="s">
        <v>474</v>
      </c>
      <c r="E39" s="26" t="s">
        <v>389</v>
      </c>
      <c r="F39" s="27" t="n">
        <v>1</v>
      </c>
      <c r="G39" s="28" t="n">
        <v>46204</v>
      </c>
      <c r="H39" s="28" t="n">
        <v>46204</v>
      </c>
      <c r="I39" s="18" t="s">
        <v>475</v>
      </c>
      <c r="J39" s="26" t="s">
        <v>389</v>
      </c>
      <c r="K39" s="18" t="s">
        <v>476</v>
      </c>
      <c r="L39" s="27" t="n">
        <v>1</v>
      </c>
      <c r="M39" s="35" t="s">
        <v>386</v>
      </c>
      <c r="N39" s="18" t="s">
        <v>387</v>
      </c>
      <c r="O39" s="27" t="n">
        <v>1</v>
      </c>
      <c r="P39" s="15" t="n">
        <f aca="false">IF(A39="","",IF(O39&lt;&gt;"",O39,IF(L39&lt;&gt;"",L39,F39)))</f>
        <v>1</v>
      </c>
    </row>
    <row r="40" customFormat="false" ht="15" hidden="false" customHeight="true" outlineLevel="0" collapsed="false">
      <c r="A40" s="30" t="s">
        <v>16</v>
      </c>
      <c r="B40" s="30" t="s">
        <v>17</v>
      </c>
      <c r="C40" s="21" t="n">
        <f aca="false">IF(A40="","",IFERROR(VLOOKUP(A40,'Recert Status'!$A$8:$C$400,3,FALSE()),""))</f>
        <v>46387</v>
      </c>
      <c r="D40" s="31" t="s">
        <v>387</v>
      </c>
      <c r="E40" s="30" t="s">
        <v>389</v>
      </c>
      <c r="F40" s="32" t="n">
        <v>0.5</v>
      </c>
      <c r="G40" s="33" t="n">
        <v>46231</v>
      </c>
      <c r="H40" s="33" t="n">
        <v>46231</v>
      </c>
      <c r="I40" s="31" t="s">
        <v>477</v>
      </c>
      <c r="J40" s="30" t="s">
        <v>389</v>
      </c>
      <c r="K40" s="31" t="s">
        <v>451</v>
      </c>
      <c r="L40" s="32" t="n">
        <v>0.5</v>
      </c>
      <c r="M40" s="35" t="s">
        <v>386</v>
      </c>
      <c r="N40" s="31" t="s">
        <v>387</v>
      </c>
      <c r="O40" s="32" t="n">
        <v>0.5</v>
      </c>
      <c r="P40" s="15" t="n">
        <f aca="false">IF(A40="","",IF(O40&lt;&gt;"",O40,IF(L40&lt;&gt;"",L40,F40)))</f>
        <v>0.5</v>
      </c>
    </row>
    <row r="41" customFormat="false" ht="15" hidden="false" customHeight="true" outlineLevel="0" collapsed="false">
      <c r="A41" s="26" t="s">
        <v>16</v>
      </c>
      <c r="B41" s="26" t="s">
        <v>17</v>
      </c>
      <c r="C41" s="14" t="n">
        <f aca="false">IF(A41="","",IFERROR(VLOOKUP(A41,'Recert Status'!$A$8:$C$400,3,FALSE()),""))</f>
        <v>46387</v>
      </c>
      <c r="D41" s="18" t="s">
        <v>397</v>
      </c>
      <c r="E41" s="26" t="s">
        <v>452</v>
      </c>
      <c r="F41" s="27" t="n">
        <v>1</v>
      </c>
      <c r="G41" s="28" t="n">
        <v>46246</v>
      </c>
      <c r="H41" s="28" t="n">
        <v>46246</v>
      </c>
      <c r="I41" s="18" t="s">
        <v>478</v>
      </c>
      <c r="J41" s="26" t="s">
        <v>452</v>
      </c>
      <c r="K41" s="18" t="s">
        <v>385</v>
      </c>
      <c r="L41" s="27" t="n">
        <v>1</v>
      </c>
      <c r="M41" s="36" t="s">
        <v>396</v>
      </c>
      <c r="N41" s="18" t="s">
        <v>397</v>
      </c>
      <c r="O41" s="27" t="n">
        <v>1</v>
      </c>
      <c r="P41" s="15" t="n">
        <f aca="false">IF(A41="","",IF(O41&lt;&gt;"",O41,IF(L41&lt;&gt;"",L41,F41)))</f>
        <v>1</v>
      </c>
    </row>
    <row r="42" customFormat="false" ht="15" hidden="false" customHeight="true" outlineLevel="0" collapsed="false">
      <c r="A42" s="30" t="s">
        <v>16</v>
      </c>
      <c r="B42" s="30" t="s">
        <v>17</v>
      </c>
      <c r="C42" s="21" t="n">
        <f aca="false">IF(A42="","",IFERROR(VLOOKUP(A42,'Recert Status'!$A$8:$C$400,3,FALSE()),""))</f>
        <v>46387</v>
      </c>
      <c r="D42" s="31" t="s">
        <v>403</v>
      </c>
      <c r="E42" s="30" t="s">
        <v>399</v>
      </c>
      <c r="F42" s="32" t="n">
        <v>1</v>
      </c>
      <c r="G42" s="33" t="n">
        <v>46267</v>
      </c>
      <c r="H42" s="33" t="n">
        <v>46267</v>
      </c>
      <c r="I42" s="31" t="s">
        <v>479</v>
      </c>
      <c r="J42" s="30" t="s">
        <v>399</v>
      </c>
      <c r="K42" s="31" t="s">
        <v>401</v>
      </c>
      <c r="L42" s="32" t="n">
        <v>1</v>
      </c>
      <c r="M42" s="37" t="s">
        <v>402</v>
      </c>
      <c r="N42" s="31" t="s">
        <v>403</v>
      </c>
      <c r="O42" s="32" t="n">
        <v>1</v>
      </c>
      <c r="P42" s="15" t="n">
        <f aca="false">IF(A42="","",IF(O42&lt;&gt;"",O42,IF(L42&lt;&gt;"",L42,F42)))</f>
        <v>1</v>
      </c>
    </row>
    <row r="43" customFormat="false" ht="15" hidden="false" customHeight="true" outlineLevel="0" collapsed="false">
      <c r="A43" s="26" t="s">
        <v>16</v>
      </c>
      <c r="B43" s="26" t="s">
        <v>17</v>
      </c>
      <c r="C43" s="14" t="n">
        <f aca="false">IF(A43="","",IFERROR(VLOOKUP(A43,'Recert Status'!$A$8:$C$400,3,FALSE()),""))</f>
        <v>46387</v>
      </c>
      <c r="D43" s="18" t="s">
        <v>409</v>
      </c>
      <c r="E43" s="26" t="s">
        <v>480</v>
      </c>
      <c r="F43" s="27" t="n">
        <v>1</v>
      </c>
      <c r="G43" s="28" t="n">
        <v>46267</v>
      </c>
      <c r="H43" s="28" t="n">
        <v>46267</v>
      </c>
      <c r="I43" s="18" t="s">
        <v>481</v>
      </c>
      <c r="J43" s="26" t="s">
        <v>480</v>
      </c>
      <c r="K43" s="18" t="s">
        <v>482</v>
      </c>
      <c r="L43" s="27" t="n">
        <v>1</v>
      </c>
      <c r="M43" s="38" t="s">
        <v>408</v>
      </c>
      <c r="N43" s="18" t="s">
        <v>409</v>
      </c>
      <c r="O43" s="27" t="n">
        <v>1</v>
      </c>
      <c r="P43" s="15" t="n">
        <f aca="false">IF(A43="","",IF(O43&lt;&gt;"",O43,IF(L43&lt;&gt;"",L43,F43)))</f>
        <v>1</v>
      </c>
    </row>
    <row r="44" customFormat="false" ht="15" hidden="false" customHeight="true" outlineLevel="0" collapsed="false">
      <c r="A44" s="30" t="s">
        <v>16</v>
      </c>
      <c r="B44" s="30" t="s">
        <v>17</v>
      </c>
      <c r="C44" s="21" t="n">
        <f aca="false">IF(A44="","",IFERROR(VLOOKUP(A44,'Recert Status'!$A$8:$C$400,3,FALSE()),""))</f>
        <v>46387</v>
      </c>
      <c r="D44" s="31" t="s">
        <v>483</v>
      </c>
      <c r="E44" s="30" t="s">
        <v>416</v>
      </c>
      <c r="F44" s="32" t="n">
        <v>1</v>
      </c>
      <c r="G44" s="33" t="n">
        <v>45826</v>
      </c>
      <c r="H44" s="33" t="n">
        <v>45826</v>
      </c>
      <c r="I44" s="31" t="s">
        <v>484</v>
      </c>
      <c r="J44" s="30" t="s">
        <v>416</v>
      </c>
      <c r="K44" s="31" t="s">
        <v>485</v>
      </c>
      <c r="L44" s="32" t="n">
        <v>1</v>
      </c>
      <c r="M44" s="39" t="s">
        <v>413</v>
      </c>
      <c r="N44" s="31" t="s">
        <v>414</v>
      </c>
      <c r="O44" s="32" t="n">
        <v>1</v>
      </c>
      <c r="P44" s="15" t="n">
        <f aca="false">IF(A44="","",IF(O44&lt;&gt;"",O44,IF(L44&lt;&gt;"",L44,F44)))</f>
        <v>1</v>
      </c>
    </row>
    <row r="45" customFormat="false" ht="15" hidden="false" customHeight="true" outlineLevel="0" collapsed="false">
      <c r="A45" s="26" t="s">
        <v>16</v>
      </c>
      <c r="B45" s="26" t="s">
        <v>17</v>
      </c>
      <c r="C45" s="14" t="n">
        <f aca="false">IF(A45="","",IFERROR(VLOOKUP(A45,'Recert Status'!$A$8:$C$400,3,FALSE()),""))</f>
        <v>46387</v>
      </c>
      <c r="D45" s="18" t="s">
        <v>486</v>
      </c>
      <c r="E45" s="26" t="s">
        <v>416</v>
      </c>
      <c r="F45" s="27" t="n">
        <v>2</v>
      </c>
      <c r="G45" s="28" t="n">
        <v>45859</v>
      </c>
      <c r="H45" s="28" t="n">
        <v>45859</v>
      </c>
      <c r="I45" s="18" t="s">
        <v>487</v>
      </c>
      <c r="J45" s="26" t="s">
        <v>416</v>
      </c>
      <c r="K45" s="18" t="s">
        <v>418</v>
      </c>
      <c r="L45" s="27" t="n">
        <v>2</v>
      </c>
      <c r="M45" s="39" t="s">
        <v>413</v>
      </c>
      <c r="N45" s="18" t="s">
        <v>414</v>
      </c>
      <c r="O45" s="27" t="n">
        <v>2</v>
      </c>
      <c r="P45" s="15" t="n">
        <f aca="false">IF(A45="","",IF(O45&lt;&gt;"",O45,IF(L45&lt;&gt;"",L45,F45)))</f>
        <v>2</v>
      </c>
    </row>
    <row r="46" customFormat="false" ht="15" hidden="false" customHeight="true" outlineLevel="0" collapsed="false">
      <c r="A46" s="30" t="s">
        <v>16</v>
      </c>
      <c r="B46" s="30" t="s">
        <v>17</v>
      </c>
      <c r="C46" s="21" t="n">
        <f aca="false">IF(A46="","",IFERROR(VLOOKUP(A46,'Recert Status'!$A$8:$C$400,3,FALSE()),""))</f>
        <v>46387</v>
      </c>
      <c r="D46" s="31" t="s">
        <v>488</v>
      </c>
      <c r="E46" s="30" t="s">
        <v>416</v>
      </c>
      <c r="F46" s="32" t="n">
        <v>1</v>
      </c>
      <c r="G46" s="33" t="n">
        <v>46126</v>
      </c>
      <c r="H46" s="33" t="n">
        <v>46126</v>
      </c>
      <c r="I46" s="31" t="s">
        <v>489</v>
      </c>
      <c r="J46" s="30" t="s">
        <v>416</v>
      </c>
      <c r="K46" s="31" t="s">
        <v>490</v>
      </c>
      <c r="L46" s="32" t="n">
        <v>1</v>
      </c>
      <c r="M46" s="39" t="s">
        <v>413</v>
      </c>
      <c r="N46" s="31" t="s">
        <v>414</v>
      </c>
      <c r="O46" s="32" t="n">
        <v>1</v>
      </c>
      <c r="P46" s="15" t="n">
        <f aca="false">IF(A46="","",IF(O46&lt;&gt;"",O46,IF(L46&lt;&gt;"",L46,F46)))</f>
        <v>1</v>
      </c>
    </row>
    <row r="47" customFormat="false" ht="15" hidden="false" customHeight="true" outlineLevel="0" collapsed="false">
      <c r="A47" s="26" t="s">
        <v>16</v>
      </c>
      <c r="B47" s="26" t="s">
        <v>17</v>
      </c>
      <c r="C47" s="14" t="n">
        <f aca="false">IF(A47="","",IFERROR(VLOOKUP(A47,'Recert Status'!$A$8:$C$400,3,FALSE()),""))</f>
        <v>46387</v>
      </c>
      <c r="D47" s="18" t="s">
        <v>414</v>
      </c>
      <c r="E47" s="26" t="s">
        <v>416</v>
      </c>
      <c r="F47" s="27" t="n">
        <v>8</v>
      </c>
      <c r="G47" s="28" t="n">
        <v>46219</v>
      </c>
      <c r="H47" s="28" t="n">
        <v>46219</v>
      </c>
      <c r="I47" s="18" t="s">
        <v>491</v>
      </c>
      <c r="J47" s="26" t="s">
        <v>416</v>
      </c>
      <c r="K47" s="18" t="s">
        <v>418</v>
      </c>
      <c r="L47" s="27" t="n">
        <v>8</v>
      </c>
      <c r="M47" s="39" t="s">
        <v>413</v>
      </c>
      <c r="N47" s="18" t="s">
        <v>414</v>
      </c>
      <c r="O47" s="27" t="n">
        <v>8</v>
      </c>
      <c r="P47" s="15" t="n">
        <f aca="false">IF(A47="","",IF(O47&lt;&gt;"",O47,IF(L47&lt;&gt;"",L47,F47)))</f>
        <v>8</v>
      </c>
    </row>
    <row r="48" customFormat="false" ht="15" hidden="false" customHeight="true" outlineLevel="0" collapsed="false">
      <c r="A48" s="30" t="s">
        <v>18</v>
      </c>
      <c r="B48" s="30" t="s">
        <v>19</v>
      </c>
      <c r="C48" s="21" t="n">
        <f aca="false">IF(A48="","",IFERROR(VLOOKUP(A48,'Recert Status'!$A$8:$C$400,3,FALSE()),""))</f>
        <v>46752</v>
      </c>
      <c r="D48" s="31" t="s">
        <v>492</v>
      </c>
      <c r="E48" s="30" t="s">
        <v>363</v>
      </c>
      <c r="F48" s="32" t="n">
        <v>1</v>
      </c>
      <c r="G48" s="33" t="n">
        <v>45971</v>
      </c>
      <c r="H48" s="33" t="n">
        <v>45971</v>
      </c>
      <c r="I48" s="31" t="s">
        <v>493</v>
      </c>
      <c r="J48" s="30" t="s">
        <v>363</v>
      </c>
      <c r="K48" s="31" t="s">
        <v>365</v>
      </c>
      <c r="L48" s="32" t="n">
        <v>1</v>
      </c>
      <c r="M48" s="29" t="s">
        <v>366</v>
      </c>
      <c r="N48" s="31" t="s">
        <v>367</v>
      </c>
      <c r="O48" s="32" t="n">
        <v>1</v>
      </c>
      <c r="P48" s="15" t="n">
        <f aca="false">IF(A48="","",IF(O48&lt;&gt;"",O48,IF(L48&lt;&gt;"",L48,F48)))</f>
        <v>1</v>
      </c>
    </row>
    <row r="49" customFormat="false" ht="15" hidden="false" customHeight="true" outlineLevel="0" collapsed="false">
      <c r="A49" s="26" t="s">
        <v>18</v>
      </c>
      <c r="B49" s="26" t="s">
        <v>19</v>
      </c>
      <c r="C49" s="14" t="n">
        <f aca="false">IF(A49="","",IFERROR(VLOOKUP(A49,'Recert Status'!$A$8:$C$400,3,FALSE()),""))</f>
        <v>46752</v>
      </c>
      <c r="D49" s="18" t="s">
        <v>492</v>
      </c>
      <c r="E49" s="26" t="s">
        <v>363</v>
      </c>
      <c r="F49" s="27" t="n">
        <v>1.25</v>
      </c>
      <c r="G49" s="28" t="n">
        <v>45971</v>
      </c>
      <c r="H49" s="28" t="n">
        <v>45971</v>
      </c>
      <c r="I49" s="18" t="s">
        <v>494</v>
      </c>
      <c r="J49" s="26" t="s">
        <v>363</v>
      </c>
      <c r="K49" s="18" t="s">
        <v>495</v>
      </c>
      <c r="L49" s="27" t="n">
        <v>1.25</v>
      </c>
      <c r="M49" s="29" t="s">
        <v>366</v>
      </c>
      <c r="N49" s="18" t="s">
        <v>367</v>
      </c>
      <c r="O49" s="27" t="n">
        <v>1.25</v>
      </c>
      <c r="P49" s="15" t="n">
        <f aca="false">IF(A49="","",IF(O49&lt;&gt;"",O49,IF(L49&lt;&gt;"",L49,F49)))</f>
        <v>1.25</v>
      </c>
    </row>
    <row r="50" customFormat="false" ht="15" hidden="false" customHeight="true" outlineLevel="0" collapsed="false">
      <c r="A50" s="30" t="s">
        <v>18</v>
      </c>
      <c r="B50" s="30" t="s">
        <v>19</v>
      </c>
      <c r="C50" s="21" t="n">
        <f aca="false">IF(A50="","",IFERROR(VLOOKUP(A50,'Recert Status'!$A$8:$C$400,3,FALSE()),""))</f>
        <v>46752</v>
      </c>
      <c r="D50" s="31" t="s">
        <v>492</v>
      </c>
      <c r="E50" s="30" t="s">
        <v>426</v>
      </c>
      <c r="F50" s="32" t="n">
        <v>1.25</v>
      </c>
      <c r="G50" s="33" t="n">
        <v>45971</v>
      </c>
      <c r="H50" s="33" t="n">
        <v>45971</v>
      </c>
      <c r="I50" s="31" t="s">
        <v>496</v>
      </c>
      <c r="J50" s="30" t="s">
        <v>426</v>
      </c>
      <c r="K50" s="31" t="s">
        <v>428</v>
      </c>
      <c r="L50" s="32" t="n">
        <v>1.25</v>
      </c>
      <c r="M50" s="41" t="s">
        <v>429</v>
      </c>
      <c r="N50" s="31" t="s">
        <v>430</v>
      </c>
      <c r="O50" s="32" t="n">
        <v>1.25</v>
      </c>
      <c r="P50" s="15" t="n">
        <f aca="false">IF(A50="","",IF(O50&lt;&gt;"",O50,IF(L50&lt;&gt;"",L50,F50)))</f>
        <v>1.25</v>
      </c>
    </row>
    <row r="51" customFormat="false" ht="15" hidden="false" customHeight="true" outlineLevel="0" collapsed="false">
      <c r="A51" s="26" t="s">
        <v>18</v>
      </c>
      <c r="B51" s="26" t="s">
        <v>19</v>
      </c>
      <c r="C51" s="14" t="n">
        <f aca="false">IF(A51="","",IFERROR(VLOOKUP(A51,'Recert Status'!$A$8:$C$400,3,FALSE()),""))</f>
        <v>46752</v>
      </c>
      <c r="D51" s="18" t="s">
        <v>492</v>
      </c>
      <c r="E51" s="26" t="n">
        <v>29784</v>
      </c>
      <c r="F51" s="27" t="n">
        <v>1.5</v>
      </c>
      <c r="G51" s="28" t="n">
        <v>45971</v>
      </c>
      <c r="H51" s="28" t="n">
        <v>45971</v>
      </c>
      <c r="I51" s="18" t="s">
        <v>497</v>
      </c>
      <c r="J51" s="26" t="s">
        <v>435</v>
      </c>
      <c r="K51" s="18" t="s">
        <v>468</v>
      </c>
      <c r="L51" s="27" t="n">
        <v>1.5</v>
      </c>
      <c r="M51" s="35" t="s">
        <v>386</v>
      </c>
      <c r="N51" s="18" t="s">
        <v>387</v>
      </c>
      <c r="O51" s="27" t="n">
        <v>1.5</v>
      </c>
      <c r="P51" s="15" t="n">
        <f aca="false">IF(A51="","",IF(O51&lt;&gt;"",O51,IF(L51&lt;&gt;"",L51,F51)))</f>
        <v>1.5</v>
      </c>
    </row>
    <row r="52" customFormat="false" ht="15" hidden="false" customHeight="true" outlineLevel="0" collapsed="false">
      <c r="A52" s="30" t="s">
        <v>18</v>
      </c>
      <c r="B52" s="30" t="s">
        <v>19</v>
      </c>
      <c r="C52" s="21" t="n">
        <f aca="false">IF(A52="","",IFERROR(VLOOKUP(A52,'Recert Status'!$A$8:$C$400,3,FALSE()),""))</f>
        <v>46752</v>
      </c>
      <c r="D52" s="31" t="s">
        <v>492</v>
      </c>
      <c r="E52" s="30" t="n">
        <v>29784</v>
      </c>
      <c r="F52" s="32" t="n">
        <v>1.5</v>
      </c>
      <c r="G52" s="33" t="n">
        <v>45971</v>
      </c>
      <c r="H52" s="33" t="n">
        <v>45971</v>
      </c>
      <c r="I52" s="31" t="s">
        <v>498</v>
      </c>
      <c r="J52" s="30" t="s">
        <v>435</v>
      </c>
      <c r="K52" s="31" t="s">
        <v>468</v>
      </c>
      <c r="L52" s="32" t="n">
        <v>1.5</v>
      </c>
      <c r="M52" s="35" t="s">
        <v>386</v>
      </c>
      <c r="N52" s="31" t="s">
        <v>387</v>
      </c>
      <c r="O52" s="32" t="n">
        <v>1.5</v>
      </c>
      <c r="P52" s="15" t="n">
        <f aca="false">IF(A52="","",IF(O52&lt;&gt;"",O52,IF(L52&lt;&gt;"",L52,F52)))</f>
        <v>1.5</v>
      </c>
    </row>
    <row r="53" customFormat="false" ht="15" hidden="false" customHeight="true" outlineLevel="0" collapsed="false">
      <c r="A53" s="26" t="s">
        <v>18</v>
      </c>
      <c r="B53" s="26" t="s">
        <v>19</v>
      </c>
      <c r="C53" s="14" t="n">
        <f aca="false">IF(A53="","",IFERROR(VLOOKUP(A53,'Recert Status'!$A$8:$C$400,3,FALSE()),""))</f>
        <v>46752</v>
      </c>
      <c r="D53" s="18" t="s">
        <v>492</v>
      </c>
      <c r="E53" s="26" t="n">
        <v>57430</v>
      </c>
      <c r="F53" s="27" t="n">
        <v>1.5</v>
      </c>
      <c r="G53" s="28" t="n">
        <v>45972</v>
      </c>
      <c r="H53" s="28" t="n">
        <v>45972</v>
      </c>
      <c r="I53" s="18" t="s">
        <v>499</v>
      </c>
      <c r="J53" s="26" t="s">
        <v>500</v>
      </c>
      <c r="K53" s="18" t="s">
        <v>501</v>
      </c>
      <c r="L53" s="27" t="n">
        <v>1.5</v>
      </c>
      <c r="M53" s="35" t="s">
        <v>386</v>
      </c>
      <c r="N53" s="18" t="s">
        <v>387</v>
      </c>
      <c r="O53" s="27" t="n">
        <v>1.5</v>
      </c>
      <c r="P53" s="15" t="n">
        <f aca="false">IF(A53="","",IF(O53&lt;&gt;"",O53,IF(L53&lt;&gt;"",L53,F53)))</f>
        <v>1.5</v>
      </c>
    </row>
    <row r="54" customFormat="false" ht="15" hidden="false" customHeight="true" outlineLevel="0" collapsed="false">
      <c r="A54" s="30" t="s">
        <v>18</v>
      </c>
      <c r="B54" s="30" t="s">
        <v>19</v>
      </c>
      <c r="C54" s="21" t="n">
        <f aca="false">IF(A54="","",IFERROR(VLOOKUP(A54,'Recert Status'!$A$8:$C$400,3,FALSE()),""))</f>
        <v>46752</v>
      </c>
      <c r="D54" s="31" t="s">
        <v>492</v>
      </c>
      <c r="E54" s="30" t="n">
        <v>57394</v>
      </c>
      <c r="F54" s="32" t="n">
        <v>0.5</v>
      </c>
      <c r="G54" s="33" t="n">
        <v>45973</v>
      </c>
      <c r="H54" s="33" t="n">
        <v>45973</v>
      </c>
      <c r="I54" s="31" t="s">
        <v>502</v>
      </c>
      <c r="J54" s="30" t="s">
        <v>503</v>
      </c>
      <c r="K54" s="31" t="s">
        <v>504</v>
      </c>
      <c r="L54" s="32" t="n">
        <v>0.5</v>
      </c>
      <c r="M54" s="35" t="s">
        <v>386</v>
      </c>
      <c r="N54" s="31" t="s">
        <v>387</v>
      </c>
      <c r="O54" s="32" t="n">
        <v>0.5</v>
      </c>
      <c r="P54" s="15" t="n">
        <f aca="false">IF(A54="","",IF(O54&lt;&gt;"",O54,IF(L54&lt;&gt;"",L54,F54)))</f>
        <v>0.5</v>
      </c>
    </row>
    <row r="55" customFormat="false" ht="15" hidden="false" customHeight="true" outlineLevel="0" collapsed="false">
      <c r="A55" s="26" t="s">
        <v>18</v>
      </c>
      <c r="B55" s="26" t="s">
        <v>19</v>
      </c>
      <c r="C55" s="14" t="n">
        <f aca="false">IF(A55="","",IFERROR(VLOOKUP(A55,'Recert Status'!$A$8:$C$400,3,FALSE()),""))</f>
        <v>46752</v>
      </c>
      <c r="D55" s="18" t="s">
        <v>492</v>
      </c>
      <c r="E55" s="26" t="n">
        <v>29784</v>
      </c>
      <c r="F55" s="27" t="n">
        <v>1</v>
      </c>
      <c r="G55" s="28" t="n">
        <v>45973</v>
      </c>
      <c r="H55" s="28" t="n">
        <v>45973</v>
      </c>
      <c r="I55" s="18" t="s">
        <v>505</v>
      </c>
      <c r="J55" s="26" t="s">
        <v>435</v>
      </c>
      <c r="K55" s="18" t="s">
        <v>468</v>
      </c>
      <c r="L55" s="27" t="n">
        <v>1</v>
      </c>
      <c r="M55" s="35" t="s">
        <v>386</v>
      </c>
      <c r="N55" s="18" t="s">
        <v>387</v>
      </c>
      <c r="O55" s="27" t="n">
        <v>1</v>
      </c>
      <c r="P55" s="15" t="n">
        <f aca="false">IF(A55="","",IF(O55&lt;&gt;"",O55,IF(L55&lt;&gt;"",L55,F55)))</f>
        <v>1</v>
      </c>
    </row>
    <row r="56" customFormat="false" ht="15" hidden="false" customHeight="true" outlineLevel="0" collapsed="false">
      <c r="A56" s="30" t="s">
        <v>18</v>
      </c>
      <c r="B56" s="30" t="s">
        <v>19</v>
      </c>
      <c r="C56" s="21" t="n">
        <f aca="false">IF(A56="","",IFERROR(VLOOKUP(A56,'Recert Status'!$A$8:$C$400,3,FALSE()),""))</f>
        <v>46752</v>
      </c>
      <c r="D56" s="31" t="s">
        <v>492</v>
      </c>
      <c r="E56" s="30" t="n">
        <v>57394</v>
      </c>
      <c r="F56" s="32" t="n">
        <v>1</v>
      </c>
      <c r="G56" s="33" t="n">
        <v>45973</v>
      </c>
      <c r="H56" s="33" t="n">
        <v>45973</v>
      </c>
      <c r="I56" s="31" t="s">
        <v>506</v>
      </c>
      <c r="J56" s="30" t="s">
        <v>503</v>
      </c>
      <c r="K56" s="31" t="s">
        <v>507</v>
      </c>
      <c r="L56" s="32" t="n">
        <v>1</v>
      </c>
      <c r="M56" s="35" t="s">
        <v>386</v>
      </c>
      <c r="N56" s="31" t="s">
        <v>387</v>
      </c>
      <c r="O56" s="32" t="n">
        <v>1</v>
      </c>
      <c r="P56" s="15" t="n">
        <f aca="false">IF(A56="","",IF(O56&lt;&gt;"",O56,IF(L56&lt;&gt;"",L56,F56)))</f>
        <v>1</v>
      </c>
    </row>
    <row r="57" customFormat="false" ht="15" hidden="false" customHeight="true" outlineLevel="0" collapsed="false">
      <c r="A57" s="26" t="s">
        <v>18</v>
      </c>
      <c r="B57" s="26" t="s">
        <v>19</v>
      </c>
      <c r="C57" s="14" t="n">
        <f aca="false">IF(A57="","",IFERROR(VLOOKUP(A57,'Recert Status'!$A$8:$C$400,3,FALSE()),""))</f>
        <v>46752</v>
      </c>
      <c r="D57" s="18" t="s">
        <v>492</v>
      </c>
      <c r="E57" s="26" t="n">
        <v>29743</v>
      </c>
      <c r="F57" s="27" t="n">
        <v>1.25</v>
      </c>
      <c r="G57" s="28" t="n">
        <v>45973</v>
      </c>
      <c r="H57" s="28" t="n">
        <v>45973</v>
      </c>
      <c r="I57" s="18" t="s">
        <v>508</v>
      </c>
      <c r="J57" s="26" t="s">
        <v>439</v>
      </c>
      <c r="K57" s="18" t="s">
        <v>509</v>
      </c>
      <c r="L57" s="27" t="n">
        <v>1.25</v>
      </c>
      <c r="M57" s="35" t="s">
        <v>386</v>
      </c>
      <c r="N57" s="18" t="s">
        <v>387</v>
      </c>
      <c r="O57" s="27" t="n">
        <v>1.25</v>
      </c>
      <c r="P57" s="15" t="n">
        <f aca="false">IF(A57="","",IF(O57&lt;&gt;"",O57,IF(L57&lt;&gt;"",L57,F57)))</f>
        <v>1.25</v>
      </c>
    </row>
    <row r="58" customFormat="false" ht="15" hidden="false" customHeight="true" outlineLevel="0" collapsed="false">
      <c r="A58" s="30" t="s">
        <v>18</v>
      </c>
      <c r="B58" s="30" t="s">
        <v>19</v>
      </c>
      <c r="C58" s="21" t="n">
        <f aca="false">IF(A58="","",IFERROR(VLOOKUP(A58,'Recert Status'!$A$8:$C$400,3,FALSE()),""))</f>
        <v>46752</v>
      </c>
      <c r="D58" s="31" t="s">
        <v>492</v>
      </c>
      <c r="E58" s="30" t="n">
        <v>29668</v>
      </c>
      <c r="F58" s="32" t="n">
        <v>1.5</v>
      </c>
      <c r="G58" s="33" t="n">
        <v>45973</v>
      </c>
      <c r="H58" s="33" t="n">
        <v>45973</v>
      </c>
      <c r="I58" s="31" t="s">
        <v>510</v>
      </c>
      <c r="J58" s="30" t="s">
        <v>511</v>
      </c>
      <c r="K58" s="31" t="s">
        <v>509</v>
      </c>
      <c r="L58" s="32" t="n">
        <v>1.5</v>
      </c>
      <c r="M58" s="35" t="s">
        <v>386</v>
      </c>
      <c r="N58" s="31" t="s">
        <v>387</v>
      </c>
      <c r="O58" s="32" t="n">
        <v>1.5</v>
      </c>
      <c r="P58" s="15" t="n">
        <f aca="false">IF(A58="","",IF(O58&lt;&gt;"",O58,IF(L58&lt;&gt;"",L58,F58)))</f>
        <v>1.5</v>
      </c>
    </row>
    <row r="59" customFormat="false" ht="15" hidden="false" customHeight="true" outlineLevel="0" collapsed="false">
      <c r="A59" s="26" t="s">
        <v>18</v>
      </c>
      <c r="B59" s="26" t="s">
        <v>19</v>
      </c>
      <c r="C59" s="14" t="n">
        <f aca="false">IF(A59="","",IFERROR(VLOOKUP(A59,'Recert Status'!$A$8:$C$400,3,FALSE()),""))</f>
        <v>46752</v>
      </c>
      <c r="D59" s="18" t="s">
        <v>512</v>
      </c>
      <c r="E59" s="26" t="n">
        <v>29675</v>
      </c>
      <c r="F59" s="27" t="n">
        <v>1</v>
      </c>
      <c r="G59" s="28" t="n">
        <v>45979</v>
      </c>
      <c r="H59" s="28" t="n">
        <v>45979</v>
      </c>
      <c r="I59" s="18" t="s">
        <v>513</v>
      </c>
      <c r="J59" s="26" t="s">
        <v>406</v>
      </c>
      <c r="K59" s="18" t="s">
        <v>407</v>
      </c>
      <c r="L59" s="27" t="n">
        <v>1</v>
      </c>
      <c r="M59" s="35" t="s">
        <v>386</v>
      </c>
      <c r="N59" s="18" t="s">
        <v>514</v>
      </c>
      <c r="O59" s="27" t="n">
        <v>1</v>
      </c>
      <c r="P59" s="15" t="n">
        <f aca="false">IF(A59="","",IF(O59&lt;&gt;"",O59,IF(L59&lt;&gt;"",L59,F59)))</f>
        <v>1</v>
      </c>
    </row>
    <row r="60" customFormat="false" ht="15" hidden="false" customHeight="true" outlineLevel="0" collapsed="false">
      <c r="A60" s="30" t="s">
        <v>18</v>
      </c>
      <c r="B60" s="30" t="s">
        <v>19</v>
      </c>
      <c r="C60" s="21" t="n">
        <f aca="false">IF(A60="","",IFERROR(VLOOKUP(A60,'Recert Status'!$A$8:$C$400,3,FALSE()),""))</f>
        <v>46752</v>
      </c>
      <c r="D60" s="31" t="s">
        <v>492</v>
      </c>
      <c r="E60" s="30" t="s">
        <v>452</v>
      </c>
      <c r="F60" s="32" t="n">
        <v>1.5</v>
      </c>
      <c r="G60" s="33" t="n">
        <v>45972</v>
      </c>
      <c r="H60" s="33" t="n">
        <v>45972</v>
      </c>
      <c r="I60" s="31" t="s">
        <v>515</v>
      </c>
      <c r="J60" s="30" t="s">
        <v>452</v>
      </c>
      <c r="K60" s="31" t="s">
        <v>385</v>
      </c>
      <c r="L60" s="32" t="n">
        <v>1.5</v>
      </c>
      <c r="M60" s="36" t="s">
        <v>396</v>
      </c>
      <c r="N60" s="31" t="s">
        <v>397</v>
      </c>
      <c r="O60" s="32" t="n">
        <v>1.5</v>
      </c>
      <c r="P60" s="15" t="n">
        <f aca="false">IF(A60="","",IF(O60&lt;&gt;"",O60,IF(L60&lt;&gt;"",L60,F60)))</f>
        <v>1.5</v>
      </c>
    </row>
    <row r="61" customFormat="false" ht="15" hidden="false" customHeight="true" outlineLevel="0" collapsed="false">
      <c r="A61" s="26" t="s">
        <v>18</v>
      </c>
      <c r="B61" s="26" t="s">
        <v>19</v>
      </c>
      <c r="C61" s="14" t="n">
        <f aca="false">IF(A61="","",IFERROR(VLOOKUP(A61,'Recert Status'!$A$8:$C$400,3,FALSE()),""))</f>
        <v>46752</v>
      </c>
      <c r="D61" s="18" t="s">
        <v>492</v>
      </c>
      <c r="E61" s="26" t="n">
        <v>29769</v>
      </c>
      <c r="F61" s="27" t="n">
        <v>1.5</v>
      </c>
      <c r="G61" s="28" t="n">
        <v>45973</v>
      </c>
      <c r="H61" s="28" t="n">
        <v>45973</v>
      </c>
      <c r="I61" s="18" t="s">
        <v>516</v>
      </c>
      <c r="J61" s="26" t="s">
        <v>517</v>
      </c>
      <c r="K61" s="18" t="s">
        <v>412</v>
      </c>
      <c r="L61" s="27" t="n">
        <v>1.5</v>
      </c>
      <c r="M61" s="36" t="s">
        <v>396</v>
      </c>
      <c r="N61" s="18" t="s">
        <v>397</v>
      </c>
      <c r="O61" s="27" t="n">
        <v>1.5</v>
      </c>
      <c r="P61" s="15" t="n">
        <f aca="false">IF(A61="","",IF(O61&lt;&gt;"",O61,IF(L61&lt;&gt;"",L61,F61)))</f>
        <v>1.5</v>
      </c>
    </row>
    <row r="62" customFormat="false" ht="15" hidden="false" customHeight="true" outlineLevel="0" collapsed="false">
      <c r="A62" s="30" t="s">
        <v>18</v>
      </c>
      <c r="B62" s="30" t="s">
        <v>19</v>
      </c>
      <c r="C62" s="21" t="n">
        <f aca="false">IF(A62="","",IFERROR(VLOOKUP(A62,'Recert Status'!$A$8:$C$400,3,FALSE()),""))</f>
        <v>46752</v>
      </c>
      <c r="D62" s="31" t="s">
        <v>518</v>
      </c>
      <c r="E62" s="30" t="s">
        <v>399</v>
      </c>
      <c r="F62" s="32" t="n">
        <v>1</v>
      </c>
      <c r="G62" s="33" t="n">
        <v>45979</v>
      </c>
      <c r="H62" s="33" t="n">
        <v>45979</v>
      </c>
      <c r="I62" s="31" t="s">
        <v>519</v>
      </c>
      <c r="J62" s="30" t="s">
        <v>399</v>
      </c>
      <c r="K62" s="31" t="s">
        <v>401</v>
      </c>
      <c r="L62" s="32" t="n">
        <v>1</v>
      </c>
      <c r="M62" s="37" t="s">
        <v>402</v>
      </c>
      <c r="N62" s="31" t="s">
        <v>403</v>
      </c>
      <c r="O62" s="32" t="n">
        <v>1</v>
      </c>
      <c r="P62" s="15" t="n">
        <f aca="false">IF(A62="","",IF(O62&lt;&gt;"",O62,IF(L62&lt;&gt;"",L62,F62)))</f>
        <v>1</v>
      </c>
    </row>
    <row r="63" customFormat="false" ht="15" hidden="false" customHeight="true" outlineLevel="0" collapsed="false">
      <c r="A63" s="26" t="s">
        <v>18</v>
      </c>
      <c r="B63" s="26" t="s">
        <v>19</v>
      </c>
      <c r="C63" s="14" t="n">
        <f aca="false">IF(A63="","",IFERROR(VLOOKUP(A63,'Recert Status'!$A$8:$C$400,3,FALSE()),""))</f>
        <v>46752</v>
      </c>
      <c r="D63" s="18" t="s">
        <v>492</v>
      </c>
      <c r="E63" s="26" t="s">
        <v>416</v>
      </c>
      <c r="F63" s="27" t="n">
        <v>1</v>
      </c>
      <c r="G63" s="28" t="n">
        <v>45972</v>
      </c>
      <c r="H63" s="28" t="n">
        <v>45972</v>
      </c>
      <c r="I63" s="18" t="s">
        <v>520</v>
      </c>
      <c r="J63" s="26" t="s">
        <v>416</v>
      </c>
      <c r="K63" s="18" t="s">
        <v>485</v>
      </c>
      <c r="L63" s="27" t="n">
        <v>1</v>
      </c>
      <c r="M63" s="39" t="s">
        <v>413</v>
      </c>
      <c r="N63" s="18" t="s">
        <v>414</v>
      </c>
      <c r="O63" s="27" t="n">
        <v>1</v>
      </c>
      <c r="P63" s="15" t="n">
        <f aca="false">IF(A63="","",IF(O63&lt;&gt;"",O63,IF(L63&lt;&gt;"",L63,F63)))</f>
        <v>1</v>
      </c>
    </row>
    <row r="64" customFormat="false" ht="15" hidden="false" customHeight="true" outlineLevel="0" collapsed="false">
      <c r="A64" s="30" t="s">
        <v>18</v>
      </c>
      <c r="B64" s="30" t="s">
        <v>19</v>
      </c>
      <c r="C64" s="21" t="n">
        <f aca="false">IF(A64="","",IFERROR(VLOOKUP(A64,'Recert Status'!$A$8:$C$400,3,FALSE()),""))</f>
        <v>46752</v>
      </c>
      <c r="D64" s="31" t="s">
        <v>492</v>
      </c>
      <c r="E64" s="30" t="s">
        <v>416</v>
      </c>
      <c r="F64" s="32" t="n">
        <v>1.25</v>
      </c>
      <c r="G64" s="33" t="n">
        <v>45972</v>
      </c>
      <c r="H64" s="33" t="n">
        <v>45972</v>
      </c>
      <c r="I64" s="31" t="s">
        <v>521</v>
      </c>
      <c r="J64" s="30" t="s">
        <v>416</v>
      </c>
      <c r="K64" s="31" t="s">
        <v>490</v>
      </c>
      <c r="L64" s="32" t="n">
        <v>1.25</v>
      </c>
      <c r="M64" s="39" t="s">
        <v>413</v>
      </c>
      <c r="N64" s="31" t="s">
        <v>414</v>
      </c>
      <c r="O64" s="32" t="n">
        <v>1.25</v>
      </c>
      <c r="P64" s="15" t="n">
        <f aca="false">IF(A64="","",IF(O64&lt;&gt;"",O64,IF(L64&lt;&gt;"",L64,F64)))</f>
        <v>1.25</v>
      </c>
    </row>
    <row r="65" customFormat="false" ht="15" hidden="false" customHeight="true" outlineLevel="0" collapsed="false">
      <c r="A65" s="26" t="s">
        <v>18</v>
      </c>
      <c r="B65" s="26" t="s">
        <v>19</v>
      </c>
      <c r="C65" s="14" t="n">
        <f aca="false">IF(A65="","",IFERROR(VLOOKUP(A65,'Recert Status'!$A$8:$C$400,3,FALSE()),""))</f>
        <v>46752</v>
      </c>
      <c r="D65" s="18" t="s">
        <v>492</v>
      </c>
      <c r="E65" s="26" t="s">
        <v>416</v>
      </c>
      <c r="F65" s="27" t="n">
        <v>1.5</v>
      </c>
      <c r="G65" s="28" t="n">
        <v>45972</v>
      </c>
      <c r="H65" s="28" t="n">
        <v>45972</v>
      </c>
      <c r="I65" s="18" t="s">
        <v>522</v>
      </c>
      <c r="J65" s="26" t="s">
        <v>416</v>
      </c>
      <c r="K65" s="18" t="s">
        <v>523</v>
      </c>
      <c r="L65" s="27" t="n">
        <v>1.5</v>
      </c>
      <c r="M65" s="39" t="s">
        <v>413</v>
      </c>
      <c r="N65" s="18" t="s">
        <v>414</v>
      </c>
      <c r="O65" s="27" t="n">
        <v>1.5</v>
      </c>
      <c r="P65" s="15" t="n">
        <f aca="false">IF(A65="","",IF(O65&lt;&gt;"",O65,IF(L65&lt;&gt;"",L65,F65)))</f>
        <v>1.5</v>
      </c>
    </row>
    <row r="66" customFormat="false" ht="15" hidden="false" customHeight="true" outlineLevel="0" collapsed="false">
      <c r="A66" s="30" t="s">
        <v>20</v>
      </c>
      <c r="B66" s="30" t="s">
        <v>21</v>
      </c>
      <c r="C66" s="21" t="n">
        <f aca="false">IF(A66="","",IFERROR(VLOOKUP(A66,'Recert Status'!$A$8:$C$400,3,FALSE()),""))</f>
        <v>46752</v>
      </c>
      <c r="D66" s="31" t="s">
        <v>524</v>
      </c>
      <c r="E66" s="30" t="s">
        <v>426</v>
      </c>
      <c r="F66" s="32" t="n">
        <v>0.5</v>
      </c>
      <c r="G66" s="33" t="n">
        <v>45881</v>
      </c>
      <c r="H66" s="33" t="n">
        <v>45881</v>
      </c>
      <c r="I66" s="31" t="s">
        <v>525</v>
      </c>
      <c r="J66" s="30" t="s">
        <v>426</v>
      </c>
      <c r="K66" s="31" t="s">
        <v>526</v>
      </c>
      <c r="L66" s="32" t="n">
        <v>0.5</v>
      </c>
      <c r="M66" s="41" t="s">
        <v>429</v>
      </c>
      <c r="N66" s="31" t="s">
        <v>430</v>
      </c>
      <c r="O66" s="32" t="n">
        <v>0.5</v>
      </c>
      <c r="P66" s="15" t="n">
        <f aca="false">IF(A66="","",IF(O66&lt;&gt;"",O66,IF(L66&lt;&gt;"",L66,F66)))</f>
        <v>0.5</v>
      </c>
    </row>
    <row r="67" customFormat="false" ht="15" hidden="false" customHeight="true" outlineLevel="0" collapsed="false">
      <c r="A67" s="26" t="s">
        <v>20</v>
      </c>
      <c r="B67" s="26" t="s">
        <v>21</v>
      </c>
      <c r="C67" s="14" t="n">
        <f aca="false">IF(A67="","",IFERROR(VLOOKUP(A67,'Recert Status'!$A$8:$C$400,3,FALSE()),""))</f>
        <v>46752</v>
      </c>
      <c r="D67" s="18" t="s">
        <v>425</v>
      </c>
      <c r="E67" s="26" t="s">
        <v>426</v>
      </c>
      <c r="F67" s="27" t="n">
        <v>2</v>
      </c>
      <c r="G67" s="28" t="n">
        <v>45929</v>
      </c>
      <c r="H67" s="28" t="n">
        <v>45929</v>
      </c>
      <c r="I67" s="18" t="s">
        <v>427</v>
      </c>
      <c r="J67" s="26" t="s">
        <v>426</v>
      </c>
      <c r="K67" s="18" t="s">
        <v>428</v>
      </c>
      <c r="L67" s="27" t="n">
        <v>2</v>
      </c>
      <c r="M67" s="41" t="s">
        <v>429</v>
      </c>
      <c r="N67" s="18" t="s">
        <v>430</v>
      </c>
      <c r="O67" s="27" t="n">
        <v>2</v>
      </c>
      <c r="P67" s="15" t="n">
        <f aca="false">IF(A67="","",IF(O67&lt;&gt;"",O67,IF(L67&lt;&gt;"",L67,F67)))</f>
        <v>2</v>
      </c>
    </row>
    <row r="68" customFormat="false" ht="15" hidden="false" customHeight="true" outlineLevel="0" collapsed="false">
      <c r="A68" s="30" t="s">
        <v>20</v>
      </c>
      <c r="B68" s="30" t="s">
        <v>21</v>
      </c>
      <c r="C68" s="21" t="n">
        <f aca="false">IF(A68="","",IFERROR(VLOOKUP(A68,'Recert Status'!$A$8:$C$400,3,FALSE()),""))</f>
        <v>46752</v>
      </c>
      <c r="D68" s="31" t="s">
        <v>527</v>
      </c>
      <c r="E68" s="30" t="n">
        <v>29784</v>
      </c>
      <c r="F68" s="32" t="n">
        <v>1</v>
      </c>
      <c r="G68" s="33" t="n">
        <v>45695</v>
      </c>
      <c r="H68" s="33" t="n">
        <v>45695</v>
      </c>
      <c r="I68" s="31" t="s">
        <v>528</v>
      </c>
      <c r="J68" s="30" t="s">
        <v>435</v>
      </c>
      <c r="K68" s="31" t="s">
        <v>529</v>
      </c>
      <c r="L68" s="32" t="n">
        <v>1</v>
      </c>
      <c r="M68" s="35" t="s">
        <v>386</v>
      </c>
      <c r="N68" s="31" t="s">
        <v>387</v>
      </c>
      <c r="O68" s="32" t="n">
        <v>1</v>
      </c>
      <c r="P68" s="15" t="n">
        <f aca="false">IF(A68="","",IF(O68&lt;&gt;"",O68,IF(L68&lt;&gt;"",L68,F68)))</f>
        <v>1</v>
      </c>
    </row>
    <row r="69" customFormat="false" ht="15" hidden="false" customHeight="true" outlineLevel="0" collapsed="false">
      <c r="A69" s="26" t="s">
        <v>20</v>
      </c>
      <c r="B69" s="26" t="s">
        <v>21</v>
      </c>
      <c r="C69" s="14" t="n">
        <f aca="false">IF(A69="","",IFERROR(VLOOKUP(A69,'Recert Status'!$A$8:$C$400,3,FALSE()),""))</f>
        <v>46752</v>
      </c>
      <c r="D69" s="18" t="s">
        <v>437</v>
      </c>
      <c r="E69" s="26" t="n">
        <v>29743</v>
      </c>
      <c r="F69" s="27" t="n">
        <v>1</v>
      </c>
      <c r="G69" s="28" t="n">
        <v>45833</v>
      </c>
      <c r="H69" s="28" t="n">
        <v>45833</v>
      </c>
      <c r="I69" s="18" t="s">
        <v>438</v>
      </c>
      <c r="J69" s="26" t="s">
        <v>439</v>
      </c>
      <c r="K69" s="18" t="s">
        <v>440</v>
      </c>
      <c r="L69" s="27" t="n">
        <v>1</v>
      </c>
      <c r="M69" s="35" t="s">
        <v>386</v>
      </c>
      <c r="N69" s="18" t="s">
        <v>387</v>
      </c>
      <c r="O69" s="27" t="n">
        <v>1</v>
      </c>
      <c r="P69" s="15" t="n">
        <f aca="false">IF(A69="","",IF(O69&lt;&gt;"",O69,IF(L69&lt;&gt;"",L69,F69)))</f>
        <v>1</v>
      </c>
    </row>
    <row r="70" customFormat="false" ht="15" hidden="false" customHeight="true" outlineLevel="0" collapsed="false">
      <c r="A70" s="30" t="s">
        <v>20</v>
      </c>
      <c r="B70" s="30" t="s">
        <v>21</v>
      </c>
      <c r="C70" s="21" t="n">
        <f aca="false">IF(A70="","",IFERROR(VLOOKUP(A70,'Recert Status'!$A$8:$C$400,3,FALSE()),""))</f>
        <v>46752</v>
      </c>
      <c r="D70" s="31" t="s">
        <v>441</v>
      </c>
      <c r="E70" s="30" t="n">
        <v>29743</v>
      </c>
      <c r="F70" s="32" t="n">
        <v>1</v>
      </c>
      <c r="G70" s="33" t="n">
        <v>45833</v>
      </c>
      <c r="H70" s="33" t="n">
        <v>45833</v>
      </c>
      <c r="I70" s="31" t="s">
        <v>442</v>
      </c>
      <c r="J70" s="30" t="s">
        <v>439</v>
      </c>
      <c r="K70" s="31" t="s">
        <v>443</v>
      </c>
      <c r="L70" s="32" t="n">
        <v>1</v>
      </c>
      <c r="M70" s="35" t="s">
        <v>386</v>
      </c>
      <c r="N70" s="31" t="s">
        <v>387</v>
      </c>
      <c r="O70" s="32" t="n">
        <v>1</v>
      </c>
      <c r="P70" s="15" t="n">
        <f aca="false">IF(A70="","",IF(O70&lt;&gt;"",O70,IF(L70&lt;&gt;"",L70,F70)))</f>
        <v>1</v>
      </c>
    </row>
    <row r="71" customFormat="false" ht="15" hidden="false" customHeight="true" outlineLevel="0" collapsed="false">
      <c r="A71" s="26" t="s">
        <v>20</v>
      </c>
      <c r="B71" s="26" t="s">
        <v>21</v>
      </c>
      <c r="C71" s="14" t="n">
        <f aca="false">IF(A71="","",IFERROR(VLOOKUP(A71,'Recert Status'!$A$8:$C$400,3,FALSE()),""))</f>
        <v>46752</v>
      </c>
      <c r="D71" s="18" t="s">
        <v>449</v>
      </c>
      <c r="E71" s="26" t="n">
        <v>29675</v>
      </c>
      <c r="F71" s="27" t="n">
        <v>0.5</v>
      </c>
      <c r="G71" s="28" t="n">
        <v>45995</v>
      </c>
      <c r="H71" s="28" t="n">
        <v>45995</v>
      </c>
      <c r="I71" s="18" t="s">
        <v>450</v>
      </c>
      <c r="J71" s="26" t="s">
        <v>406</v>
      </c>
      <c r="K71" s="18" t="s">
        <v>451</v>
      </c>
      <c r="L71" s="27" t="n">
        <v>0.5</v>
      </c>
      <c r="M71" s="35" t="s">
        <v>386</v>
      </c>
      <c r="N71" s="18" t="s">
        <v>387</v>
      </c>
      <c r="O71" s="27" t="n">
        <v>0.5</v>
      </c>
      <c r="P71" s="15" t="n">
        <f aca="false">IF(A71="","",IF(O71&lt;&gt;"",O71,IF(L71&lt;&gt;"",L71,F71)))</f>
        <v>0.5</v>
      </c>
    </row>
    <row r="72" customFormat="false" ht="15" hidden="false" customHeight="true" outlineLevel="0" collapsed="false">
      <c r="A72" s="30" t="s">
        <v>20</v>
      </c>
      <c r="B72" s="30" t="s">
        <v>21</v>
      </c>
      <c r="C72" s="21" t="n">
        <f aca="false">IF(A72="","",IFERROR(VLOOKUP(A72,'Recert Status'!$A$8:$C$400,3,FALSE()),""))</f>
        <v>46752</v>
      </c>
      <c r="D72" s="31" t="s">
        <v>387</v>
      </c>
      <c r="E72" s="30" t="s">
        <v>389</v>
      </c>
      <c r="F72" s="32" t="n">
        <v>1</v>
      </c>
      <c r="G72" s="33" t="n">
        <v>46274</v>
      </c>
      <c r="H72" s="33" t="n">
        <v>46274</v>
      </c>
      <c r="I72" s="31" t="s">
        <v>530</v>
      </c>
      <c r="J72" s="30" t="s">
        <v>389</v>
      </c>
      <c r="K72" s="31" t="s">
        <v>451</v>
      </c>
      <c r="L72" s="32" t="n">
        <v>1</v>
      </c>
      <c r="M72" s="35" t="s">
        <v>386</v>
      </c>
      <c r="N72" s="31" t="s">
        <v>387</v>
      </c>
      <c r="O72" s="32" t="n">
        <v>1</v>
      </c>
      <c r="P72" s="15" t="n">
        <f aca="false">IF(A72="","",IF(O72&lt;&gt;"",O72,IF(L72&lt;&gt;"",L72,F72)))</f>
        <v>1</v>
      </c>
    </row>
    <row r="73" customFormat="false" ht="15" hidden="false" customHeight="true" outlineLevel="0" collapsed="false">
      <c r="A73" s="26" t="s">
        <v>20</v>
      </c>
      <c r="B73" s="26" t="s">
        <v>21</v>
      </c>
      <c r="C73" s="14" t="n">
        <f aca="false">IF(A73="","",IFERROR(VLOOKUP(A73,'Recert Status'!$A$8:$C$400,3,FALSE()),""))</f>
        <v>46752</v>
      </c>
      <c r="D73" s="18" t="s">
        <v>531</v>
      </c>
      <c r="E73" s="26" t="s">
        <v>452</v>
      </c>
      <c r="F73" s="27" t="n">
        <v>1</v>
      </c>
      <c r="G73" s="28" t="n">
        <v>45983</v>
      </c>
      <c r="H73" s="28" t="n">
        <v>45983</v>
      </c>
      <c r="I73" s="18" t="s">
        <v>532</v>
      </c>
      <c r="J73" s="26" t="s">
        <v>452</v>
      </c>
      <c r="K73" s="18" t="s">
        <v>385</v>
      </c>
      <c r="L73" s="27" t="n">
        <v>1</v>
      </c>
      <c r="M73" s="36" t="s">
        <v>396</v>
      </c>
      <c r="N73" s="18" t="s">
        <v>397</v>
      </c>
      <c r="O73" s="27" t="n">
        <v>1</v>
      </c>
      <c r="P73" s="15" t="n">
        <f aca="false">IF(A73="","",IF(O73&lt;&gt;"",O73,IF(L73&lt;&gt;"",L73,F73)))</f>
        <v>1</v>
      </c>
    </row>
    <row r="74" customFormat="false" ht="15" hidden="false" customHeight="true" outlineLevel="0" collapsed="false">
      <c r="A74" s="30" t="s">
        <v>20</v>
      </c>
      <c r="B74" s="30" t="s">
        <v>21</v>
      </c>
      <c r="C74" s="21" t="n">
        <f aca="false">IF(A74="","",IFERROR(VLOOKUP(A74,'Recert Status'!$A$8:$C$400,3,FALSE()),""))</f>
        <v>46752</v>
      </c>
      <c r="D74" s="31" t="s">
        <v>457</v>
      </c>
      <c r="E74" s="30" t="s">
        <v>416</v>
      </c>
      <c r="F74" s="32" t="n">
        <v>2</v>
      </c>
      <c r="G74" s="33" t="n">
        <v>45860</v>
      </c>
      <c r="H74" s="33" t="n">
        <v>45860</v>
      </c>
      <c r="I74" s="31" t="s">
        <v>533</v>
      </c>
      <c r="J74" s="30" t="s">
        <v>416</v>
      </c>
      <c r="K74" s="31" t="s">
        <v>523</v>
      </c>
      <c r="L74" s="32" t="n">
        <v>2</v>
      </c>
      <c r="M74" s="39" t="s">
        <v>413</v>
      </c>
      <c r="N74" s="31" t="s">
        <v>414</v>
      </c>
      <c r="O74" s="32" t="n">
        <v>2</v>
      </c>
      <c r="P74" s="15" t="n">
        <f aca="false">IF(A74="","",IF(O74&lt;&gt;"",O74,IF(L74&lt;&gt;"",L74,F74)))</f>
        <v>2</v>
      </c>
    </row>
    <row r="75" customFormat="false" ht="15" hidden="false" customHeight="true" outlineLevel="0" collapsed="false">
      <c r="A75" s="26" t="s">
        <v>20</v>
      </c>
      <c r="B75" s="26" t="s">
        <v>21</v>
      </c>
      <c r="C75" s="14" t="n">
        <f aca="false">IF(A75="","",IFERROR(VLOOKUP(A75,'Recert Status'!$A$8:$C$400,3,FALSE()),""))</f>
        <v>46752</v>
      </c>
      <c r="D75" s="18" t="s">
        <v>488</v>
      </c>
      <c r="E75" s="26" t="s">
        <v>416</v>
      </c>
      <c r="F75" s="27" t="n">
        <v>1</v>
      </c>
      <c r="G75" s="28" t="n">
        <v>46127</v>
      </c>
      <c r="H75" s="28" t="n">
        <v>46127</v>
      </c>
      <c r="I75" s="18" t="s">
        <v>534</v>
      </c>
      <c r="J75" s="26" t="s">
        <v>416</v>
      </c>
      <c r="K75" s="18" t="s">
        <v>490</v>
      </c>
      <c r="L75" s="27" t="n">
        <v>1</v>
      </c>
      <c r="M75" s="39" t="s">
        <v>413</v>
      </c>
      <c r="N75" s="18" t="s">
        <v>414</v>
      </c>
      <c r="O75" s="27" t="n">
        <v>1</v>
      </c>
      <c r="P75" s="15" t="n">
        <f aca="false">IF(A75="","",IF(O75&lt;&gt;"",O75,IF(L75&lt;&gt;"",L75,F75)))</f>
        <v>1</v>
      </c>
    </row>
    <row r="76" customFormat="false" ht="15" hidden="false" customHeight="true" outlineLevel="0" collapsed="false">
      <c r="A76" s="30" t="s">
        <v>20</v>
      </c>
      <c r="B76" s="30" t="s">
        <v>21</v>
      </c>
      <c r="C76" s="21" t="n">
        <f aca="false">IF(A76="","",IFERROR(VLOOKUP(A76,'Recert Status'!$A$8:$C$400,3,FALSE()),""))</f>
        <v>46752</v>
      </c>
      <c r="D76" s="31" t="s">
        <v>414</v>
      </c>
      <c r="E76" s="30" t="s">
        <v>416</v>
      </c>
      <c r="F76" s="32" t="n">
        <v>2</v>
      </c>
      <c r="G76" s="33" t="n">
        <v>46217</v>
      </c>
      <c r="H76" s="33" t="n">
        <v>46217</v>
      </c>
      <c r="I76" s="31" t="s">
        <v>460</v>
      </c>
      <c r="J76" s="30" t="s">
        <v>416</v>
      </c>
      <c r="K76" s="31" t="s">
        <v>418</v>
      </c>
      <c r="L76" s="32" t="n">
        <v>2</v>
      </c>
      <c r="M76" s="39" t="s">
        <v>413</v>
      </c>
      <c r="N76" s="31" t="s">
        <v>414</v>
      </c>
      <c r="O76" s="32" t="n">
        <v>2</v>
      </c>
      <c r="P76" s="15" t="n">
        <f aca="false">IF(A76="","",IF(O76&lt;&gt;"",O76,IF(L76&lt;&gt;"",L76,F76)))</f>
        <v>2</v>
      </c>
    </row>
    <row r="77" customFormat="false" ht="15" hidden="false" customHeight="true" outlineLevel="0" collapsed="false">
      <c r="A77" s="26" t="s">
        <v>20</v>
      </c>
      <c r="B77" s="26" t="s">
        <v>21</v>
      </c>
      <c r="C77" s="14" t="n">
        <f aca="false">IF(A77="","",IFERROR(VLOOKUP(A77,'Recert Status'!$A$8:$C$400,3,FALSE()),""))</f>
        <v>46752</v>
      </c>
      <c r="D77" s="18" t="s">
        <v>414</v>
      </c>
      <c r="E77" s="26" t="s">
        <v>416</v>
      </c>
      <c r="F77" s="27" t="n">
        <v>2</v>
      </c>
      <c r="G77" s="28" t="n">
        <v>46218</v>
      </c>
      <c r="H77" s="28" t="n">
        <v>46218</v>
      </c>
      <c r="I77" s="18" t="s">
        <v>535</v>
      </c>
      <c r="J77" s="26" t="s">
        <v>416</v>
      </c>
      <c r="K77" s="18" t="s">
        <v>418</v>
      </c>
      <c r="L77" s="27" t="n">
        <v>2</v>
      </c>
      <c r="M77" s="39" t="s">
        <v>413</v>
      </c>
      <c r="N77" s="18" t="s">
        <v>414</v>
      </c>
      <c r="O77" s="27" t="n">
        <v>2</v>
      </c>
      <c r="P77" s="15" t="n">
        <f aca="false">IF(A77="","",IF(O77&lt;&gt;"",O77,IF(L77&lt;&gt;"",L77,F77)))</f>
        <v>2</v>
      </c>
    </row>
    <row r="78" customFormat="false" ht="15" hidden="false" customHeight="true" outlineLevel="0" collapsed="false">
      <c r="A78" s="30" t="s">
        <v>20</v>
      </c>
      <c r="B78" s="30" t="s">
        <v>21</v>
      </c>
      <c r="C78" s="21" t="n">
        <f aca="false">IF(A78="","",IFERROR(VLOOKUP(A78,'Recert Status'!$A$8:$C$400,3,FALSE()),""))</f>
        <v>46752</v>
      </c>
      <c r="D78" s="31" t="s">
        <v>414</v>
      </c>
      <c r="E78" s="30" t="s">
        <v>416</v>
      </c>
      <c r="F78" s="32" t="n">
        <v>1.5</v>
      </c>
      <c r="G78" s="33" t="n">
        <v>46241</v>
      </c>
      <c r="H78" s="33" t="n">
        <v>46241</v>
      </c>
      <c r="I78" s="31" t="s">
        <v>536</v>
      </c>
      <c r="J78" s="30" t="s">
        <v>416</v>
      </c>
      <c r="K78" s="31" t="s">
        <v>418</v>
      </c>
      <c r="L78" s="32" t="n">
        <v>1.5</v>
      </c>
      <c r="M78" s="39" t="s">
        <v>413</v>
      </c>
      <c r="N78" s="31" t="s">
        <v>414</v>
      </c>
      <c r="O78" s="32" t="n">
        <v>1.5</v>
      </c>
      <c r="P78" s="15" t="n">
        <f aca="false">IF(A78="","",IF(O78&lt;&gt;"",O78,IF(L78&lt;&gt;"",L78,F78)))</f>
        <v>1.5</v>
      </c>
    </row>
    <row r="79" customFormat="false" ht="15" hidden="false" customHeight="true" outlineLevel="0" collapsed="false">
      <c r="A79" s="26" t="s">
        <v>22</v>
      </c>
      <c r="B79" s="26" t="s">
        <v>23</v>
      </c>
      <c r="C79" s="14" t="n">
        <f aca="false">IF(A79="","",IFERROR(VLOOKUP(A79,'Recert Status'!$A$8:$C$400,3,FALSE()),""))</f>
        <v>46752</v>
      </c>
      <c r="D79" s="18" t="s">
        <v>537</v>
      </c>
      <c r="E79" s="26" t="s">
        <v>363</v>
      </c>
      <c r="F79" s="27" t="n">
        <v>1</v>
      </c>
      <c r="G79" s="28" t="n">
        <v>45853</v>
      </c>
      <c r="H79" s="28" t="n">
        <v>45853</v>
      </c>
      <c r="I79" s="18" t="s">
        <v>538</v>
      </c>
      <c r="J79" s="26" t="s">
        <v>363</v>
      </c>
      <c r="K79" s="18" t="s">
        <v>370</v>
      </c>
      <c r="L79" s="27" t="n">
        <v>1</v>
      </c>
      <c r="M79" s="29" t="s">
        <v>366</v>
      </c>
      <c r="N79" s="18" t="s">
        <v>367</v>
      </c>
      <c r="O79" s="27" t="n">
        <v>1</v>
      </c>
      <c r="P79" s="15" t="n">
        <f aca="false">IF(A79="","",IF(O79&lt;&gt;"",O79,IF(L79&lt;&gt;"",L79,F79)))</f>
        <v>1</v>
      </c>
    </row>
    <row r="80" customFormat="false" ht="15" hidden="false" customHeight="true" outlineLevel="0" collapsed="false">
      <c r="A80" s="30" t="s">
        <v>22</v>
      </c>
      <c r="B80" s="30" t="s">
        <v>23</v>
      </c>
      <c r="C80" s="21" t="n">
        <f aca="false">IF(A80="","",IFERROR(VLOOKUP(A80,'Recert Status'!$A$8:$C$400,3,FALSE()),""))</f>
        <v>46752</v>
      </c>
      <c r="D80" s="31" t="s">
        <v>539</v>
      </c>
      <c r="E80" s="30" t="s">
        <v>363</v>
      </c>
      <c r="F80" s="32" t="n">
        <v>1</v>
      </c>
      <c r="G80" s="33" t="n">
        <v>46216</v>
      </c>
      <c r="H80" s="33" t="n">
        <v>46216</v>
      </c>
      <c r="I80" s="31" t="s">
        <v>540</v>
      </c>
      <c r="J80" s="30" t="s">
        <v>363</v>
      </c>
      <c r="K80" s="31" t="s">
        <v>365</v>
      </c>
      <c r="L80" s="32" t="n">
        <v>1</v>
      </c>
      <c r="M80" s="29" t="s">
        <v>366</v>
      </c>
      <c r="N80" s="31" t="s">
        <v>367</v>
      </c>
      <c r="O80" s="32" t="n">
        <v>1</v>
      </c>
      <c r="P80" s="15" t="n">
        <f aca="false">IF(A80="","",IF(O80&lt;&gt;"",O80,IF(L80&lt;&gt;"",L80,F80)))</f>
        <v>1</v>
      </c>
    </row>
    <row r="81" customFormat="false" ht="15" hidden="false" customHeight="true" outlineLevel="0" collapsed="false">
      <c r="A81" s="26" t="s">
        <v>22</v>
      </c>
      <c r="B81" s="26" t="s">
        <v>23</v>
      </c>
      <c r="C81" s="14" t="n">
        <f aca="false">IF(A81="","",IFERROR(VLOOKUP(A81,'Recert Status'!$A$8:$C$400,3,FALSE()),""))</f>
        <v>46752</v>
      </c>
      <c r="D81" s="18" t="s">
        <v>541</v>
      </c>
      <c r="E81" s="26" t="s">
        <v>542</v>
      </c>
      <c r="F81" s="27" t="n">
        <v>1</v>
      </c>
      <c r="G81" s="28" t="n">
        <v>45811</v>
      </c>
      <c r="H81" s="28" t="n">
        <v>45811</v>
      </c>
      <c r="I81" s="18" t="s">
        <v>543</v>
      </c>
      <c r="J81" s="26" t="s">
        <v>542</v>
      </c>
      <c r="K81" s="18" t="s">
        <v>422</v>
      </c>
      <c r="L81" s="27" t="n">
        <v>1</v>
      </c>
      <c r="M81" s="40" t="s">
        <v>423</v>
      </c>
      <c r="N81" s="18" t="s">
        <v>424</v>
      </c>
      <c r="O81" s="27" t="n">
        <v>1</v>
      </c>
      <c r="P81" s="15" t="n">
        <f aca="false">IF(A81="","",IF(O81&lt;&gt;"",O81,IF(L81&lt;&gt;"",L81,F81)))</f>
        <v>1</v>
      </c>
    </row>
    <row r="82" customFormat="false" ht="15" hidden="false" customHeight="true" outlineLevel="0" collapsed="false">
      <c r="A82" s="30" t="s">
        <v>22</v>
      </c>
      <c r="B82" s="30" t="s">
        <v>23</v>
      </c>
      <c r="C82" s="21" t="n">
        <f aca="false">IF(A82="","",IFERROR(VLOOKUP(A82,'Recert Status'!$A$8:$C$400,3,FALSE()),""))</f>
        <v>46752</v>
      </c>
      <c r="D82" s="31" t="s">
        <v>544</v>
      </c>
      <c r="E82" s="30" t="s">
        <v>426</v>
      </c>
      <c r="F82" s="32" t="n">
        <v>0.5</v>
      </c>
      <c r="G82" s="33" t="n">
        <v>45676</v>
      </c>
      <c r="H82" s="33" t="n">
        <v>45676</v>
      </c>
      <c r="I82" s="31" t="s">
        <v>545</v>
      </c>
      <c r="J82" s="30" t="s">
        <v>426</v>
      </c>
      <c r="K82" s="31" t="s">
        <v>428</v>
      </c>
      <c r="L82" s="32" t="n">
        <v>0.5</v>
      </c>
      <c r="M82" s="41" t="s">
        <v>429</v>
      </c>
      <c r="N82" s="31" t="s">
        <v>430</v>
      </c>
      <c r="O82" s="32" t="n">
        <v>0.5</v>
      </c>
      <c r="P82" s="15" t="n">
        <f aca="false">IF(A82="","",IF(O82&lt;&gt;"",O82,IF(L82&lt;&gt;"",L82,F82)))</f>
        <v>0.5</v>
      </c>
    </row>
    <row r="83" customFormat="false" ht="15" hidden="false" customHeight="true" outlineLevel="0" collapsed="false">
      <c r="A83" s="26" t="s">
        <v>22</v>
      </c>
      <c r="B83" s="26" t="s">
        <v>23</v>
      </c>
      <c r="C83" s="14" t="n">
        <f aca="false">IF(A83="","",IFERROR(VLOOKUP(A83,'Recert Status'!$A$8:$C$400,3,FALSE()),""))</f>
        <v>46752</v>
      </c>
      <c r="D83" s="18" t="s">
        <v>546</v>
      </c>
      <c r="E83" s="26" t="s">
        <v>426</v>
      </c>
      <c r="F83" s="27" t="n">
        <v>1</v>
      </c>
      <c r="G83" s="28" t="n">
        <v>45850</v>
      </c>
      <c r="H83" s="28" t="n">
        <v>45850</v>
      </c>
      <c r="I83" s="18" t="s">
        <v>547</v>
      </c>
      <c r="J83" s="26" t="s">
        <v>426</v>
      </c>
      <c r="K83" s="18" t="s">
        <v>428</v>
      </c>
      <c r="L83" s="27" t="n">
        <v>1</v>
      </c>
      <c r="M83" s="41" t="s">
        <v>429</v>
      </c>
      <c r="N83" s="18" t="s">
        <v>430</v>
      </c>
      <c r="O83" s="27" t="n">
        <v>1</v>
      </c>
      <c r="P83" s="15" t="n">
        <f aca="false">IF(A83="","",IF(O83&lt;&gt;"",O83,IF(L83&lt;&gt;"",L83,F83)))</f>
        <v>1</v>
      </c>
    </row>
    <row r="84" customFormat="false" ht="15" hidden="false" customHeight="true" outlineLevel="0" collapsed="false">
      <c r="A84" s="30" t="s">
        <v>22</v>
      </c>
      <c r="B84" s="30" t="s">
        <v>23</v>
      </c>
      <c r="C84" s="21" t="n">
        <f aca="false">IF(A84="","",IFERROR(VLOOKUP(A84,'Recert Status'!$A$8:$C$400,3,FALSE()),""))</f>
        <v>46752</v>
      </c>
      <c r="D84" s="31" t="s">
        <v>548</v>
      </c>
      <c r="E84" s="30" t="s">
        <v>426</v>
      </c>
      <c r="F84" s="32" t="n">
        <v>2</v>
      </c>
      <c r="G84" s="33" t="n">
        <v>45979</v>
      </c>
      <c r="H84" s="33" t="n">
        <v>45979</v>
      </c>
      <c r="I84" s="31" t="s">
        <v>549</v>
      </c>
      <c r="J84" s="30" t="s">
        <v>426</v>
      </c>
      <c r="K84" s="31" t="s">
        <v>428</v>
      </c>
      <c r="L84" s="32" t="n">
        <v>2</v>
      </c>
      <c r="M84" s="41" t="s">
        <v>429</v>
      </c>
      <c r="N84" s="31" t="s">
        <v>430</v>
      </c>
      <c r="O84" s="32" t="n">
        <v>2</v>
      </c>
      <c r="P84" s="15" t="n">
        <f aca="false">IF(A84="","",IF(O84&lt;&gt;"",O84,IF(L84&lt;&gt;"",L84,F84)))</f>
        <v>2</v>
      </c>
    </row>
    <row r="85" customFormat="false" ht="15" hidden="false" customHeight="true" outlineLevel="0" collapsed="false">
      <c r="A85" s="26" t="s">
        <v>22</v>
      </c>
      <c r="B85" s="26" t="s">
        <v>23</v>
      </c>
      <c r="C85" s="14" t="n">
        <f aca="false">IF(A85="","",IFERROR(VLOOKUP(A85,'Recert Status'!$A$8:$C$400,3,FALSE()),""))</f>
        <v>46752</v>
      </c>
      <c r="D85" s="18" t="s">
        <v>430</v>
      </c>
      <c r="E85" s="26" t="s">
        <v>426</v>
      </c>
      <c r="F85" s="27" t="n">
        <v>1</v>
      </c>
      <c r="G85" s="28" t="n">
        <v>46246</v>
      </c>
      <c r="H85" s="28" t="n">
        <v>46246</v>
      </c>
      <c r="I85" s="18" t="s">
        <v>550</v>
      </c>
      <c r="J85" s="26" t="s">
        <v>426</v>
      </c>
      <c r="K85" s="18" t="s">
        <v>428</v>
      </c>
      <c r="L85" s="27" t="n">
        <v>1</v>
      </c>
      <c r="M85" s="41" t="s">
        <v>429</v>
      </c>
      <c r="N85" s="18" t="s">
        <v>430</v>
      </c>
      <c r="O85" s="27" t="n">
        <v>1</v>
      </c>
      <c r="P85" s="15" t="n">
        <f aca="false">IF(A85="","",IF(O85&lt;&gt;"",O85,IF(L85&lt;&gt;"",L85,F85)))</f>
        <v>1</v>
      </c>
    </row>
    <row r="86" customFormat="false" ht="15" hidden="false" customHeight="true" outlineLevel="0" collapsed="false">
      <c r="A86" s="30" t="s">
        <v>22</v>
      </c>
      <c r="B86" s="30" t="s">
        <v>23</v>
      </c>
      <c r="C86" s="21" t="n">
        <f aca="false">IF(A86="","",IFERROR(VLOOKUP(A86,'Recert Status'!$A$8:$C$400,3,FALSE()),""))</f>
        <v>46752</v>
      </c>
      <c r="D86" s="31" t="s">
        <v>551</v>
      </c>
      <c r="E86" s="30" t="s">
        <v>372</v>
      </c>
      <c r="F86" s="32" t="n">
        <v>1</v>
      </c>
      <c r="G86" s="33" t="n">
        <v>45760</v>
      </c>
      <c r="H86" s="33" t="n">
        <v>45760</v>
      </c>
      <c r="I86" s="31" t="s">
        <v>552</v>
      </c>
      <c r="J86" s="30" t="s">
        <v>372</v>
      </c>
      <c r="K86" s="31" t="s">
        <v>374</v>
      </c>
      <c r="L86" s="32" t="n">
        <v>1</v>
      </c>
      <c r="M86" s="34" t="s">
        <v>375</v>
      </c>
      <c r="N86" s="31" t="s">
        <v>376</v>
      </c>
      <c r="O86" s="32" t="n">
        <v>1</v>
      </c>
      <c r="P86" s="15" t="n">
        <f aca="false">IF(A86="","",IF(O86&lt;&gt;"",O86,IF(L86&lt;&gt;"",L86,F86)))</f>
        <v>1</v>
      </c>
    </row>
    <row r="87" customFormat="false" ht="15" hidden="false" customHeight="true" outlineLevel="0" collapsed="false">
      <c r="A87" s="26" t="s">
        <v>22</v>
      </c>
      <c r="B87" s="26" t="s">
        <v>23</v>
      </c>
      <c r="C87" s="14" t="n">
        <f aca="false">IF(A87="","",IFERROR(VLOOKUP(A87,'Recert Status'!$A$8:$C$400,3,FALSE()),""))</f>
        <v>46752</v>
      </c>
      <c r="D87" s="18" t="s">
        <v>382</v>
      </c>
      <c r="E87" s="26" t="n">
        <v>35513</v>
      </c>
      <c r="F87" s="27" t="n">
        <v>2</v>
      </c>
      <c r="G87" s="28" t="n">
        <v>45883</v>
      </c>
      <c r="H87" s="28" t="n">
        <v>45883</v>
      </c>
      <c r="I87" s="18" t="s">
        <v>383</v>
      </c>
      <c r="J87" s="26" t="s">
        <v>384</v>
      </c>
      <c r="K87" s="18" t="s">
        <v>385</v>
      </c>
      <c r="L87" s="27" t="n">
        <v>2</v>
      </c>
      <c r="M87" s="35" t="s">
        <v>386</v>
      </c>
      <c r="N87" s="18" t="s">
        <v>387</v>
      </c>
      <c r="O87" s="27" t="n">
        <v>2</v>
      </c>
      <c r="P87" s="15" t="n">
        <f aca="false">IF(A87="","",IF(O87&lt;&gt;"",O87,IF(L87&lt;&gt;"",L87,F87)))</f>
        <v>2</v>
      </c>
    </row>
    <row r="88" customFormat="false" ht="15" hidden="false" customHeight="true" outlineLevel="0" collapsed="false">
      <c r="A88" s="30" t="s">
        <v>22</v>
      </c>
      <c r="B88" s="30" t="s">
        <v>23</v>
      </c>
      <c r="C88" s="21" t="n">
        <f aca="false">IF(A88="","",IFERROR(VLOOKUP(A88,'Recert Status'!$A$8:$C$400,3,FALSE()),""))</f>
        <v>46752</v>
      </c>
      <c r="D88" s="31" t="s">
        <v>382</v>
      </c>
      <c r="E88" s="30" t="n">
        <v>35513</v>
      </c>
      <c r="F88" s="32" t="n">
        <v>2</v>
      </c>
      <c r="G88" s="33" t="n">
        <v>45883</v>
      </c>
      <c r="H88" s="33" t="n">
        <v>45883</v>
      </c>
      <c r="I88" s="31" t="s">
        <v>553</v>
      </c>
      <c r="J88" s="30" t="s">
        <v>384</v>
      </c>
      <c r="K88" s="31" t="s">
        <v>385</v>
      </c>
      <c r="L88" s="32" t="n">
        <v>2</v>
      </c>
      <c r="M88" s="35" t="s">
        <v>386</v>
      </c>
      <c r="N88" s="31" t="s">
        <v>387</v>
      </c>
      <c r="O88" s="32" t="n">
        <v>2</v>
      </c>
      <c r="P88" s="15" t="n">
        <f aca="false">IF(A88="","",IF(O88&lt;&gt;"",O88,IF(L88&lt;&gt;"",L88,F88)))</f>
        <v>2</v>
      </c>
    </row>
    <row r="89" customFormat="false" ht="15" hidden="false" customHeight="true" outlineLevel="0" collapsed="false">
      <c r="A89" s="26" t="s">
        <v>22</v>
      </c>
      <c r="B89" s="26" t="s">
        <v>23</v>
      </c>
      <c r="C89" s="14" t="n">
        <f aca="false">IF(A89="","",IFERROR(VLOOKUP(A89,'Recert Status'!$A$8:$C$400,3,FALSE()),""))</f>
        <v>46752</v>
      </c>
      <c r="D89" s="18" t="s">
        <v>554</v>
      </c>
      <c r="E89" s="26" t="n">
        <v>29668</v>
      </c>
      <c r="F89" s="27" t="n">
        <v>1.5</v>
      </c>
      <c r="G89" s="28" t="n">
        <v>45973</v>
      </c>
      <c r="H89" s="28" t="n">
        <v>45973</v>
      </c>
      <c r="I89" s="18" t="s">
        <v>555</v>
      </c>
      <c r="J89" s="26" t="s">
        <v>511</v>
      </c>
      <c r="K89" s="18" t="s">
        <v>509</v>
      </c>
      <c r="L89" s="27" t="n">
        <v>1.5</v>
      </c>
      <c r="M89" s="35" t="s">
        <v>386</v>
      </c>
      <c r="N89" s="18" t="s">
        <v>387</v>
      </c>
      <c r="O89" s="27" t="n">
        <v>1.5</v>
      </c>
      <c r="P89" s="15" t="n">
        <f aca="false">IF(A89="","",IF(O89&lt;&gt;"",O89,IF(L89&lt;&gt;"",L89,F89)))</f>
        <v>1.5</v>
      </c>
    </row>
    <row r="90" customFormat="false" ht="15" hidden="false" customHeight="true" outlineLevel="0" collapsed="false">
      <c r="A90" s="30" t="s">
        <v>22</v>
      </c>
      <c r="B90" s="30" t="s">
        <v>23</v>
      </c>
      <c r="C90" s="21" t="n">
        <f aca="false">IF(A90="","",IFERROR(VLOOKUP(A90,'Recert Status'!$A$8:$C$400,3,FALSE()),""))</f>
        <v>46752</v>
      </c>
      <c r="D90" s="31" t="s">
        <v>474</v>
      </c>
      <c r="E90" s="30" t="s">
        <v>389</v>
      </c>
      <c r="F90" s="32" t="n">
        <v>1</v>
      </c>
      <c r="G90" s="33" t="n">
        <v>46204</v>
      </c>
      <c r="H90" s="33" t="n">
        <v>46204</v>
      </c>
      <c r="I90" s="31" t="s">
        <v>475</v>
      </c>
      <c r="J90" s="30" t="s">
        <v>389</v>
      </c>
      <c r="K90" s="31" t="s">
        <v>476</v>
      </c>
      <c r="L90" s="32" t="n">
        <v>1</v>
      </c>
      <c r="M90" s="35" t="s">
        <v>386</v>
      </c>
      <c r="N90" s="31" t="s">
        <v>387</v>
      </c>
      <c r="O90" s="32" t="n">
        <v>1</v>
      </c>
      <c r="P90" s="15" t="n">
        <f aca="false">IF(A90="","",IF(O90&lt;&gt;"",O90,IF(L90&lt;&gt;"",L90,F90)))</f>
        <v>1</v>
      </c>
    </row>
    <row r="91" customFormat="false" ht="15" hidden="false" customHeight="true" outlineLevel="0" collapsed="false">
      <c r="A91" s="26" t="s">
        <v>22</v>
      </c>
      <c r="B91" s="26" t="s">
        <v>23</v>
      </c>
      <c r="C91" s="14" t="n">
        <f aca="false">IF(A91="","",IFERROR(VLOOKUP(A91,'Recert Status'!$A$8:$C$400,3,FALSE()),""))</f>
        <v>46752</v>
      </c>
      <c r="D91" s="18" t="s">
        <v>387</v>
      </c>
      <c r="E91" s="26" t="s">
        <v>389</v>
      </c>
      <c r="F91" s="27" t="n">
        <v>1</v>
      </c>
      <c r="G91" s="28" t="n">
        <v>46276</v>
      </c>
      <c r="H91" s="28" t="n">
        <v>46276</v>
      </c>
      <c r="I91" s="18" t="s">
        <v>556</v>
      </c>
      <c r="J91" s="26" t="s">
        <v>389</v>
      </c>
      <c r="K91" s="18" t="s">
        <v>395</v>
      </c>
      <c r="L91" s="27" t="n">
        <v>1</v>
      </c>
      <c r="M91" s="35" t="s">
        <v>386</v>
      </c>
      <c r="N91" s="18" t="s">
        <v>387</v>
      </c>
      <c r="O91" s="27" t="n">
        <v>1</v>
      </c>
      <c r="P91" s="15" t="n">
        <f aca="false">IF(A91="","",IF(O91&lt;&gt;"",O91,IF(L91&lt;&gt;"",L91,F91)))</f>
        <v>1</v>
      </c>
    </row>
    <row r="92" customFormat="false" ht="15" hidden="false" customHeight="true" outlineLevel="0" collapsed="false">
      <c r="A92" s="30" t="s">
        <v>22</v>
      </c>
      <c r="B92" s="30" t="s">
        <v>23</v>
      </c>
      <c r="C92" s="21" t="n">
        <f aca="false">IF(A92="","",IFERROR(VLOOKUP(A92,'Recert Status'!$A$8:$C$400,3,FALSE()),""))</f>
        <v>46752</v>
      </c>
      <c r="D92" s="31" t="s">
        <v>557</v>
      </c>
      <c r="E92" s="30" t="n">
        <v>35513</v>
      </c>
      <c r="F92" s="32" t="n">
        <v>1</v>
      </c>
      <c r="G92" s="33" t="n">
        <v>45688</v>
      </c>
      <c r="H92" s="33" t="n">
        <v>45688</v>
      </c>
      <c r="I92" s="31" t="s">
        <v>558</v>
      </c>
      <c r="J92" s="30" t="s">
        <v>384</v>
      </c>
      <c r="K92" s="31" t="s">
        <v>407</v>
      </c>
      <c r="L92" s="32" t="n">
        <v>1</v>
      </c>
      <c r="M92" s="36" t="s">
        <v>396</v>
      </c>
      <c r="N92" s="31" t="s">
        <v>397</v>
      </c>
      <c r="O92" s="32" t="n">
        <v>1</v>
      </c>
      <c r="P92" s="15" t="n">
        <f aca="false">IF(A92="","",IF(O92&lt;&gt;"",O92,IF(L92&lt;&gt;"",L92,F92)))</f>
        <v>1</v>
      </c>
    </row>
    <row r="93" customFormat="false" ht="15" hidden="false" customHeight="true" outlineLevel="0" collapsed="false">
      <c r="A93" s="26" t="s">
        <v>22</v>
      </c>
      <c r="B93" s="26" t="s">
        <v>23</v>
      </c>
      <c r="C93" s="14" t="n">
        <f aca="false">IF(A93="","",IFERROR(VLOOKUP(A93,'Recert Status'!$A$8:$C$400,3,FALSE()),""))</f>
        <v>46752</v>
      </c>
      <c r="D93" s="18" t="s">
        <v>559</v>
      </c>
      <c r="E93" s="26" t="n">
        <v>35513</v>
      </c>
      <c r="F93" s="27" t="n">
        <v>1</v>
      </c>
      <c r="G93" s="28" t="n">
        <v>45854</v>
      </c>
      <c r="H93" s="28" t="n">
        <v>45854</v>
      </c>
      <c r="I93" s="18" t="s">
        <v>559</v>
      </c>
      <c r="J93" s="26" t="s">
        <v>384</v>
      </c>
      <c r="K93" s="18" t="s">
        <v>385</v>
      </c>
      <c r="L93" s="27" t="n">
        <v>1</v>
      </c>
      <c r="M93" s="36" t="s">
        <v>396</v>
      </c>
      <c r="N93" s="18" t="s">
        <v>397</v>
      </c>
      <c r="O93" s="27" t="n">
        <v>1</v>
      </c>
      <c r="P93" s="15" t="n">
        <f aca="false">IF(A93="","",IF(O93&lt;&gt;"",O93,IF(L93&lt;&gt;"",L93,F93)))</f>
        <v>1</v>
      </c>
    </row>
    <row r="94" customFormat="false" ht="15" hidden="false" customHeight="true" outlineLevel="0" collapsed="false">
      <c r="A94" s="30" t="s">
        <v>22</v>
      </c>
      <c r="B94" s="30" t="s">
        <v>23</v>
      </c>
      <c r="C94" s="21" t="n">
        <f aca="false">IF(A94="","",IFERROR(VLOOKUP(A94,'Recert Status'!$A$8:$C$400,3,FALSE()),""))</f>
        <v>46752</v>
      </c>
      <c r="D94" s="31" t="s">
        <v>560</v>
      </c>
      <c r="E94" s="30" t="s">
        <v>452</v>
      </c>
      <c r="F94" s="32" t="n">
        <v>1</v>
      </c>
      <c r="G94" s="33" t="n">
        <v>46120</v>
      </c>
      <c r="H94" s="33" t="n">
        <v>46120</v>
      </c>
      <c r="I94" s="31" t="s">
        <v>561</v>
      </c>
      <c r="J94" s="30" t="s">
        <v>452</v>
      </c>
      <c r="K94" s="31" t="s">
        <v>385</v>
      </c>
      <c r="L94" s="32" t="n">
        <v>1</v>
      </c>
      <c r="M94" s="36" t="s">
        <v>396</v>
      </c>
      <c r="N94" s="31" t="s">
        <v>397</v>
      </c>
      <c r="O94" s="32" t="n">
        <v>1</v>
      </c>
      <c r="P94" s="15" t="n">
        <f aca="false">IF(A94="","",IF(O94&lt;&gt;"",O94,IF(L94&lt;&gt;"",L94,F94)))</f>
        <v>1</v>
      </c>
    </row>
    <row r="95" customFormat="false" ht="15" hidden="false" customHeight="true" outlineLevel="0" collapsed="false">
      <c r="A95" s="26" t="s">
        <v>22</v>
      </c>
      <c r="B95" s="26" t="s">
        <v>23</v>
      </c>
      <c r="C95" s="14" t="n">
        <f aca="false">IF(A95="","",IFERROR(VLOOKUP(A95,'Recert Status'!$A$8:$C$400,3,FALSE()),""))</f>
        <v>46752</v>
      </c>
      <c r="D95" s="18" t="s">
        <v>397</v>
      </c>
      <c r="E95" s="26" t="s">
        <v>452</v>
      </c>
      <c r="F95" s="27" t="n">
        <v>1</v>
      </c>
      <c r="G95" s="28" t="n">
        <v>46246</v>
      </c>
      <c r="H95" s="28" t="n">
        <v>46246</v>
      </c>
      <c r="I95" s="18" t="s">
        <v>478</v>
      </c>
      <c r="J95" s="26" t="s">
        <v>452</v>
      </c>
      <c r="K95" s="18" t="s">
        <v>385</v>
      </c>
      <c r="L95" s="27" t="n">
        <v>1</v>
      </c>
      <c r="M95" s="36" t="s">
        <v>396</v>
      </c>
      <c r="N95" s="18" t="s">
        <v>397</v>
      </c>
      <c r="O95" s="27" t="n">
        <v>1</v>
      </c>
      <c r="P95" s="15" t="n">
        <f aca="false">IF(A95="","",IF(O95&lt;&gt;"",O95,IF(L95&lt;&gt;"",L95,F95)))</f>
        <v>1</v>
      </c>
    </row>
    <row r="96" customFormat="false" ht="15" hidden="false" customHeight="true" outlineLevel="0" collapsed="false">
      <c r="A96" s="30" t="s">
        <v>22</v>
      </c>
      <c r="B96" s="30" t="s">
        <v>23</v>
      </c>
      <c r="C96" s="21" t="n">
        <f aca="false">IF(A96="","",IFERROR(VLOOKUP(A96,'Recert Status'!$A$8:$C$400,3,FALSE()),""))</f>
        <v>46752</v>
      </c>
      <c r="D96" s="31" t="s">
        <v>562</v>
      </c>
      <c r="E96" s="30" t="n">
        <v>29675</v>
      </c>
      <c r="F96" s="32" t="n">
        <v>1</v>
      </c>
      <c r="G96" s="33" t="n">
        <v>45760</v>
      </c>
      <c r="H96" s="33" t="n">
        <v>45760</v>
      </c>
      <c r="I96" s="31" t="s">
        <v>563</v>
      </c>
      <c r="J96" s="30" t="s">
        <v>406</v>
      </c>
      <c r="K96" s="31" t="s">
        <v>401</v>
      </c>
      <c r="L96" s="32" t="n">
        <v>1</v>
      </c>
      <c r="M96" s="37" t="s">
        <v>402</v>
      </c>
      <c r="N96" s="31" t="s">
        <v>403</v>
      </c>
      <c r="O96" s="32" t="n">
        <v>1</v>
      </c>
      <c r="P96" s="15" t="n">
        <f aca="false">IF(A96="","",IF(O96&lt;&gt;"",O96,IF(L96&lt;&gt;"",L96,F96)))</f>
        <v>1</v>
      </c>
    </row>
    <row r="97" customFormat="false" ht="15" hidden="false" customHeight="true" outlineLevel="0" collapsed="false">
      <c r="A97" s="26" t="s">
        <v>22</v>
      </c>
      <c r="B97" s="26" t="s">
        <v>23</v>
      </c>
      <c r="C97" s="14" t="n">
        <f aca="false">IF(A97="","",IFERROR(VLOOKUP(A97,'Recert Status'!$A$8:$C$400,3,FALSE()),""))</f>
        <v>46752</v>
      </c>
      <c r="D97" s="18" t="s">
        <v>541</v>
      </c>
      <c r="E97" s="26" t="s">
        <v>416</v>
      </c>
      <c r="F97" s="27" t="n">
        <v>0.5</v>
      </c>
      <c r="G97" s="28" t="n">
        <v>45676</v>
      </c>
      <c r="H97" s="28" t="n">
        <v>45676</v>
      </c>
      <c r="I97" s="18" t="s">
        <v>564</v>
      </c>
      <c r="J97" s="26" t="s">
        <v>416</v>
      </c>
      <c r="K97" s="18" t="s">
        <v>485</v>
      </c>
      <c r="L97" s="27" t="n">
        <v>0.5</v>
      </c>
      <c r="M97" s="39" t="s">
        <v>413</v>
      </c>
      <c r="N97" s="18" t="s">
        <v>414</v>
      </c>
      <c r="O97" s="27" t="n">
        <v>0.5</v>
      </c>
      <c r="P97" s="15" t="n">
        <f aca="false">IF(A97="","",IF(O97&lt;&gt;"",O97,IF(L97&lt;&gt;"",L97,F97)))</f>
        <v>0.5</v>
      </c>
    </row>
    <row r="98" customFormat="false" ht="15" hidden="false" customHeight="true" outlineLevel="0" collapsed="false">
      <c r="A98" s="30" t="s">
        <v>22</v>
      </c>
      <c r="B98" s="30" t="s">
        <v>23</v>
      </c>
      <c r="C98" s="21" t="n">
        <f aca="false">IF(A98="","",IFERROR(VLOOKUP(A98,'Recert Status'!$A$8:$C$400,3,FALSE()),""))</f>
        <v>46752</v>
      </c>
      <c r="D98" s="31" t="s">
        <v>565</v>
      </c>
      <c r="E98" s="30" t="s">
        <v>416</v>
      </c>
      <c r="F98" s="32" t="n">
        <v>1</v>
      </c>
      <c r="G98" s="33" t="n">
        <v>45826</v>
      </c>
      <c r="H98" s="33" t="n">
        <v>45826</v>
      </c>
      <c r="I98" s="31" t="s">
        <v>566</v>
      </c>
      <c r="J98" s="30" t="s">
        <v>416</v>
      </c>
      <c r="K98" s="31" t="s">
        <v>485</v>
      </c>
      <c r="L98" s="32" t="n">
        <v>1</v>
      </c>
      <c r="M98" s="39" t="s">
        <v>413</v>
      </c>
      <c r="N98" s="31" t="s">
        <v>414</v>
      </c>
      <c r="O98" s="32" t="n">
        <v>1</v>
      </c>
      <c r="P98" s="15" t="n">
        <f aca="false">IF(A98="","",IF(O98&lt;&gt;"",O98,IF(L98&lt;&gt;"",L98,F98)))</f>
        <v>1</v>
      </c>
    </row>
    <row r="99" customFormat="false" ht="15" hidden="false" customHeight="true" outlineLevel="0" collapsed="false">
      <c r="A99" s="26" t="s">
        <v>22</v>
      </c>
      <c r="B99" s="26" t="s">
        <v>23</v>
      </c>
      <c r="C99" s="14" t="n">
        <f aca="false">IF(A99="","",IFERROR(VLOOKUP(A99,'Recert Status'!$A$8:$C$400,3,FALSE()),""))</f>
        <v>46752</v>
      </c>
      <c r="D99" s="18" t="s">
        <v>486</v>
      </c>
      <c r="E99" s="26" t="s">
        <v>416</v>
      </c>
      <c r="F99" s="27" t="n">
        <v>2</v>
      </c>
      <c r="G99" s="28" t="n">
        <v>45859</v>
      </c>
      <c r="H99" s="28" t="n">
        <v>45859</v>
      </c>
      <c r="I99" s="18" t="s">
        <v>487</v>
      </c>
      <c r="J99" s="26" t="s">
        <v>416</v>
      </c>
      <c r="K99" s="18" t="s">
        <v>418</v>
      </c>
      <c r="L99" s="27" t="n">
        <v>2</v>
      </c>
      <c r="M99" s="39" t="s">
        <v>413</v>
      </c>
      <c r="N99" s="18" t="s">
        <v>414</v>
      </c>
      <c r="O99" s="27" t="n">
        <v>2</v>
      </c>
      <c r="P99" s="15" t="n">
        <f aca="false">IF(A99="","",IF(O99&lt;&gt;"",O99,IF(L99&lt;&gt;"",L99,F99)))</f>
        <v>2</v>
      </c>
    </row>
    <row r="100" customFormat="false" ht="15" hidden="false" customHeight="true" outlineLevel="0" collapsed="false">
      <c r="A100" s="30" t="s">
        <v>22</v>
      </c>
      <c r="B100" s="30" t="s">
        <v>23</v>
      </c>
      <c r="C100" s="21" t="n">
        <f aca="false">IF(A100="","",IFERROR(VLOOKUP(A100,'Recert Status'!$A$8:$C$400,3,FALSE()),""))</f>
        <v>46752</v>
      </c>
      <c r="D100" s="31" t="s">
        <v>488</v>
      </c>
      <c r="E100" s="30" t="s">
        <v>416</v>
      </c>
      <c r="F100" s="32" t="n">
        <v>1</v>
      </c>
      <c r="G100" s="33" t="n">
        <v>46126</v>
      </c>
      <c r="H100" s="33" t="n">
        <v>46126</v>
      </c>
      <c r="I100" s="31" t="s">
        <v>489</v>
      </c>
      <c r="J100" s="30" t="s">
        <v>416</v>
      </c>
      <c r="K100" s="31" t="s">
        <v>490</v>
      </c>
      <c r="L100" s="32" t="n">
        <v>1</v>
      </c>
      <c r="M100" s="39" t="s">
        <v>413</v>
      </c>
      <c r="N100" s="31" t="s">
        <v>414</v>
      </c>
      <c r="O100" s="32" t="n">
        <v>1</v>
      </c>
      <c r="P100" s="15" t="n">
        <f aca="false">IF(A100="","",IF(O100&lt;&gt;"",O100,IF(L100&lt;&gt;"",L100,F100)))</f>
        <v>1</v>
      </c>
    </row>
    <row r="101" customFormat="false" ht="15" hidden="false" customHeight="true" outlineLevel="0" collapsed="false">
      <c r="A101" s="26" t="s">
        <v>22</v>
      </c>
      <c r="B101" s="26" t="s">
        <v>23</v>
      </c>
      <c r="C101" s="14" t="n">
        <f aca="false">IF(A101="","",IFERROR(VLOOKUP(A101,'Recert Status'!$A$8:$C$400,3,FALSE()),""))</f>
        <v>46752</v>
      </c>
      <c r="D101" s="18" t="s">
        <v>414</v>
      </c>
      <c r="E101" s="26" t="s">
        <v>416</v>
      </c>
      <c r="F101" s="27" t="n">
        <v>2</v>
      </c>
      <c r="G101" s="28" t="n">
        <v>46219</v>
      </c>
      <c r="H101" s="28" t="n">
        <v>46219</v>
      </c>
      <c r="I101" s="18" t="s">
        <v>567</v>
      </c>
      <c r="J101" s="26" t="s">
        <v>416</v>
      </c>
      <c r="K101" s="18" t="s">
        <v>418</v>
      </c>
      <c r="L101" s="27" t="n">
        <v>2</v>
      </c>
      <c r="M101" s="39" t="s">
        <v>413</v>
      </c>
      <c r="N101" s="18" t="s">
        <v>414</v>
      </c>
      <c r="O101" s="27" t="n">
        <v>2</v>
      </c>
      <c r="P101" s="15" t="n">
        <f aca="false">IF(A101="","",IF(O101&lt;&gt;"",O101,IF(L101&lt;&gt;"",L101,F101)))</f>
        <v>2</v>
      </c>
    </row>
    <row r="102" customFormat="false" ht="15" hidden="false" customHeight="true" outlineLevel="0" collapsed="false">
      <c r="A102" s="30" t="s">
        <v>22</v>
      </c>
      <c r="B102" s="30" t="s">
        <v>23</v>
      </c>
      <c r="C102" s="21" t="n">
        <f aca="false">IF(A102="","",IFERROR(VLOOKUP(A102,'Recert Status'!$A$8:$C$400,3,FALSE()),""))</f>
        <v>46752</v>
      </c>
      <c r="D102" s="31" t="s">
        <v>414</v>
      </c>
      <c r="E102" s="30" t="s">
        <v>416</v>
      </c>
      <c r="F102" s="32" t="n">
        <v>1</v>
      </c>
      <c r="G102" s="33" t="n">
        <v>46249</v>
      </c>
      <c r="H102" s="33" t="n">
        <v>46249</v>
      </c>
      <c r="I102" s="31" t="s">
        <v>568</v>
      </c>
      <c r="J102" s="30" t="s">
        <v>416</v>
      </c>
      <c r="K102" s="31" t="s">
        <v>485</v>
      </c>
      <c r="L102" s="32" t="n">
        <v>1</v>
      </c>
      <c r="M102" s="39" t="s">
        <v>413</v>
      </c>
      <c r="N102" s="31" t="s">
        <v>414</v>
      </c>
      <c r="O102" s="32" t="n">
        <v>1</v>
      </c>
      <c r="P102" s="15" t="n">
        <f aca="false">IF(A102="","",IF(O102&lt;&gt;"",O102,IF(L102&lt;&gt;"",L102,F102)))</f>
        <v>1</v>
      </c>
    </row>
    <row r="103" customFormat="false" ht="15" hidden="false" customHeight="true" outlineLevel="0" collapsed="false">
      <c r="A103" s="26" t="s">
        <v>24</v>
      </c>
      <c r="B103" s="26" t="s">
        <v>25</v>
      </c>
      <c r="C103" s="14" t="n">
        <f aca="false">IF(A103="","",IFERROR(VLOOKUP(A103,'Recert Status'!$A$8:$C$400,3,FALSE()),""))</f>
        <v>46387</v>
      </c>
      <c r="D103" s="18" t="s">
        <v>541</v>
      </c>
      <c r="E103" s="26" t="s">
        <v>542</v>
      </c>
      <c r="F103" s="27" t="n">
        <v>1</v>
      </c>
      <c r="G103" s="28" t="n">
        <v>45811</v>
      </c>
      <c r="H103" s="28" t="n">
        <v>45811</v>
      </c>
      <c r="I103" s="18" t="s">
        <v>543</v>
      </c>
      <c r="J103" s="26" t="s">
        <v>542</v>
      </c>
      <c r="K103" s="18" t="s">
        <v>422</v>
      </c>
      <c r="L103" s="27" t="n">
        <v>1</v>
      </c>
      <c r="M103" s="40" t="s">
        <v>423</v>
      </c>
      <c r="N103" s="18" t="s">
        <v>424</v>
      </c>
      <c r="O103" s="27" t="n">
        <v>1</v>
      </c>
      <c r="P103" s="15" t="n">
        <f aca="false">IF(A103="","",IF(O103&lt;&gt;"",O103,IF(L103&lt;&gt;"",L103,F103)))</f>
        <v>1</v>
      </c>
    </row>
    <row r="104" customFormat="false" ht="15" hidden="false" customHeight="true" outlineLevel="0" collapsed="false">
      <c r="A104" s="30" t="s">
        <v>24</v>
      </c>
      <c r="B104" s="30" t="s">
        <v>25</v>
      </c>
      <c r="C104" s="21" t="n">
        <f aca="false">IF(A104="","",IFERROR(VLOOKUP(A104,'Recert Status'!$A$8:$C$400,3,FALSE()),""))</f>
        <v>46387</v>
      </c>
      <c r="D104" s="31" t="s">
        <v>569</v>
      </c>
      <c r="E104" s="30" t="n">
        <v>57433</v>
      </c>
      <c r="F104" s="32" t="n">
        <v>1</v>
      </c>
      <c r="G104" s="33" t="n">
        <v>46017</v>
      </c>
      <c r="H104" s="33" t="n">
        <v>46017</v>
      </c>
      <c r="I104" s="31" t="s">
        <v>570</v>
      </c>
      <c r="J104" s="30" t="s">
        <v>421</v>
      </c>
      <c r="K104" s="31" t="s">
        <v>428</v>
      </c>
      <c r="L104" s="32" t="n">
        <v>1</v>
      </c>
      <c r="M104" s="40" t="s">
        <v>423</v>
      </c>
      <c r="N104" s="31" t="s">
        <v>514</v>
      </c>
      <c r="O104" s="32" t="n">
        <v>1</v>
      </c>
      <c r="P104" s="15" t="n">
        <f aca="false">IF(A104="","",IF(O104&lt;&gt;"",O104,IF(L104&lt;&gt;"",L104,F104)))</f>
        <v>1</v>
      </c>
    </row>
    <row r="105" customFormat="false" ht="15" hidden="false" customHeight="true" outlineLevel="0" collapsed="false">
      <c r="A105" s="26" t="s">
        <v>24</v>
      </c>
      <c r="B105" s="26" t="s">
        <v>25</v>
      </c>
      <c r="C105" s="14" t="n">
        <f aca="false">IF(A105="","",IFERROR(VLOOKUP(A105,'Recert Status'!$A$8:$C$400,3,FALSE()),""))</f>
        <v>46387</v>
      </c>
      <c r="D105" s="18" t="s">
        <v>571</v>
      </c>
      <c r="E105" s="26" t="n">
        <v>29675</v>
      </c>
      <c r="F105" s="27" t="n">
        <v>1</v>
      </c>
      <c r="G105" s="28" t="n">
        <v>45924</v>
      </c>
      <c r="H105" s="28" t="n">
        <v>45924</v>
      </c>
      <c r="I105" s="18" t="s">
        <v>572</v>
      </c>
      <c r="J105" s="26" t="s">
        <v>406</v>
      </c>
      <c r="K105" s="18" t="s">
        <v>468</v>
      </c>
      <c r="L105" s="27" t="n">
        <v>1</v>
      </c>
      <c r="M105" s="35" t="s">
        <v>386</v>
      </c>
      <c r="N105" s="18" t="s">
        <v>387</v>
      </c>
      <c r="O105" s="27" t="n">
        <v>1</v>
      </c>
      <c r="P105" s="15" t="n">
        <f aca="false">IF(A105="","",IF(O105&lt;&gt;"",O105,IF(L105&lt;&gt;"",L105,F105)))</f>
        <v>1</v>
      </c>
    </row>
    <row r="106" customFormat="false" ht="15" hidden="false" customHeight="true" outlineLevel="0" collapsed="false">
      <c r="A106" s="30" t="s">
        <v>24</v>
      </c>
      <c r="B106" s="30" t="s">
        <v>25</v>
      </c>
      <c r="C106" s="21" t="n">
        <f aca="false">IF(A106="","",IFERROR(VLOOKUP(A106,'Recert Status'!$A$8:$C$400,3,FALSE()),""))</f>
        <v>46387</v>
      </c>
      <c r="D106" s="31" t="s">
        <v>573</v>
      </c>
      <c r="E106" s="30" t="s">
        <v>389</v>
      </c>
      <c r="F106" s="32" t="n">
        <v>1</v>
      </c>
      <c r="G106" s="33" t="n">
        <v>45987</v>
      </c>
      <c r="H106" s="33" t="n">
        <v>45987</v>
      </c>
      <c r="I106" s="31" t="s">
        <v>574</v>
      </c>
      <c r="J106" s="30" t="s">
        <v>389</v>
      </c>
      <c r="K106" s="31" t="s">
        <v>451</v>
      </c>
      <c r="L106" s="32" t="n">
        <v>1</v>
      </c>
      <c r="M106" s="35" t="s">
        <v>386</v>
      </c>
      <c r="N106" s="31" t="s">
        <v>387</v>
      </c>
      <c r="O106" s="32" t="n">
        <v>1</v>
      </c>
      <c r="P106" s="15" t="n">
        <f aca="false">IF(A106="","",IF(O106&lt;&gt;"",O106,IF(L106&lt;&gt;"",L106,F106)))</f>
        <v>1</v>
      </c>
    </row>
    <row r="107" customFormat="false" ht="15" hidden="false" customHeight="true" outlineLevel="0" collapsed="false">
      <c r="A107" s="26" t="s">
        <v>24</v>
      </c>
      <c r="B107" s="26" t="s">
        <v>25</v>
      </c>
      <c r="C107" s="14" t="n">
        <f aca="false">IF(A107="","",IFERROR(VLOOKUP(A107,'Recert Status'!$A$8:$C$400,3,FALSE()),""))</f>
        <v>46387</v>
      </c>
      <c r="D107" s="18" t="s">
        <v>575</v>
      </c>
      <c r="E107" s="26" t="n">
        <v>29769</v>
      </c>
      <c r="F107" s="27" t="n">
        <v>0.5</v>
      </c>
      <c r="G107" s="28" t="n">
        <v>45855</v>
      </c>
      <c r="H107" s="28" t="n">
        <v>45855</v>
      </c>
      <c r="I107" s="18" t="s">
        <v>576</v>
      </c>
      <c r="J107" s="26" t="s">
        <v>517</v>
      </c>
      <c r="K107" s="18" t="s">
        <v>412</v>
      </c>
      <c r="L107" s="27" t="n">
        <v>0.5</v>
      </c>
      <c r="M107" s="36" t="s">
        <v>396</v>
      </c>
      <c r="N107" s="18" t="s">
        <v>397</v>
      </c>
      <c r="O107" s="27" t="n">
        <v>0.5</v>
      </c>
      <c r="P107" s="15" t="n">
        <f aca="false">IF(A107="","",IF(O107&lt;&gt;"",O107,IF(L107&lt;&gt;"",L107,F107)))</f>
        <v>0.5</v>
      </c>
    </row>
    <row r="108" customFormat="false" ht="15" hidden="false" customHeight="true" outlineLevel="0" collapsed="false">
      <c r="A108" s="30" t="s">
        <v>24</v>
      </c>
      <c r="B108" s="30" t="s">
        <v>25</v>
      </c>
      <c r="C108" s="21" t="n">
        <f aca="false">IF(A108="","",IFERROR(VLOOKUP(A108,'Recert Status'!$A$8:$C$400,3,FALSE()),""))</f>
        <v>46387</v>
      </c>
      <c r="D108" s="31" t="s">
        <v>397</v>
      </c>
      <c r="E108" s="30" t="s">
        <v>452</v>
      </c>
      <c r="F108" s="32" t="n">
        <v>1</v>
      </c>
      <c r="G108" s="33" t="n">
        <v>46244</v>
      </c>
      <c r="H108" s="33" t="n">
        <v>46244</v>
      </c>
      <c r="I108" s="31" t="s">
        <v>453</v>
      </c>
      <c r="J108" s="30" t="s">
        <v>452</v>
      </c>
      <c r="K108" s="31" t="s">
        <v>385</v>
      </c>
      <c r="L108" s="32" t="n">
        <v>1</v>
      </c>
      <c r="M108" s="36" t="s">
        <v>396</v>
      </c>
      <c r="N108" s="31" t="s">
        <v>397</v>
      </c>
      <c r="O108" s="32" t="n">
        <v>1</v>
      </c>
      <c r="P108" s="15" t="n">
        <f aca="false">IF(A108="","",IF(O108&lt;&gt;"",O108,IF(L108&lt;&gt;"",L108,F108)))</f>
        <v>1</v>
      </c>
    </row>
    <row r="109" customFormat="false" ht="15" hidden="false" customHeight="true" outlineLevel="0" collapsed="false">
      <c r="A109" s="26" t="s">
        <v>24</v>
      </c>
      <c r="B109" s="26" t="s">
        <v>25</v>
      </c>
      <c r="C109" s="14" t="n">
        <f aca="false">IF(A109="","",IFERROR(VLOOKUP(A109,'Recert Status'!$A$8:$C$400,3,FALSE()),""))</f>
        <v>46387</v>
      </c>
      <c r="D109" s="18" t="s">
        <v>397</v>
      </c>
      <c r="E109" s="26" t="s">
        <v>452</v>
      </c>
      <c r="F109" s="27" t="n">
        <v>1</v>
      </c>
      <c r="G109" s="28" t="n">
        <v>46244</v>
      </c>
      <c r="H109" s="28" t="n">
        <v>46244</v>
      </c>
      <c r="I109" s="18" t="s">
        <v>577</v>
      </c>
      <c r="J109" s="26" t="s">
        <v>452</v>
      </c>
      <c r="K109" s="18" t="s">
        <v>385</v>
      </c>
      <c r="L109" s="27" t="n">
        <v>1</v>
      </c>
      <c r="M109" s="36" t="s">
        <v>396</v>
      </c>
      <c r="N109" s="18" t="s">
        <v>397</v>
      </c>
      <c r="O109" s="27" t="n">
        <v>1</v>
      </c>
      <c r="P109" s="15" t="n">
        <f aca="false">IF(A109="","",IF(O109&lt;&gt;"",O109,IF(L109&lt;&gt;"",L109,F109)))</f>
        <v>1</v>
      </c>
    </row>
    <row r="110" customFormat="false" ht="15" hidden="false" customHeight="true" outlineLevel="0" collapsed="false">
      <c r="A110" s="30" t="s">
        <v>24</v>
      </c>
      <c r="B110" s="30" t="s">
        <v>25</v>
      </c>
      <c r="C110" s="21" t="n">
        <f aca="false">IF(A110="","",IFERROR(VLOOKUP(A110,'Recert Status'!$A$8:$C$400,3,FALSE()),""))</f>
        <v>46387</v>
      </c>
      <c r="D110" s="31" t="s">
        <v>397</v>
      </c>
      <c r="E110" s="30" t="s">
        <v>452</v>
      </c>
      <c r="F110" s="32" t="n">
        <v>1</v>
      </c>
      <c r="G110" s="33" t="n">
        <v>46246</v>
      </c>
      <c r="H110" s="33" t="n">
        <v>46246</v>
      </c>
      <c r="I110" s="31" t="s">
        <v>478</v>
      </c>
      <c r="J110" s="30" t="s">
        <v>452</v>
      </c>
      <c r="K110" s="31" t="s">
        <v>385</v>
      </c>
      <c r="L110" s="32" t="n">
        <v>1</v>
      </c>
      <c r="M110" s="36" t="s">
        <v>396</v>
      </c>
      <c r="N110" s="31" t="s">
        <v>397</v>
      </c>
      <c r="O110" s="32" t="n">
        <v>1</v>
      </c>
      <c r="P110" s="15" t="n">
        <f aca="false">IF(A110="","",IF(O110&lt;&gt;"",O110,IF(L110&lt;&gt;"",L110,F110)))</f>
        <v>1</v>
      </c>
    </row>
    <row r="111" customFormat="false" ht="15" hidden="false" customHeight="true" outlineLevel="0" collapsed="false">
      <c r="A111" s="26" t="s">
        <v>24</v>
      </c>
      <c r="B111" s="26" t="s">
        <v>25</v>
      </c>
      <c r="C111" s="14" t="n">
        <f aca="false">IF(A111="","",IFERROR(VLOOKUP(A111,'Recert Status'!$A$8:$C$400,3,FALSE()),""))</f>
        <v>46387</v>
      </c>
      <c r="D111" s="18" t="s">
        <v>578</v>
      </c>
      <c r="E111" s="26" t="s">
        <v>416</v>
      </c>
      <c r="F111" s="27" t="n">
        <v>5</v>
      </c>
      <c r="G111" s="28" t="n">
        <v>45825</v>
      </c>
      <c r="H111" s="28" t="n">
        <v>45825</v>
      </c>
      <c r="I111" s="18" t="s">
        <v>579</v>
      </c>
      <c r="J111" s="26" t="s">
        <v>416</v>
      </c>
      <c r="K111" s="18" t="s">
        <v>418</v>
      </c>
      <c r="L111" s="27" t="n">
        <v>5</v>
      </c>
      <c r="M111" s="39" t="s">
        <v>413</v>
      </c>
      <c r="N111" s="18" t="s">
        <v>414</v>
      </c>
      <c r="O111" s="27" t="n">
        <v>5</v>
      </c>
      <c r="P111" s="15" t="n">
        <f aca="false">IF(A111="","",IF(O111&lt;&gt;"",O111,IF(L111&lt;&gt;"",L111,F111)))</f>
        <v>5</v>
      </c>
    </row>
    <row r="112" customFormat="false" ht="15" hidden="false" customHeight="true" outlineLevel="0" collapsed="false">
      <c r="A112" s="30" t="s">
        <v>24</v>
      </c>
      <c r="B112" s="30" t="s">
        <v>25</v>
      </c>
      <c r="C112" s="21" t="n">
        <f aca="false">IF(A112="","",IFERROR(VLOOKUP(A112,'Recert Status'!$A$8:$C$400,3,FALSE()),""))</f>
        <v>46387</v>
      </c>
      <c r="D112" s="31" t="s">
        <v>580</v>
      </c>
      <c r="E112" s="30" t="s">
        <v>416</v>
      </c>
      <c r="F112" s="32" t="n">
        <v>1</v>
      </c>
      <c r="G112" s="33" t="n">
        <v>45825</v>
      </c>
      <c r="H112" s="33" t="n">
        <v>45825</v>
      </c>
      <c r="I112" s="31" t="s">
        <v>581</v>
      </c>
      <c r="J112" s="30" t="s">
        <v>416</v>
      </c>
      <c r="K112" s="31" t="s">
        <v>418</v>
      </c>
      <c r="L112" s="32" t="n">
        <v>1</v>
      </c>
      <c r="M112" s="39" t="s">
        <v>413</v>
      </c>
      <c r="N112" s="31" t="s">
        <v>414</v>
      </c>
      <c r="O112" s="32" t="n">
        <v>1</v>
      </c>
      <c r="P112" s="15" t="n">
        <f aca="false">IF(A112="","",IF(O112&lt;&gt;"",O112,IF(L112&lt;&gt;"",L112,F112)))</f>
        <v>1</v>
      </c>
    </row>
    <row r="113" customFormat="false" ht="15" hidden="false" customHeight="true" outlineLevel="0" collapsed="false">
      <c r="A113" s="26" t="s">
        <v>24</v>
      </c>
      <c r="B113" s="26" t="s">
        <v>25</v>
      </c>
      <c r="C113" s="14" t="n">
        <f aca="false">IF(A113="","",IFERROR(VLOOKUP(A113,'Recert Status'!$A$8:$C$400,3,FALSE()),""))</f>
        <v>46387</v>
      </c>
      <c r="D113" s="18" t="s">
        <v>582</v>
      </c>
      <c r="E113" s="26" t="s">
        <v>416</v>
      </c>
      <c r="F113" s="27" t="n">
        <v>2</v>
      </c>
      <c r="G113" s="28" t="n">
        <v>45861</v>
      </c>
      <c r="H113" s="28" t="n">
        <v>45861</v>
      </c>
      <c r="I113" s="18" t="s">
        <v>583</v>
      </c>
      <c r="J113" s="26" t="s">
        <v>416</v>
      </c>
      <c r="K113" s="18" t="s">
        <v>418</v>
      </c>
      <c r="L113" s="27" t="n">
        <v>2</v>
      </c>
      <c r="M113" s="39" t="s">
        <v>413</v>
      </c>
      <c r="N113" s="18" t="s">
        <v>414</v>
      </c>
      <c r="O113" s="27" t="n">
        <v>2</v>
      </c>
      <c r="P113" s="15" t="n">
        <f aca="false">IF(A113="","",IF(O113&lt;&gt;"",O113,IF(L113&lt;&gt;"",L113,F113)))</f>
        <v>2</v>
      </c>
    </row>
    <row r="114" customFormat="false" ht="15" hidden="false" customHeight="true" outlineLevel="0" collapsed="false">
      <c r="A114" s="30" t="s">
        <v>24</v>
      </c>
      <c r="B114" s="30" t="s">
        <v>25</v>
      </c>
      <c r="C114" s="21" t="n">
        <f aca="false">IF(A114="","",IFERROR(VLOOKUP(A114,'Recert Status'!$A$8:$C$400,3,FALSE()),""))</f>
        <v>46387</v>
      </c>
      <c r="D114" s="31" t="s">
        <v>414</v>
      </c>
      <c r="E114" s="30" t="s">
        <v>416</v>
      </c>
      <c r="F114" s="32" t="n">
        <v>8</v>
      </c>
      <c r="G114" s="33" t="n">
        <v>46219</v>
      </c>
      <c r="H114" s="33" t="n">
        <v>46219</v>
      </c>
      <c r="I114" s="31" t="s">
        <v>491</v>
      </c>
      <c r="J114" s="30" t="s">
        <v>416</v>
      </c>
      <c r="K114" s="31" t="s">
        <v>418</v>
      </c>
      <c r="L114" s="32" t="n">
        <v>8</v>
      </c>
      <c r="M114" s="39" t="s">
        <v>413</v>
      </c>
      <c r="N114" s="31" t="s">
        <v>414</v>
      </c>
      <c r="O114" s="32" t="n">
        <v>8</v>
      </c>
      <c r="P114" s="15" t="n">
        <f aca="false">IF(A114="","",IF(O114&lt;&gt;"",O114,IF(L114&lt;&gt;"",L114,F114)))</f>
        <v>8</v>
      </c>
    </row>
    <row r="115" customFormat="false" ht="15" hidden="false" customHeight="true" outlineLevel="0" collapsed="false">
      <c r="A115" s="26" t="s">
        <v>26</v>
      </c>
      <c r="B115" s="26" t="s">
        <v>27</v>
      </c>
      <c r="C115" s="14" t="n">
        <f aca="false">IF(A115="","",IFERROR(VLOOKUP(A115,'Recert Status'!$A$8:$C$400,3,FALSE()),""))</f>
        <v>46752</v>
      </c>
      <c r="D115" s="18" t="s">
        <v>584</v>
      </c>
      <c r="E115" s="26" t="s">
        <v>542</v>
      </c>
      <c r="F115" s="27" t="n">
        <v>3</v>
      </c>
      <c r="G115" s="28" t="n">
        <v>45892</v>
      </c>
      <c r="H115" s="28" t="n">
        <v>45892</v>
      </c>
      <c r="I115" s="18" t="s">
        <v>585</v>
      </c>
      <c r="J115" s="26" t="s">
        <v>542</v>
      </c>
      <c r="K115" s="18" t="s">
        <v>586</v>
      </c>
      <c r="L115" s="27" t="n">
        <v>3</v>
      </c>
      <c r="M115" s="40" t="s">
        <v>423</v>
      </c>
      <c r="N115" s="18" t="s">
        <v>424</v>
      </c>
      <c r="O115" s="27" t="n">
        <v>3</v>
      </c>
      <c r="P115" s="15" t="n">
        <f aca="false">IF(A115="","",IF(O115&lt;&gt;"",O115,IF(L115&lt;&gt;"",L115,F115)))</f>
        <v>3</v>
      </c>
    </row>
    <row r="116" customFormat="false" ht="15" hidden="false" customHeight="true" outlineLevel="0" collapsed="false">
      <c r="A116" s="30" t="s">
        <v>26</v>
      </c>
      <c r="B116" s="30" t="s">
        <v>27</v>
      </c>
      <c r="C116" s="21" t="n">
        <f aca="false">IF(A116="","",IFERROR(VLOOKUP(A116,'Recert Status'!$A$8:$C$400,3,FALSE()),""))</f>
        <v>46752</v>
      </c>
      <c r="D116" s="31" t="s">
        <v>496</v>
      </c>
      <c r="E116" s="30" t="s">
        <v>542</v>
      </c>
      <c r="F116" s="32" t="n">
        <v>4</v>
      </c>
      <c r="G116" s="33" t="n">
        <v>45961</v>
      </c>
      <c r="H116" s="33" t="n">
        <v>45961</v>
      </c>
      <c r="I116" s="31" t="s">
        <v>587</v>
      </c>
      <c r="J116" s="30" t="s">
        <v>542</v>
      </c>
      <c r="K116" s="31" t="s">
        <v>422</v>
      </c>
      <c r="L116" s="32" t="n">
        <v>4</v>
      </c>
      <c r="M116" s="40" t="s">
        <v>423</v>
      </c>
      <c r="N116" s="31" t="s">
        <v>424</v>
      </c>
      <c r="O116" s="32" t="n">
        <v>4</v>
      </c>
      <c r="P116" s="15" t="n">
        <f aca="false">IF(A116="","",IF(O116&lt;&gt;"",O116,IF(L116&lt;&gt;"",L116,F116)))</f>
        <v>4</v>
      </c>
    </row>
    <row r="117" customFormat="false" ht="15" hidden="false" customHeight="true" outlineLevel="0" collapsed="false">
      <c r="A117" s="26" t="s">
        <v>26</v>
      </c>
      <c r="B117" s="26" t="s">
        <v>27</v>
      </c>
      <c r="C117" s="14" t="n">
        <f aca="false">IF(A117="","",IFERROR(VLOOKUP(A117,'Recert Status'!$A$8:$C$400,3,FALSE()),""))</f>
        <v>46752</v>
      </c>
      <c r="D117" s="18" t="s">
        <v>496</v>
      </c>
      <c r="E117" s="26" t="s">
        <v>542</v>
      </c>
      <c r="F117" s="27" t="n">
        <v>4</v>
      </c>
      <c r="G117" s="28" t="n">
        <v>45996</v>
      </c>
      <c r="H117" s="28" t="n">
        <v>45996</v>
      </c>
      <c r="I117" s="18" t="s">
        <v>588</v>
      </c>
      <c r="J117" s="26" t="s">
        <v>542</v>
      </c>
      <c r="K117" s="18" t="s">
        <v>422</v>
      </c>
      <c r="L117" s="27" t="n">
        <v>4</v>
      </c>
      <c r="M117" s="40" t="s">
        <v>423</v>
      </c>
      <c r="N117" s="18" t="s">
        <v>424</v>
      </c>
      <c r="O117" s="27"/>
      <c r="P117" s="15" t="n">
        <f aca="false">IF(A117="","",IF(O117&lt;&gt;"",O117,IF(L117&lt;&gt;"",L117,F117)))</f>
        <v>4</v>
      </c>
    </row>
    <row r="118" customFormat="false" ht="15" hidden="false" customHeight="true" outlineLevel="0" collapsed="false">
      <c r="A118" s="30" t="s">
        <v>26</v>
      </c>
      <c r="B118" s="30" t="s">
        <v>27</v>
      </c>
      <c r="C118" s="21" t="n">
        <f aca="false">IF(A118="","",IFERROR(VLOOKUP(A118,'Recert Status'!$A$8:$C$400,3,FALSE()),""))</f>
        <v>46752</v>
      </c>
      <c r="D118" s="31" t="s">
        <v>589</v>
      </c>
      <c r="E118" s="30" t="s">
        <v>542</v>
      </c>
      <c r="F118" s="32" t="n">
        <v>1</v>
      </c>
      <c r="G118" s="33" t="n">
        <v>46081</v>
      </c>
      <c r="H118" s="33" t="n">
        <v>46081</v>
      </c>
      <c r="I118" s="31" t="s">
        <v>590</v>
      </c>
      <c r="J118" s="30" t="s">
        <v>542</v>
      </c>
      <c r="K118" s="31" t="s">
        <v>422</v>
      </c>
      <c r="L118" s="32" t="n">
        <v>1</v>
      </c>
      <c r="M118" s="40" t="s">
        <v>423</v>
      </c>
      <c r="N118" s="31" t="s">
        <v>424</v>
      </c>
      <c r="O118" s="32" t="n">
        <v>1</v>
      </c>
      <c r="P118" s="15" t="n">
        <f aca="false">IF(A118="","",IF(O118&lt;&gt;"",O118,IF(L118&lt;&gt;"",L118,F118)))</f>
        <v>1</v>
      </c>
    </row>
    <row r="119" customFormat="false" ht="15" hidden="false" customHeight="true" outlineLevel="0" collapsed="false">
      <c r="A119" s="26" t="s">
        <v>26</v>
      </c>
      <c r="B119" s="26" t="s">
        <v>27</v>
      </c>
      <c r="C119" s="14" t="n">
        <f aca="false">IF(A119="","",IFERROR(VLOOKUP(A119,'Recert Status'!$A$8:$C$400,3,FALSE()),""))</f>
        <v>46752</v>
      </c>
      <c r="D119" s="18" t="s">
        <v>544</v>
      </c>
      <c r="E119" s="26" t="s">
        <v>426</v>
      </c>
      <c r="F119" s="27" t="n">
        <v>0.5</v>
      </c>
      <c r="G119" s="28" t="n">
        <v>45676</v>
      </c>
      <c r="H119" s="28" t="n">
        <v>45676</v>
      </c>
      <c r="I119" s="18" t="s">
        <v>545</v>
      </c>
      <c r="J119" s="26" t="s">
        <v>426</v>
      </c>
      <c r="K119" s="18" t="s">
        <v>428</v>
      </c>
      <c r="L119" s="27" t="n">
        <v>0.5</v>
      </c>
      <c r="M119" s="41" t="s">
        <v>429</v>
      </c>
      <c r="N119" s="18" t="s">
        <v>430</v>
      </c>
      <c r="O119" s="27" t="n">
        <v>0.5</v>
      </c>
      <c r="P119" s="15" t="n">
        <f aca="false">IF(A119="","",IF(O119&lt;&gt;"",O119,IF(L119&lt;&gt;"",L119,F119)))</f>
        <v>0.5</v>
      </c>
    </row>
    <row r="120" customFormat="false" ht="15" hidden="false" customHeight="true" outlineLevel="0" collapsed="false">
      <c r="A120" s="30" t="s">
        <v>26</v>
      </c>
      <c r="B120" s="30" t="s">
        <v>27</v>
      </c>
      <c r="C120" s="21" t="n">
        <f aca="false">IF(A120="","",IFERROR(VLOOKUP(A120,'Recert Status'!$A$8:$C$400,3,FALSE()),""))</f>
        <v>46752</v>
      </c>
      <c r="D120" s="31" t="s">
        <v>591</v>
      </c>
      <c r="E120" s="30" t="n">
        <v>57435</v>
      </c>
      <c r="F120" s="32" t="n">
        <v>0.5</v>
      </c>
      <c r="G120" s="33" t="n">
        <v>45985</v>
      </c>
      <c r="H120" s="33" t="n">
        <v>45985</v>
      </c>
      <c r="I120" s="31" t="s">
        <v>592</v>
      </c>
      <c r="J120" s="30" t="s">
        <v>593</v>
      </c>
      <c r="K120" s="31" t="s">
        <v>446</v>
      </c>
      <c r="L120" s="32" t="n">
        <v>0.5</v>
      </c>
      <c r="M120" s="35" t="s">
        <v>386</v>
      </c>
      <c r="N120" s="31" t="s">
        <v>387</v>
      </c>
      <c r="O120" s="32" t="n">
        <v>0.5</v>
      </c>
      <c r="P120" s="15" t="n">
        <f aca="false">IF(A120="","",IF(O120&lt;&gt;"",O120,IF(L120&lt;&gt;"",L120,F120)))</f>
        <v>0.5</v>
      </c>
    </row>
    <row r="121" customFormat="false" ht="15" hidden="false" customHeight="true" outlineLevel="0" collapsed="false">
      <c r="A121" s="26" t="s">
        <v>26</v>
      </c>
      <c r="B121" s="26" t="s">
        <v>27</v>
      </c>
      <c r="C121" s="14" t="n">
        <f aca="false">IF(A121="","",IFERROR(VLOOKUP(A121,'Recert Status'!$A$8:$C$400,3,FALSE()),""))</f>
        <v>46752</v>
      </c>
      <c r="D121" s="18" t="s">
        <v>387</v>
      </c>
      <c r="E121" s="26" t="s">
        <v>389</v>
      </c>
      <c r="F121" s="27" t="n">
        <v>0.5</v>
      </c>
      <c r="G121" s="28" t="n">
        <v>46230</v>
      </c>
      <c r="H121" s="28" t="n">
        <v>46230</v>
      </c>
      <c r="I121" s="18" t="s">
        <v>594</v>
      </c>
      <c r="J121" s="26" t="s">
        <v>389</v>
      </c>
      <c r="K121" s="18" t="s">
        <v>451</v>
      </c>
      <c r="L121" s="27" t="n">
        <v>0.5</v>
      </c>
      <c r="M121" s="35" t="s">
        <v>386</v>
      </c>
      <c r="N121" s="18" t="s">
        <v>387</v>
      </c>
      <c r="O121" s="27" t="n">
        <v>0.5</v>
      </c>
      <c r="P121" s="15" t="n">
        <f aca="false">IF(A121="","",IF(O121&lt;&gt;"",O121,IF(L121&lt;&gt;"",L121,F121)))</f>
        <v>0.5</v>
      </c>
    </row>
    <row r="122" customFormat="false" ht="15" hidden="false" customHeight="true" outlineLevel="0" collapsed="false">
      <c r="A122" s="30" t="s">
        <v>26</v>
      </c>
      <c r="B122" s="30" t="s">
        <v>27</v>
      </c>
      <c r="C122" s="21" t="n">
        <f aca="false">IF(A122="","",IFERROR(VLOOKUP(A122,'Recert Status'!$A$8:$C$400,3,FALSE()),""))</f>
        <v>46752</v>
      </c>
      <c r="D122" s="31" t="s">
        <v>557</v>
      </c>
      <c r="E122" s="30" t="n">
        <v>35513</v>
      </c>
      <c r="F122" s="32" t="n">
        <v>1</v>
      </c>
      <c r="G122" s="33" t="n">
        <v>45688</v>
      </c>
      <c r="H122" s="33" t="n">
        <v>45688</v>
      </c>
      <c r="I122" s="31" t="s">
        <v>558</v>
      </c>
      <c r="J122" s="30" t="s">
        <v>384</v>
      </c>
      <c r="K122" s="31" t="s">
        <v>407</v>
      </c>
      <c r="L122" s="32" t="n">
        <v>1</v>
      </c>
      <c r="M122" s="36" t="s">
        <v>396</v>
      </c>
      <c r="N122" s="31" t="s">
        <v>397</v>
      </c>
      <c r="O122" s="32" t="n">
        <v>1</v>
      </c>
      <c r="P122" s="15" t="n">
        <f aca="false">IF(A122="","",IF(O122&lt;&gt;"",O122,IF(L122&lt;&gt;"",L122,F122)))</f>
        <v>1</v>
      </c>
    </row>
    <row r="123" customFormat="false" ht="15" hidden="false" customHeight="true" outlineLevel="0" collapsed="false">
      <c r="A123" s="26" t="s">
        <v>26</v>
      </c>
      <c r="B123" s="26" t="s">
        <v>27</v>
      </c>
      <c r="C123" s="14" t="n">
        <f aca="false">IF(A123="","",IFERROR(VLOOKUP(A123,'Recert Status'!$A$8:$C$400,3,FALSE()),""))</f>
        <v>46752</v>
      </c>
      <c r="D123" s="18" t="s">
        <v>595</v>
      </c>
      <c r="E123" s="26" t="n">
        <v>57394</v>
      </c>
      <c r="F123" s="27" t="n">
        <v>1</v>
      </c>
      <c r="G123" s="28" t="n">
        <v>45946</v>
      </c>
      <c r="H123" s="28" t="n">
        <v>45946</v>
      </c>
      <c r="I123" s="18" t="s">
        <v>596</v>
      </c>
      <c r="J123" s="26" t="s">
        <v>503</v>
      </c>
      <c r="K123" s="18" t="s">
        <v>385</v>
      </c>
      <c r="L123" s="27" t="n">
        <v>1</v>
      </c>
      <c r="M123" s="36" t="s">
        <v>396</v>
      </c>
      <c r="N123" s="18" t="s">
        <v>397</v>
      </c>
      <c r="O123" s="27" t="n">
        <v>1</v>
      </c>
      <c r="P123" s="15" t="n">
        <f aca="false">IF(A123="","",IF(O123&lt;&gt;"",O123,IF(L123&lt;&gt;"",L123,F123)))</f>
        <v>1</v>
      </c>
    </row>
    <row r="124" customFormat="false" ht="15" hidden="false" customHeight="true" outlineLevel="0" collapsed="false">
      <c r="A124" s="30" t="s">
        <v>26</v>
      </c>
      <c r="B124" s="30" t="s">
        <v>27</v>
      </c>
      <c r="C124" s="21" t="n">
        <f aca="false">IF(A124="","",IFERROR(VLOOKUP(A124,'Recert Status'!$A$8:$C$400,3,FALSE()),""))</f>
        <v>46752</v>
      </c>
      <c r="D124" s="31" t="s">
        <v>597</v>
      </c>
      <c r="E124" s="30" t="n">
        <v>29735</v>
      </c>
      <c r="F124" s="32" t="n">
        <v>4</v>
      </c>
      <c r="G124" s="33" t="n">
        <v>45961</v>
      </c>
      <c r="H124" s="33" t="n">
        <v>45961</v>
      </c>
      <c r="I124" s="31" t="s">
        <v>598</v>
      </c>
      <c r="J124" s="30" t="s">
        <v>599</v>
      </c>
      <c r="K124" s="31" t="s">
        <v>600</v>
      </c>
      <c r="L124" s="32" t="n">
        <v>4</v>
      </c>
      <c r="M124" s="36" t="s">
        <v>396</v>
      </c>
      <c r="N124" s="31" t="s">
        <v>397</v>
      </c>
      <c r="O124" s="32" t="n">
        <v>4</v>
      </c>
      <c r="P124" s="15" t="n">
        <f aca="false">IF(A124="","",IF(O124&lt;&gt;"",O124,IF(L124&lt;&gt;"",L124,F124)))</f>
        <v>4</v>
      </c>
    </row>
    <row r="125" customFormat="false" ht="15" hidden="false" customHeight="true" outlineLevel="0" collapsed="false">
      <c r="A125" s="26" t="s">
        <v>26</v>
      </c>
      <c r="B125" s="26" t="s">
        <v>27</v>
      </c>
      <c r="C125" s="14" t="n">
        <f aca="false">IF(A125="","",IFERROR(VLOOKUP(A125,'Recert Status'!$A$8:$C$400,3,FALSE()),""))</f>
        <v>46752</v>
      </c>
      <c r="D125" s="18" t="s">
        <v>601</v>
      </c>
      <c r="E125" s="26" t="s">
        <v>452</v>
      </c>
      <c r="F125" s="27" t="n">
        <v>1</v>
      </c>
      <c r="G125" s="28" t="n">
        <v>46133</v>
      </c>
      <c r="H125" s="28" t="n">
        <v>46133</v>
      </c>
      <c r="I125" s="18" t="s">
        <v>602</v>
      </c>
      <c r="J125" s="26" t="s">
        <v>452</v>
      </c>
      <c r="K125" s="18" t="s">
        <v>385</v>
      </c>
      <c r="L125" s="27" t="n">
        <v>1</v>
      </c>
      <c r="M125" s="36" t="s">
        <v>396</v>
      </c>
      <c r="N125" s="18" t="s">
        <v>397</v>
      </c>
      <c r="O125" s="27" t="n">
        <v>1</v>
      </c>
      <c r="P125" s="15" t="n">
        <f aca="false">IF(A125="","",IF(O125&lt;&gt;"",O125,IF(L125&lt;&gt;"",L125,F125)))</f>
        <v>1</v>
      </c>
    </row>
    <row r="126" customFormat="false" ht="15" hidden="false" customHeight="true" outlineLevel="0" collapsed="false">
      <c r="A126" s="30" t="s">
        <v>26</v>
      </c>
      <c r="B126" s="30" t="s">
        <v>27</v>
      </c>
      <c r="C126" s="21" t="n">
        <f aca="false">IF(A126="","",IFERROR(VLOOKUP(A126,'Recert Status'!$A$8:$C$400,3,FALSE()),""))</f>
        <v>46752</v>
      </c>
      <c r="D126" s="31" t="s">
        <v>603</v>
      </c>
      <c r="E126" s="30" t="s">
        <v>452</v>
      </c>
      <c r="F126" s="32" t="n">
        <v>1</v>
      </c>
      <c r="G126" s="33" t="n">
        <v>46133</v>
      </c>
      <c r="H126" s="33" t="n">
        <v>46133</v>
      </c>
      <c r="I126" s="31" t="s">
        <v>604</v>
      </c>
      <c r="J126" s="30" t="s">
        <v>452</v>
      </c>
      <c r="K126" s="31" t="s">
        <v>385</v>
      </c>
      <c r="L126" s="32" t="n">
        <v>1</v>
      </c>
      <c r="M126" s="36" t="s">
        <v>396</v>
      </c>
      <c r="N126" s="31" t="s">
        <v>397</v>
      </c>
      <c r="O126" s="32" t="n">
        <v>1</v>
      </c>
      <c r="P126" s="15" t="n">
        <f aca="false">IF(A126="","",IF(O126&lt;&gt;"",O126,IF(L126&lt;&gt;"",L126,F126)))</f>
        <v>1</v>
      </c>
    </row>
    <row r="127" customFormat="false" ht="15" hidden="false" customHeight="true" outlineLevel="0" collapsed="false">
      <c r="A127" s="26" t="s">
        <v>26</v>
      </c>
      <c r="B127" s="26" t="s">
        <v>27</v>
      </c>
      <c r="C127" s="14" t="n">
        <f aca="false">IF(A127="","",IFERROR(VLOOKUP(A127,'Recert Status'!$A$8:$C$400,3,FALSE()),""))</f>
        <v>46752</v>
      </c>
      <c r="D127" s="18" t="s">
        <v>397</v>
      </c>
      <c r="E127" s="26" t="s">
        <v>452</v>
      </c>
      <c r="F127" s="27" t="n">
        <v>10</v>
      </c>
      <c r="G127" s="28" t="n">
        <v>46218</v>
      </c>
      <c r="H127" s="28" t="n">
        <v>46218</v>
      </c>
      <c r="I127" s="18" t="s">
        <v>535</v>
      </c>
      <c r="J127" s="26" t="s">
        <v>452</v>
      </c>
      <c r="K127" s="18" t="s">
        <v>385</v>
      </c>
      <c r="L127" s="27" t="n">
        <v>10</v>
      </c>
      <c r="M127" s="36" t="s">
        <v>396</v>
      </c>
      <c r="N127" s="18" t="s">
        <v>397</v>
      </c>
      <c r="O127" s="27" t="n">
        <v>10</v>
      </c>
      <c r="P127" s="15" t="n">
        <f aca="false">IF(A127="","",IF(O127&lt;&gt;"",O127,IF(L127&lt;&gt;"",L127,F127)))</f>
        <v>10</v>
      </c>
    </row>
    <row r="128" customFormat="false" ht="15" hidden="false" customHeight="true" outlineLevel="0" collapsed="false">
      <c r="A128" s="30" t="s">
        <v>26</v>
      </c>
      <c r="B128" s="30" t="s">
        <v>27</v>
      </c>
      <c r="C128" s="21" t="n">
        <f aca="false">IF(A128="","",IFERROR(VLOOKUP(A128,'Recert Status'!$A$8:$C$400,3,FALSE()),""))</f>
        <v>46752</v>
      </c>
      <c r="D128" s="31" t="s">
        <v>397</v>
      </c>
      <c r="E128" s="30" t="s">
        <v>452</v>
      </c>
      <c r="F128" s="32" t="n">
        <v>1</v>
      </c>
      <c r="G128" s="33" t="n">
        <v>46245</v>
      </c>
      <c r="H128" s="33" t="n">
        <v>46245</v>
      </c>
      <c r="I128" s="31" t="s">
        <v>605</v>
      </c>
      <c r="J128" s="30" t="s">
        <v>452</v>
      </c>
      <c r="K128" s="31" t="s">
        <v>385</v>
      </c>
      <c r="L128" s="32" t="n">
        <v>1</v>
      </c>
      <c r="M128" s="36" t="s">
        <v>396</v>
      </c>
      <c r="N128" s="31" t="s">
        <v>397</v>
      </c>
      <c r="O128" s="32" t="n">
        <v>1</v>
      </c>
      <c r="P128" s="15" t="n">
        <f aca="false">IF(A128="","",IF(O128&lt;&gt;"",O128,IF(L128&lt;&gt;"",L128,F128)))</f>
        <v>1</v>
      </c>
    </row>
    <row r="129" customFormat="false" ht="15" hidden="false" customHeight="true" outlineLevel="0" collapsed="false">
      <c r="A129" s="26" t="s">
        <v>26</v>
      </c>
      <c r="B129" s="26" t="s">
        <v>27</v>
      </c>
      <c r="C129" s="14" t="n">
        <f aca="false">IF(A129="","",IFERROR(VLOOKUP(A129,'Recert Status'!$A$8:$C$400,3,FALSE()),""))</f>
        <v>46752</v>
      </c>
      <c r="D129" s="18" t="s">
        <v>397</v>
      </c>
      <c r="E129" s="26" t="s">
        <v>452</v>
      </c>
      <c r="F129" s="27" t="n">
        <v>1</v>
      </c>
      <c r="G129" s="28" t="n">
        <v>46246</v>
      </c>
      <c r="H129" s="28" t="n">
        <v>46246</v>
      </c>
      <c r="I129" s="18" t="s">
        <v>478</v>
      </c>
      <c r="J129" s="26" t="s">
        <v>452</v>
      </c>
      <c r="K129" s="18" t="s">
        <v>385</v>
      </c>
      <c r="L129" s="27" t="n">
        <v>1</v>
      </c>
      <c r="M129" s="36" t="s">
        <v>396</v>
      </c>
      <c r="N129" s="18" t="s">
        <v>397</v>
      </c>
      <c r="O129" s="27" t="n">
        <v>1</v>
      </c>
      <c r="P129" s="15" t="n">
        <f aca="false">IF(A129="","",IF(O129&lt;&gt;"",O129,IF(L129&lt;&gt;"",L129,F129)))</f>
        <v>1</v>
      </c>
    </row>
    <row r="130" customFormat="false" ht="15" hidden="false" customHeight="true" outlineLevel="0" collapsed="false">
      <c r="A130" s="30" t="s">
        <v>26</v>
      </c>
      <c r="B130" s="30" t="s">
        <v>27</v>
      </c>
      <c r="C130" s="21" t="n">
        <f aca="false">IF(A130="","",IFERROR(VLOOKUP(A130,'Recert Status'!$A$8:$C$400,3,FALSE()),""))</f>
        <v>46752</v>
      </c>
      <c r="D130" s="31" t="s">
        <v>606</v>
      </c>
      <c r="E130" s="30" t="n">
        <v>57394</v>
      </c>
      <c r="F130" s="32" t="n">
        <v>1</v>
      </c>
      <c r="G130" s="33" t="n">
        <v>45949</v>
      </c>
      <c r="H130" s="33" t="n">
        <v>45949</v>
      </c>
      <c r="I130" s="31" t="s">
        <v>607</v>
      </c>
      <c r="J130" s="30" t="s">
        <v>503</v>
      </c>
      <c r="K130" s="31" t="s">
        <v>407</v>
      </c>
      <c r="L130" s="32" t="n">
        <v>1</v>
      </c>
      <c r="M130" s="38" t="s">
        <v>408</v>
      </c>
      <c r="N130" s="31" t="s">
        <v>409</v>
      </c>
      <c r="O130" s="32" t="n">
        <v>1</v>
      </c>
      <c r="P130" s="15" t="n">
        <f aca="false">IF(A130="","",IF(O130&lt;&gt;"",O130,IF(L130&lt;&gt;"",L130,F130)))</f>
        <v>1</v>
      </c>
    </row>
    <row r="131" customFormat="false" ht="15" hidden="false" customHeight="true" outlineLevel="0" collapsed="false">
      <c r="A131" s="26" t="s">
        <v>26</v>
      </c>
      <c r="B131" s="26" t="s">
        <v>27</v>
      </c>
      <c r="C131" s="14" t="n">
        <f aca="false">IF(A131="","",IFERROR(VLOOKUP(A131,'Recert Status'!$A$8:$C$400,3,FALSE()),""))</f>
        <v>46752</v>
      </c>
      <c r="D131" s="18" t="s">
        <v>541</v>
      </c>
      <c r="E131" s="26" t="s">
        <v>416</v>
      </c>
      <c r="F131" s="27" t="n">
        <v>0.5</v>
      </c>
      <c r="G131" s="28" t="n">
        <v>45676</v>
      </c>
      <c r="H131" s="28" t="n">
        <v>45676</v>
      </c>
      <c r="I131" s="18" t="s">
        <v>564</v>
      </c>
      <c r="J131" s="26" t="s">
        <v>416</v>
      </c>
      <c r="K131" s="18" t="s">
        <v>485</v>
      </c>
      <c r="L131" s="27" t="n">
        <v>0.5</v>
      </c>
      <c r="M131" s="39" t="s">
        <v>413</v>
      </c>
      <c r="N131" s="18" t="s">
        <v>414</v>
      </c>
      <c r="O131" s="27" t="n">
        <v>0.5</v>
      </c>
      <c r="P131" s="15" t="n">
        <f aca="false">IF(A131="","",IF(O131&lt;&gt;"",O131,IF(L131&lt;&gt;"",L131,F131)))</f>
        <v>0.5</v>
      </c>
    </row>
    <row r="132" customFormat="false" ht="15" hidden="false" customHeight="true" outlineLevel="0" collapsed="false">
      <c r="A132" s="30" t="s">
        <v>26</v>
      </c>
      <c r="B132" s="30" t="s">
        <v>27</v>
      </c>
      <c r="C132" s="21" t="n">
        <f aca="false">IF(A132="","",IFERROR(VLOOKUP(A132,'Recert Status'!$A$8:$C$400,3,FALSE()),""))</f>
        <v>46752</v>
      </c>
      <c r="D132" s="31" t="s">
        <v>565</v>
      </c>
      <c r="E132" s="30" t="s">
        <v>416</v>
      </c>
      <c r="F132" s="32" t="n">
        <v>1</v>
      </c>
      <c r="G132" s="33" t="n">
        <v>45826</v>
      </c>
      <c r="H132" s="33" t="n">
        <v>45826</v>
      </c>
      <c r="I132" s="31" t="s">
        <v>566</v>
      </c>
      <c r="J132" s="30" t="s">
        <v>416</v>
      </c>
      <c r="K132" s="31" t="s">
        <v>485</v>
      </c>
      <c r="L132" s="32" t="n">
        <v>1</v>
      </c>
      <c r="M132" s="39" t="s">
        <v>413</v>
      </c>
      <c r="N132" s="31" t="s">
        <v>414</v>
      </c>
      <c r="O132" s="32" t="n">
        <v>1</v>
      </c>
      <c r="P132" s="15" t="n">
        <f aca="false">IF(A132="","",IF(O132&lt;&gt;"",O132,IF(L132&lt;&gt;"",L132,F132)))</f>
        <v>1</v>
      </c>
    </row>
    <row r="133" customFormat="false" ht="15" hidden="false" customHeight="true" outlineLevel="0" collapsed="false">
      <c r="A133" s="26" t="s">
        <v>26</v>
      </c>
      <c r="B133" s="26" t="s">
        <v>27</v>
      </c>
      <c r="C133" s="14" t="n">
        <f aca="false">IF(A133="","",IFERROR(VLOOKUP(A133,'Recert Status'!$A$8:$C$400,3,FALSE()),""))</f>
        <v>46752</v>
      </c>
      <c r="D133" s="18" t="s">
        <v>488</v>
      </c>
      <c r="E133" s="26" t="s">
        <v>416</v>
      </c>
      <c r="F133" s="27" t="n">
        <v>1</v>
      </c>
      <c r="G133" s="28" t="n">
        <v>46125</v>
      </c>
      <c r="H133" s="28" t="n">
        <v>46125</v>
      </c>
      <c r="I133" s="18" t="s">
        <v>608</v>
      </c>
      <c r="J133" s="26" t="s">
        <v>416</v>
      </c>
      <c r="K133" s="18" t="s">
        <v>490</v>
      </c>
      <c r="L133" s="27" t="n">
        <v>1</v>
      </c>
      <c r="M133" s="39" t="s">
        <v>413</v>
      </c>
      <c r="N133" s="18" t="s">
        <v>414</v>
      </c>
      <c r="O133" s="27" t="n">
        <v>1</v>
      </c>
      <c r="P133" s="15" t="n">
        <f aca="false">IF(A133="","",IF(O133&lt;&gt;"",O133,IF(L133&lt;&gt;"",L133,F133)))</f>
        <v>1</v>
      </c>
    </row>
    <row r="134" customFormat="false" ht="15" hidden="false" customHeight="true" outlineLevel="0" collapsed="false">
      <c r="A134" s="30" t="s">
        <v>26</v>
      </c>
      <c r="B134" s="30" t="s">
        <v>27</v>
      </c>
      <c r="C134" s="21" t="n">
        <f aca="false">IF(A134="","",IFERROR(VLOOKUP(A134,'Recert Status'!$A$8:$C$400,3,FALSE()),""))</f>
        <v>46752</v>
      </c>
      <c r="D134" s="31" t="s">
        <v>488</v>
      </c>
      <c r="E134" s="30" t="s">
        <v>416</v>
      </c>
      <c r="F134" s="32" t="n">
        <v>1</v>
      </c>
      <c r="G134" s="33" t="n">
        <v>46126</v>
      </c>
      <c r="H134" s="33" t="n">
        <v>46126</v>
      </c>
      <c r="I134" s="31" t="s">
        <v>489</v>
      </c>
      <c r="J134" s="30" t="s">
        <v>416</v>
      </c>
      <c r="K134" s="31" t="s">
        <v>490</v>
      </c>
      <c r="L134" s="32" t="n">
        <v>1</v>
      </c>
      <c r="M134" s="39" t="s">
        <v>413</v>
      </c>
      <c r="N134" s="31" t="s">
        <v>414</v>
      </c>
      <c r="O134" s="32" t="n">
        <v>1</v>
      </c>
      <c r="P134" s="15" t="n">
        <f aca="false">IF(A134="","",IF(O134&lt;&gt;"",O134,IF(L134&lt;&gt;"",L134,F134)))</f>
        <v>1</v>
      </c>
    </row>
    <row r="135" customFormat="false" ht="15" hidden="false" customHeight="true" outlineLevel="0" collapsed="false">
      <c r="A135" s="26" t="s">
        <v>26</v>
      </c>
      <c r="B135" s="26" t="s">
        <v>27</v>
      </c>
      <c r="C135" s="14" t="n">
        <f aca="false">IF(A135="","",IFERROR(VLOOKUP(A135,'Recert Status'!$A$8:$C$400,3,FALSE()),""))</f>
        <v>46752</v>
      </c>
      <c r="D135" s="18" t="s">
        <v>488</v>
      </c>
      <c r="E135" s="26" t="s">
        <v>416</v>
      </c>
      <c r="F135" s="27" t="n">
        <v>1</v>
      </c>
      <c r="G135" s="28" t="n">
        <v>46127</v>
      </c>
      <c r="H135" s="28" t="n">
        <v>46127</v>
      </c>
      <c r="I135" s="18" t="s">
        <v>534</v>
      </c>
      <c r="J135" s="26" t="s">
        <v>416</v>
      </c>
      <c r="K135" s="18" t="s">
        <v>490</v>
      </c>
      <c r="L135" s="27" t="n">
        <v>1</v>
      </c>
      <c r="M135" s="39" t="s">
        <v>413</v>
      </c>
      <c r="N135" s="18" t="s">
        <v>414</v>
      </c>
      <c r="O135" s="27" t="n">
        <v>1</v>
      </c>
      <c r="P135" s="15" t="n">
        <f aca="false">IF(A135="","",IF(O135&lt;&gt;"",O135,IF(L135&lt;&gt;"",L135,F135)))</f>
        <v>1</v>
      </c>
    </row>
    <row r="136" customFormat="false" ht="15" hidden="false" customHeight="true" outlineLevel="0" collapsed="false">
      <c r="A136" s="30" t="s">
        <v>26</v>
      </c>
      <c r="B136" s="30" t="s">
        <v>27</v>
      </c>
      <c r="C136" s="21" t="n">
        <f aca="false">IF(A136="","",IFERROR(VLOOKUP(A136,'Recert Status'!$A$8:$C$400,3,FALSE()),""))</f>
        <v>46752</v>
      </c>
      <c r="D136" s="31" t="s">
        <v>488</v>
      </c>
      <c r="E136" s="30" t="s">
        <v>416</v>
      </c>
      <c r="F136" s="32" t="n">
        <v>1</v>
      </c>
      <c r="G136" s="33" t="n">
        <v>46128</v>
      </c>
      <c r="H136" s="33" t="n">
        <v>46128</v>
      </c>
      <c r="I136" s="31" t="s">
        <v>609</v>
      </c>
      <c r="J136" s="30" t="s">
        <v>416</v>
      </c>
      <c r="K136" s="31" t="s">
        <v>490</v>
      </c>
      <c r="L136" s="32" t="n">
        <v>1</v>
      </c>
      <c r="M136" s="39" t="s">
        <v>413</v>
      </c>
      <c r="N136" s="31" t="s">
        <v>414</v>
      </c>
      <c r="O136" s="32" t="n">
        <v>1</v>
      </c>
      <c r="P136" s="15" t="n">
        <f aca="false">IF(A136="","",IF(O136&lt;&gt;"",O136,IF(L136&lt;&gt;"",L136,F136)))</f>
        <v>1</v>
      </c>
    </row>
    <row r="137" customFormat="false" ht="15" hidden="false" customHeight="true" outlineLevel="0" collapsed="false">
      <c r="A137" s="26" t="s">
        <v>26</v>
      </c>
      <c r="B137" s="26" t="s">
        <v>27</v>
      </c>
      <c r="C137" s="14" t="n">
        <f aca="false">IF(A137="","",IFERROR(VLOOKUP(A137,'Recert Status'!$A$8:$C$400,3,FALSE()),""))</f>
        <v>46752</v>
      </c>
      <c r="D137" s="18" t="s">
        <v>488</v>
      </c>
      <c r="E137" s="26" t="s">
        <v>416</v>
      </c>
      <c r="F137" s="27" t="n">
        <v>1</v>
      </c>
      <c r="G137" s="28" t="n">
        <v>46132</v>
      </c>
      <c r="H137" s="28" t="n">
        <v>46132</v>
      </c>
      <c r="I137" s="18" t="s">
        <v>609</v>
      </c>
      <c r="J137" s="26" t="s">
        <v>416</v>
      </c>
      <c r="K137" s="18" t="s">
        <v>490</v>
      </c>
      <c r="L137" s="27" t="n">
        <v>1</v>
      </c>
      <c r="M137" s="39" t="s">
        <v>413</v>
      </c>
      <c r="N137" s="18" t="s">
        <v>414</v>
      </c>
      <c r="O137" s="27" t="n">
        <v>1</v>
      </c>
      <c r="P137" s="15" t="n">
        <f aca="false">IF(A137="","",IF(O137&lt;&gt;"",O137,IF(L137&lt;&gt;"",L137,F137)))</f>
        <v>1</v>
      </c>
    </row>
    <row r="138" customFormat="false" ht="15" hidden="false" customHeight="true" outlineLevel="0" collapsed="false">
      <c r="A138" s="30" t="s">
        <v>26</v>
      </c>
      <c r="B138" s="30" t="s">
        <v>27</v>
      </c>
      <c r="C138" s="21" t="n">
        <f aca="false">IF(A138="","",IFERROR(VLOOKUP(A138,'Recert Status'!$A$8:$C$400,3,FALSE()),""))</f>
        <v>46752</v>
      </c>
      <c r="D138" s="31" t="s">
        <v>488</v>
      </c>
      <c r="E138" s="30" t="s">
        <v>416</v>
      </c>
      <c r="F138" s="32" t="n">
        <v>1</v>
      </c>
      <c r="G138" s="33" t="n">
        <v>46139</v>
      </c>
      <c r="H138" s="33" t="n">
        <v>46139</v>
      </c>
      <c r="I138" s="31" t="s">
        <v>610</v>
      </c>
      <c r="J138" s="30" t="s">
        <v>416</v>
      </c>
      <c r="K138" s="31" t="s">
        <v>490</v>
      </c>
      <c r="L138" s="32" t="n">
        <v>1</v>
      </c>
      <c r="M138" s="39" t="s">
        <v>413</v>
      </c>
      <c r="N138" s="31" t="s">
        <v>414</v>
      </c>
      <c r="O138" s="32" t="n">
        <v>1</v>
      </c>
      <c r="P138" s="15" t="n">
        <f aca="false">IF(A138="","",IF(O138&lt;&gt;"",O138,IF(L138&lt;&gt;"",L138,F138)))</f>
        <v>1</v>
      </c>
    </row>
    <row r="139" customFormat="false" ht="15" hidden="false" customHeight="true" outlineLevel="0" collapsed="false">
      <c r="A139" s="26" t="s">
        <v>26</v>
      </c>
      <c r="B139" s="26" t="s">
        <v>27</v>
      </c>
      <c r="C139" s="14" t="n">
        <f aca="false">IF(A139="","",IFERROR(VLOOKUP(A139,'Recert Status'!$A$8:$C$400,3,FALSE()),""))</f>
        <v>46752</v>
      </c>
      <c r="D139" s="18" t="s">
        <v>414</v>
      </c>
      <c r="E139" s="26" t="s">
        <v>416</v>
      </c>
      <c r="F139" s="27" t="n">
        <v>10</v>
      </c>
      <c r="G139" s="28" t="n">
        <v>46217</v>
      </c>
      <c r="H139" s="28" t="n">
        <v>46217</v>
      </c>
      <c r="I139" s="18" t="s">
        <v>611</v>
      </c>
      <c r="J139" s="26" t="s">
        <v>416</v>
      </c>
      <c r="K139" s="18" t="s">
        <v>418</v>
      </c>
      <c r="L139" s="27" t="n">
        <v>10</v>
      </c>
      <c r="M139" s="39" t="s">
        <v>413</v>
      </c>
      <c r="N139" s="18" t="s">
        <v>414</v>
      </c>
      <c r="O139" s="27" t="n">
        <v>10</v>
      </c>
      <c r="P139" s="15" t="n">
        <f aca="false">IF(A139="","",IF(O139&lt;&gt;"",O139,IF(L139&lt;&gt;"",L139,F139)))</f>
        <v>10</v>
      </c>
    </row>
    <row r="140" customFormat="false" ht="15" hidden="false" customHeight="true" outlineLevel="0" collapsed="false">
      <c r="A140" s="30" t="s">
        <v>26</v>
      </c>
      <c r="B140" s="30" t="s">
        <v>27</v>
      </c>
      <c r="C140" s="21" t="n">
        <f aca="false">IF(A140="","",IFERROR(VLOOKUP(A140,'Recert Status'!$A$8:$C$400,3,FALSE()),""))</f>
        <v>46752</v>
      </c>
      <c r="D140" s="31" t="s">
        <v>414</v>
      </c>
      <c r="E140" s="30" t="s">
        <v>416</v>
      </c>
      <c r="F140" s="32" t="n">
        <v>10</v>
      </c>
      <c r="G140" s="33" t="n">
        <v>46219</v>
      </c>
      <c r="H140" s="33" t="n">
        <v>46219</v>
      </c>
      <c r="I140" s="31" t="s">
        <v>491</v>
      </c>
      <c r="J140" s="30" t="s">
        <v>416</v>
      </c>
      <c r="K140" s="31" t="s">
        <v>418</v>
      </c>
      <c r="L140" s="32" t="n">
        <v>10</v>
      </c>
      <c r="M140" s="39" t="s">
        <v>413</v>
      </c>
      <c r="N140" s="31" t="s">
        <v>414</v>
      </c>
      <c r="O140" s="32" t="n">
        <v>10</v>
      </c>
      <c r="P140" s="15" t="n">
        <f aca="false">IF(A140="","",IF(O140&lt;&gt;"",O140,IF(L140&lt;&gt;"",L140,F140)))</f>
        <v>10</v>
      </c>
    </row>
    <row r="141" customFormat="false" ht="15" hidden="false" customHeight="true" outlineLevel="0" collapsed="false">
      <c r="A141" s="26" t="s">
        <v>28</v>
      </c>
      <c r="B141" s="26"/>
      <c r="C141" s="14" t="n">
        <f aca="false">IF(A141="","",IFERROR(VLOOKUP(A141,'Recert Status'!$A$8:$C$400,3,FALSE()),""))</f>
        <v>0</v>
      </c>
      <c r="D141" s="18" t="s">
        <v>569</v>
      </c>
      <c r="E141" s="26" t="s">
        <v>542</v>
      </c>
      <c r="F141" s="27" t="n">
        <v>0.5</v>
      </c>
      <c r="G141" s="28" t="n">
        <v>45673</v>
      </c>
      <c r="H141" s="28" t="n">
        <v>45673</v>
      </c>
      <c r="I141" s="18" t="s">
        <v>612</v>
      </c>
      <c r="J141" s="26" t="s">
        <v>542</v>
      </c>
      <c r="K141" s="18" t="s">
        <v>407</v>
      </c>
      <c r="L141" s="27" t="n">
        <v>0.5</v>
      </c>
      <c r="M141" s="40" t="s">
        <v>423</v>
      </c>
      <c r="N141" s="18" t="s">
        <v>424</v>
      </c>
      <c r="O141" s="27" t="n">
        <v>0.5</v>
      </c>
      <c r="P141" s="15" t="n">
        <f aca="false">IF(A141="","",IF(O141&lt;&gt;"",O141,IF(L141&lt;&gt;"",L141,F141)))</f>
        <v>0.5</v>
      </c>
    </row>
    <row r="142" customFormat="false" ht="15" hidden="false" customHeight="true" outlineLevel="0" collapsed="false">
      <c r="A142" s="30" t="s">
        <v>29</v>
      </c>
      <c r="B142" s="30"/>
      <c r="C142" s="21" t="n">
        <f aca="false">IF(A142="","",IFERROR(VLOOKUP(A142,'Recert Status'!$A$8:$C$400,3,FALSE()),""))</f>
        <v>0</v>
      </c>
      <c r="D142" s="31" t="s">
        <v>613</v>
      </c>
      <c r="E142" s="30" t="n">
        <v>29784</v>
      </c>
      <c r="F142" s="32" t="n">
        <v>0.5</v>
      </c>
      <c r="G142" s="33" t="n">
        <v>45670</v>
      </c>
      <c r="H142" s="33" t="n">
        <v>45670</v>
      </c>
      <c r="I142" s="31" t="s">
        <v>614</v>
      </c>
      <c r="J142" s="30" t="s">
        <v>435</v>
      </c>
      <c r="K142" s="31" t="s">
        <v>468</v>
      </c>
      <c r="L142" s="32" t="n">
        <v>0.5</v>
      </c>
      <c r="M142" s="35" t="s">
        <v>386</v>
      </c>
      <c r="N142" s="31" t="s">
        <v>387</v>
      </c>
      <c r="O142" s="32" t="n">
        <v>0.5</v>
      </c>
      <c r="P142" s="15" t="n">
        <f aca="false">IF(A142="","",IF(O142&lt;&gt;"",O142,IF(L142&lt;&gt;"",L142,F142)))</f>
        <v>0.5</v>
      </c>
    </row>
    <row r="143" customFormat="false" ht="15" hidden="false" customHeight="true" outlineLevel="0" collapsed="false">
      <c r="A143" s="26" t="s">
        <v>29</v>
      </c>
      <c r="B143" s="26"/>
      <c r="C143" s="14" t="n">
        <f aca="false">IF(A143="","",IFERROR(VLOOKUP(A143,'Recert Status'!$A$8:$C$400,3,FALSE()),""))</f>
        <v>0</v>
      </c>
      <c r="D143" s="18" t="s">
        <v>615</v>
      </c>
      <c r="E143" s="26" t="n">
        <v>29740</v>
      </c>
      <c r="F143" s="27" t="n">
        <v>2</v>
      </c>
      <c r="G143" s="28" t="n">
        <v>45884</v>
      </c>
      <c r="H143" s="28" t="n">
        <v>45884</v>
      </c>
      <c r="I143" s="18" t="s">
        <v>616</v>
      </c>
      <c r="J143" s="26" t="s">
        <v>394</v>
      </c>
      <c r="K143" s="18" t="s">
        <v>385</v>
      </c>
      <c r="L143" s="27" t="n">
        <v>2</v>
      </c>
      <c r="M143" s="35" t="s">
        <v>386</v>
      </c>
      <c r="N143" s="18" t="s">
        <v>397</v>
      </c>
      <c r="O143" s="27" t="n">
        <v>2</v>
      </c>
      <c r="P143" s="15" t="n">
        <f aca="false">IF(A143="","",IF(O143&lt;&gt;"",O143,IF(L143&lt;&gt;"",L143,F143)))</f>
        <v>2</v>
      </c>
    </row>
    <row r="144" customFormat="false" ht="15" hidden="false" customHeight="true" outlineLevel="0" collapsed="false">
      <c r="A144" s="30" t="s">
        <v>29</v>
      </c>
      <c r="B144" s="30"/>
      <c r="C144" s="21" t="n">
        <f aca="false">IF(A144="","",IFERROR(VLOOKUP(A144,'Recert Status'!$A$8:$C$400,3,FALSE()),""))</f>
        <v>0</v>
      </c>
      <c r="D144" s="31" t="s">
        <v>617</v>
      </c>
      <c r="E144" s="30" t="s">
        <v>452</v>
      </c>
      <c r="F144" s="32" t="n">
        <v>2</v>
      </c>
      <c r="G144" s="33" t="n">
        <v>45883</v>
      </c>
      <c r="H144" s="33" t="n">
        <v>45883</v>
      </c>
      <c r="I144" s="31" t="s">
        <v>618</v>
      </c>
      <c r="J144" s="30" t="s">
        <v>452</v>
      </c>
      <c r="K144" s="31" t="s">
        <v>385</v>
      </c>
      <c r="L144" s="32" t="n">
        <v>2</v>
      </c>
      <c r="M144" s="36" t="s">
        <v>396</v>
      </c>
      <c r="N144" s="31" t="s">
        <v>397</v>
      </c>
      <c r="O144" s="32" t="n">
        <v>2</v>
      </c>
      <c r="P144" s="15" t="n">
        <f aca="false">IF(A144="","",IF(O144&lt;&gt;"",O144,IF(L144&lt;&gt;"",L144,F144)))</f>
        <v>2</v>
      </c>
    </row>
    <row r="145" customFormat="false" ht="15" hidden="false" customHeight="true" outlineLevel="0" collapsed="false">
      <c r="A145" s="26" t="s">
        <v>30</v>
      </c>
      <c r="B145" s="26" t="s">
        <v>31</v>
      </c>
      <c r="C145" s="14" t="n">
        <f aca="false">IF(A145="","",IFERROR(VLOOKUP(A145,'Recert Status'!$A$8:$C$400,3,FALSE()),""))</f>
        <v>46752</v>
      </c>
      <c r="D145" s="18" t="s">
        <v>619</v>
      </c>
      <c r="E145" s="26" t="n">
        <v>29675</v>
      </c>
      <c r="F145" s="27" t="n">
        <v>0.5</v>
      </c>
      <c r="G145" s="28" t="n">
        <v>45762</v>
      </c>
      <c r="H145" s="28" t="n">
        <v>45762</v>
      </c>
      <c r="I145" s="18" t="s">
        <v>620</v>
      </c>
      <c r="J145" s="26" t="s">
        <v>406</v>
      </c>
      <c r="K145" s="18" t="s">
        <v>370</v>
      </c>
      <c r="L145" s="27" t="n">
        <v>0.5</v>
      </c>
      <c r="M145" s="29" t="s">
        <v>366</v>
      </c>
      <c r="N145" s="18" t="s">
        <v>367</v>
      </c>
      <c r="O145" s="27" t="n">
        <v>0.5</v>
      </c>
      <c r="P145" s="15" t="n">
        <f aca="false">IF(A145="","",IF(O145&lt;&gt;"",O145,IF(L145&lt;&gt;"",L145,F145)))</f>
        <v>0.5</v>
      </c>
    </row>
    <row r="146" customFormat="false" ht="15" hidden="false" customHeight="true" outlineLevel="0" collapsed="false">
      <c r="A146" s="30" t="s">
        <v>30</v>
      </c>
      <c r="B146" s="30" t="s">
        <v>31</v>
      </c>
      <c r="C146" s="21" t="n">
        <f aca="false">IF(A146="","",IFERROR(VLOOKUP(A146,'Recert Status'!$A$8:$C$400,3,FALSE()),""))</f>
        <v>46752</v>
      </c>
      <c r="D146" s="31" t="s">
        <v>621</v>
      </c>
      <c r="E146" s="30" t="n">
        <v>29740</v>
      </c>
      <c r="F146" s="32" t="n">
        <v>0.5</v>
      </c>
      <c r="G146" s="33" t="n">
        <v>45783</v>
      </c>
      <c r="H146" s="33" t="n">
        <v>45783</v>
      </c>
      <c r="I146" s="31" t="s">
        <v>622</v>
      </c>
      <c r="J146" s="30" t="s">
        <v>394</v>
      </c>
      <c r="K146" s="31" t="s">
        <v>365</v>
      </c>
      <c r="L146" s="32" t="n">
        <v>0.5</v>
      </c>
      <c r="M146" s="29" t="s">
        <v>366</v>
      </c>
      <c r="N146" s="31" t="s">
        <v>367</v>
      </c>
      <c r="O146" s="32" t="n">
        <v>0.5</v>
      </c>
      <c r="P146" s="15" t="n">
        <f aca="false">IF(A146="","",IF(O146&lt;&gt;"",O146,IF(L146&lt;&gt;"",L146,F146)))</f>
        <v>0.5</v>
      </c>
    </row>
    <row r="147" customFormat="false" ht="15" hidden="false" customHeight="true" outlineLevel="0" collapsed="false">
      <c r="A147" s="26" t="s">
        <v>30</v>
      </c>
      <c r="B147" s="26" t="s">
        <v>31</v>
      </c>
      <c r="C147" s="14" t="n">
        <f aca="false">IF(A147="","",IFERROR(VLOOKUP(A147,'Recert Status'!$A$8:$C$400,3,FALSE()),""))</f>
        <v>46752</v>
      </c>
      <c r="D147" s="18" t="s">
        <v>623</v>
      </c>
      <c r="E147" s="26" t="s">
        <v>363</v>
      </c>
      <c r="F147" s="27" t="n">
        <v>0.5</v>
      </c>
      <c r="G147" s="28" t="n">
        <v>45783</v>
      </c>
      <c r="H147" s="28" t="n">
        <v>45783</v>
      </c>
      <c r="I147" s="18" t="s">
        <v>624</v>
      </c>
      <c r="J147" s="26" t="s">
        <v>363</v>
      </c>
      <c r="K147" s="18" t="s">
        <v>365</v>
      </c>
      <c r="L147" s="27" t="n">
        <v>0.5</v>
      </c>
      <c r="M147" s="29" t="s">
        <v>366</v>
      </c>
      <c r="N147" s="18" t="s">
        <v>367</v>
      </c>
      <c r="O147" s="27" t="n">
        <v>0.5</v>
      </c>
      <c r="P147" s="15" t="n">
        <f aca="false">IF(A147="","",IF(O147&lt;&gt;"",O147,IF(L147&lt;&gt;"",L147,F147)))</f>
        <v>0.5</v>
      </c>
    </row>
    <row r="148" customFormat="false" ht="15" hidden="false" customHeight="true" outlineLevel="0" collapsed="false">
      <c r="A148" s="30" t="s">
        <v>30</v>
      </c>
      <c r="B148" s="30" t="s">
        <v>31</v>
      </c>
      <c r="C148" s="21" t="n">
        <f aca="false">IF(A148="","",IFERROR(VLOOKUP(A148,'Recert Status'!$A$8:$C$400,3,FALSE()),""))</f>
        <v>46752</v>
      </c>
      <c r="D148" s="31" t="s">
        <v>625</v>
      </c>
      <c r="E148" s="30" t="n">
        <v>29722</v>
      </c>
      <c r="F148" s="32" t="n">
        <v>1</v>
      </c>
      <c r="G148" s="33" t="n">
        <v>45939</v>
      </c>
      <c r="H148" s="33" t="n">
        <v>45939</v>
      </c>
      <c r="I148" s="31" t="s">
        <v>626</v>
      </c>
      <c r="J148" s="30" t="s">
        <v>627</v>
      </c>
      <c r="K148" s="31" t="s">
        <v>370</v>
      </c>
      <c r="L148" s="32" t="n">
        <v>1</v>
      </c>
      <c r="M148" s="29" t="s">
        <v>366</v>
      </c>
      <c r="N148" s="31" t="s">
        <v>367</v>
      </c>
      <c r="O148" s="32" t="n">
        <v>1</v>
      </c>
      <c r="P148" s="15" t="n">
        <f aca="false">IF(A148="","",IF(O148&lt;&gt;"",O148,IF(L148&lt;&gt;"",L148,F148)))</f>
        <v>1</v>
      </c>
    </row>
    <row r="149" customFormat="false" ht="15" hidden="false" customHeight="true" outlineLevel="0" collapsed="false">
      <c r="A149" s="26" t="s">
        <v>30</v>
      </c>
      <c r="B149" s="26" t="s">
        <v>31</v>
      </c>
      <c r="C149" s="14" t="n">
        <f aca="false">IF(A149="","",IFERROR(VLOOKUP(A149,'Recert Status'!$A$8:$C$400,3,FALSE()),""))</f>
        <v>46752</v>
      </c>
      <c r="D149" s="18" t="s">
        <v>628</v>
      </c>
      <c r="E149" s="26" t="n">
        <v>29675</v>
      </c>
      <c r="F149" s="27" t="n">
        <v>0.5</v>
      </c>
      <c r="G149" s="28" t="n">
        <v>45951</v>
      </c>
      <c r="H149" s="28" t="n">
        <v>45951</v>
      </c>
      <c r="I149" s="18" t="s">
        <v>629</v>
      </c>
      <c r="J149" s="26" t="s">
        <v>406</v>
      </c>
      <c r="K149" s="18" t="s">
        <v>630</v>
      </c>
      <c r="L149" s="27" t="n">
        <v>0.5</v>
      </c>
      <c r="M149" s="29" t="s">
        <v>366</v>
      </c>
      <c r="N149" s="18" t="s">
        <v>367</v>
      </c>
      <c r="O149" s="27" t="n">
        <v>0.5</v>
      </c>
      <c r="P149" s="15" t="n">
        <f aca="false">IF(A149="","",IF(O149&lt;&gt;"",O149,IF(L149&lt;&gt;"",L149,F149)))</f>
        <v>0.5</v>
      </c>
    </row>
    <row r="150" customFormat="false" ht="15" hidden="false" customHeight="true" outlineLevel="0" collapsed="false">
      <c r="A150" s="30" t="s">
        <v>30</v>
      </c>
      <c r="B150" s="30" t="s">
        <v>31</v>
      </c>
      <c r="C150" s="21" t="n">
        <f aca="false">IF(A150="","",IFERROR(VLOOKUP(A150,'Recert Status'!$A$8:$C$400,3,FALSE()),""))</f>
        <v>46752</v>
      </c>
      <c r="D150" s="31" t="s">
        <v>512</v>
      </c>
      <c r="E150" s="30" t="n">
        <v>29675</v>
      </c>
      <c r="F150" s="32" t="n">
        <v>1</v>
      </c>
      <c r="G150" s="33" t="n">
        <v>45952</v>
      </c>
      <c r="H150" s="33" t="n">
        <v>45952</v>
      </c>
      <c r="I150" s="31" t="s">
        <v>631</v>
      </c>
      <c r="J150" s="30" t="s">
        <v>406</v>
      </c>
      <c r="K150" s="31" t="s">
        <v>630</v>
      </c>
      <c r="L150" s="32" t="n">
        <v>1</v>
      </c>
      <c r="M150" s="29" t="s">
        <v>366</v>
      </c>
      <c r="N150" s="31" t="s">
        <v>367</v>
      </c>
      <c r="O150" s="32" t="n">
        <v>1</v>
      </c>
      <c r="P150" s="15" t="n">
        <f aca="false">IF(A150="","",IF(O150&lt;&gt;"",O150,IF(L150&lt;&gt;"",L150,F150)))</f>
        <v>1</v>
      </c>
    </row>
    <row r="151" customFormat="false" ht="15" hidden="false" customHeight="true" outlineLevel="0" collapsed="false">
      <c r="A151" s="26" t="s">
        <v>30</v>
      </c>
      <c r="B151" s="26" t="s">
        <v>31</v>
      </c>
      <c r="C151" s="14" t="n">
        <f aca="false">IF(A151="","",IFERROR(VLOOKUP(A151,'Recert Status'!$A$8:$C$400,3,FALSE()),""))</f>
        <v>46752</v>
      </c>
      <c r="D151" s="18" t="s">
        <v>632</v>
      </c>
      <c r="E151" s="26" t="n">
        <v>29675</v>
      </c>
      <c r="F151" s="27" t="n">
        <v>0.5</v>
      </c>
      <c r="G151" s="28" t="n">
        <v>45855</v>
      </c>
      <c r="H151" s="28" t="n">
        <v>45855</v>
      </c>
      <c r="I151" s="18" t="s">
        <v>633</v>
      </c>
      <c r="J151" s="26" t="s">
        <v>406</v>
      </c>
      <c r="K151" s="18" t="s">
        <v>422</v>
      </c>
      <c r="L151" s="27" t="n">
        <v>0.5</v>
      </c>
      <c r="M151" s="40" t="s">
        <v>423</v>
      </c>
      <c r="N151" s="18" t="s">
        <v>424</v>
      </c>
      <c r="O151" s="27" t="n">
        <v>0.5</v>
      </c>
      <c r="P151" s="15" t="n">
        <f aca="false">IF(A151="","",IF(O151&lt;&gt;"",O151,IF(L151&lt;&gt;"",L151,F151)))</f>
        <v>0.5</v>
      </c>
    </row>
    <row r="152" customFormat="false" ht="15" hidden="false" customHeight="true" outlineLevel="0" collapsed="false">
      <c r="A152" s="30" t="s">
        <v>30</v>
      </c>
      <c r="B152" s="30" t="s">
        <v>31</v>
      </c>
      <c r="C152" s="21" t="n">
        <f aca="false">IF(A152="","",IFERROR(VLOOKUP(A152,'Recert Status'!$A$8:$C$400,3,FALSE()),""))</f>
        <v>46752</v>
      </c>
      <c r="D152" s="31" t="s">
        <v>569</v>
      </c>
      <c r="E152" s="30" t="n">
        <v>57433</v>
      </c>
      <c r="F152" s="32" t="n">
        <v>1</v>
      </c>
      <c r="G152" s="33" t="n">
        <v>46017</v>
      </c>
      <c r="H152" s="33" t="n">
        <v>46017</v>
      </c>
      <c r="I152" s="31" t="s">
        <v>570</v>
      </c>
      <c r="J152" s="30" t="s">
        <v>421</v>
      </c>
      <c r="K152" s="31" t="s">
        <v>428</v>
      </c>
      <c r="L152" s="32" t="n">
        <v>1</v>
      </c>
      <c r="M152" s="40" t="s">
        <v>423</v>
      </c>
      <c r="N152" s="31" t="s">
        <v>514</v>
      </c>
      <c r="O152" s="32" t="n">
        <v>1</v>
      </c>
      <c r="P152" s="15" t="n">
        <f aca="false">IF(A152="","",IF(O152&lt;&gt;"",O152,IF(L152&lt;&gt;"",L152,F152)))</f>
        <v>1</v>
      </c>
    </row>
    <row r="153" customFormat="false" ht="15" hidden="false" customHeight="true" outlineLevel="0" collapsed="false">
      <c r="A153" s="26" t="s">
        <v>30</v>
      </c>
      <c r="B153" s="26" t="s">
        <v>31</v>
      </c>
      <c r="C153" s="14" t="n">
        <f aca="false">IF(A153="","",IFERROR(VLOOKUP(A153,'Recert Status'!$A$8:$C$400,3,FALSE()),""))</f>
        <v>46752</v>
      </c>
      <c r="D153" s="18" t="s">
        <v>634</v>
      </c>
      <c r="E153" s="26" t="n">
        <v>29722</v>
      </c>
      <c r="F153" s="27" t="n">
        <v>1</v>
      </c>
      <c r="G153" s="28" t="n">
        <v>45940</v>
      </c>
      <c r="H153" s="28" t="n">
        <v>45940</v>
      </c>
      <c r="I153" s="18" t="s">
        <v>635</v>
      </c>
      <c r="J153" s="26" t="s">
        <v>627</v>
      </c>
      <c r="K153" s="18" t="s">
        <v>428</v>
      </c>
      <c r="L153" s="27" t="n">
        <v>1</v>
      </c>
      <c r="M153" s="41" t="s">
        <v>429</v>
      </c>
      <c r="N153" s="18" t="s">
        <v>430</v>
      </c>
      <c r="O153" s="27" t="n">
        <v>1</v>
      </c>
      <c r="P153" s="15" t="n">
        <f aca="false">IF(A153="","",IF(O153&lt;&gt;"",O153,IF(L153&lt;&gt;"",L153,F153)))</f>
        <v>1</v>
      </c>
    </row>
    <row r="154" customFormat="false" ht="15" hidden="false" customHeight="true" outlineLevel="0" collapsed="false">
      <c r="A154" s="30" t="s">
        <v>30</v>
      </c>
      <c r="B154" s="30" t="s">
        <v>31</v>
      </c>
      <c r="C154" s="21" t="n">
        <f aca="false">IF(A154="","",IFERROR(VLOOKUP(A154,'Recert Status'!$A$8:$C$400,3,FALSE()),""))</f>
        <v>46752</v>
      </c>
      <c r="D154" s="31" t="s">
        <v>636</v>
      </c>
      <c r="E154" s="30" t="n">
        <v>29722</v>
      </c>
      <c r="F154" s="32" t="n">
        <v>1</v>
      </c>
      <c r="G154" s="33" t="n">
        <v>45940</v>
      </c>
      <c r="H154" s="33" t="n">
        <v>45940</v>
      </c>
      <c r="I154" s="31" t="s">
        <v>637</v>
      </c>
      <c r="J154" s="30" t="s">
        <v>627</v>
      </c>
      <c r="K154" s="31" t="s">
        <v>374</v>
      </c>
      <c r="L154" s="32" t="n">
        <v>1</v>
      </c>
      <c r="M154" s="34" t="s">
        <v>375</v>
      </c>
      <c r="N154" s="31" t="s">
        <v>376</v>
      </c>
      <c r="O154" s="32" t="n">
        <v>1</v>
      </c>
      <c r="P154" s="15" t="n">
        <f aca="false">IF(A154="","",IF(O154&lt;&gt;"",O154,IF(L154&lt;&gt;"",L154,F154)))</f>
        <v>1</v>
      </c>
    </row>
    <row r="155" customFormat="false" ht="15" hidden="false" customHeight="true" outlineLevel="0" collapsed="false">
      <c r="A155" s="26" t="s">
        <v>30</v>
      </c>
      <c r="B155" s="26" t="s">
        <v>31</v>
      </c>
      <c r="C155" s="14" t="n">
        <f aca="false">IF(A155="","",IFERROR(VLOOKUP(A155,'Recert Status'!$A$8:$C$400,3,FALSE()),""))</f>
        <v>46752</v>
      </c>
      <c r="D155" s="18" t="s">
        <v>638</v>
      </c>
      <c r="E155" s="26" t="n">
        <v>29722</v>
      </c>
      <c r="F155" s="27" t="n">
        <v>1</v>
      </c>
      <c r="G155" s="28" t="n">
        <v>45940</v>
      </c>
      <c r="H155" s="28" t="n">
        <v>45940</v>
      </c>
      <c r="I155" s="18" t="s">
        <v>639</v>
      </c>
      <c r="J155" s="26" t="s">
        <v>627</v>
      </c>
      <c r="K155" s="18" t="s">
        <v>374</v>
      </c>
      <c r="L155" s="27" t="n">
        <v>1</v>
      </c>
      <c r="M155" s="34" t="s">
        <v>375</v>
      </c>
      <c r="N155" s="18" t="s">
        <v>376</v>
      </c>
      <c r="O155" s="27" t="n">
        <v>1</v>
      </c>
      <c r="P155" s="15" t="n">
        <f aca="false">IF(A155="","",IF(O155&lt;&gt;"",O155,IF(L155&lt;&gt;"",L155,F155)))</f>
        <v>1</v>
      </c>
    </row>
    <row r="156" customFormat="false" ht="15" hidden="false" customHeight="true" outlineLevel="0" collapsed="false">
      <c r="A156" s="30" t="s">
        <v>30</v>
      </c>
      <c r="B156" s="30" t="s">
        <v>31</v>
      </c>
      <c r="C156" s="21" t="n">
        <f aca="false">IF(A156="","",IFERROR(VLOOKUP(A156,'Recert Status'!$A$8:$C$400,3,FALSE()),""))</f>
        <v>46752</v>
      </c>
      <c r="D156" s="31" t="s">
        <v>640</v>
      </c>
      <c r="E156" s="30" t="n">
        <v>29740</v>
      </c>
      <c r="F156" s="32" t="n">
        <v>0.5</v>
      </c>
      <c r="G156" s="33" t="n">
        <v>45678</v>
      </c>
      <c r="H156" s="33" t="n">
        <v>45678</v>
      </c>
      <c r="I156" s="31" t="s">
        <v>641</v>
      </c>
      <c r="J156" s="30" t="s">
        <v>394</v>
      </c>
      <c r="K156" s="31" t="s">
        <v>476</v>
      </c>
      <c r="L156" s="32" t="n">
        <v>0.5</v>
      </c>
      <c r="M156" s="35" t="s">
        <v>386</v>
      </c>
      <c r="N156" s="31" t="s">
        <v>387</v>
      </c>
      <c r="O156" s="32" t="n">
        <v>0.5</v>
      </c>
      <c r="P156" s="15" t="n">
        <f aca="false">IF(A156="","",IF(O156&lt;&gt;"",O156,IF(L156&lt;&gt;"",L156,F156)))</f>
        <v>0.5</v>
      </c>
    </row>
    <row r="157" customFormat="false" ht="15" hidden="false" customHeight="true" outlineLevel="0" collapsed="false">
      <c r="A157" s="26" t="s">
        <v>30</v>
      </c>
      <c r="B157" s="26" t="s">
        <v>31</v>
      </c>
      <c r="C157" s="14" t="n">
        <f aca="false">IF(A157="","",IFERROR(VLOOKUP(A157,'Recert Status'!$A$8:$C$400,3,FALSE()),""))</f>
        <v>46752</v>
      </c>
      <c r="D157" s="18" t="s">
        <v>642</v>
      </c>
      <c r="E157" s="26" t="n">
        <v>29675</v>
      </c>
      <c r="F157" s="27" t="n">
        <v>0.5</v>
      </c>
      <c r="G157" s="28" t="n">
        <v>45762</v>
      </c>
      <c r="H157" s="28" t="n">
        <v>45762</v>
      </c>
      <c r="I157" s="18" t="s">
        <v>643</v>
      </c>
      <c r="J157" s="26" t="s">
        <v>406</v>
      </c>
      <c r="K157" s="18" t="s">
        <v>395</v>
      </c>
      <c r="L157" s="27" t="n">
        <v>0.5</v>
      </c>
      <c r="M157" s="35" t="s">
        <v>386</v>
      </c>
      <c r="N157" s="18" t="s">
        <v>387</v>
      </c>
      <c r="O157" s="27" t="n">
        <v>0.5</v>
      </c>
      <c r="P157" s="15" t="n">
        <f aca="false">IF(A157="","",IF(O157&lt;&gt;"",O157,IF(L157&lt;&gt;"",L157,F157)))</f>
        <v>0.5</v>
      </c>
    </row>
    <row r="158" customFormat="false" ht="15" hidden="false" customHeight="true" outlineLevel="0" collapsed="false">
      <c r="A158" s="30" t="s">
        <v>30</v>
      </c>
      <c r="B158" s="30" t="s">
        <v>31</v>
      </c>
      <c r="C158" s="21" t="n">
        <f aca="false">IF(A158="","",IFERROR(VLOOKUP(A158,'Recert Status'!$A$8:$C$400,3,FALSE()),""))</f>
        <v>46752</v>
      </c>
      <c r="D158" s="31" t="s">
        <v>644</v>
      </c>
      <c r="E158" s="30" t="n">
        <v>29743</v>
      </c>
      <c r="F158" s="32" t="n">
        <v>1</v>
      </c>
      <c r="G158" s="33" t="n">
        <v>45777</v>
      </c>
      <c r="H158" s="33" t="n">
        <v>45777</v>
      </c>
      <c r="I158" s="31" t="s">
        <v>645</v>
      </c>
      <c r="J158" s="30" t="s">
        <v>439</v>
      </c>
      <c r="K158" s="31" t="s">
        <v>646</v>
      </c>
      <c r="L158" s="32" t="n">
        <v>1</v>
      </c>
      <c r="M158" s="35" t="s">
        <v>386</v>
      </c>
      <c r="N158" s="31" t="s">
        <v>387</v>
      </c>
      <c r="O158" s="32" t="n">
        <v>1</v>
      </c>
      <c r="P158" s="15" t="n">
        <f aca="false">IF(A158="","",IF(O158&lt;&gt;"",O158,IF(L158&lt;&gt;"",L158,F158)))</f>
        <v>1</v>
      </c>
    </row>
    <row r="159" customFormat="false" ht="15" hidden="false" customHeight="true" outlineLevel="0" collapsed="false">
      <c r="A159" s="26" t="s">
        <v>30</v>
      </c>
      <c r="B159" s="26" t="s">
        <v>31</v>
      </c>
      <c r="C159" s="14" t="n">
        <f aca="false">IF(A159="","",IFERROR(VLOOKUP(A159,'Recert Status'!$A$8:$C$400,3,FALSE()),""))</f>
        <v>46752</v>
      </c>
      <c r="D159" s="18" t="s">
        <v>647</v>
      </c>
      <c r="E159" s="26" t="n">
        <v>29675</v>
      </c>
      <c r="F159" s="27" t="n">
        <v>1</v>
      </c>
      <c r="G159" s="28" t="n">
        <v>45840</v>
      </c>
      <c r="H159" s="28" t="n">
        <v>45840</v>
      </c>
      <c r="I159" s="18" t="s">
        <v>648</v>
      </c>
      <c r="J159" s="26" t="s">
        <v>406</v>
      </c>
      <c r="K159" s="18" t="s">
        <v>385</v>
      </c>
      <c r="L159" s="27" t="n">
        <v>1</v>
      </c>
      <c r="M159" s="35" t="s">
        <v>386</v>
      </c>
      <c r="N159" s="18" t="s">
        <v>387</v>
      </c>
      <c r="O159" s="27" t="n">
        <v>1</v>
      </c>
      <c r="P159" s="15" t="n">
        <f aca="false">IF(A159="","",IF(O159&lt;&gt;"",O159,IF(L159&lt;&gt;"",L159,F159)))</f>
        <v>1</v>
      </c>
    </row>
    <row r="160" customFormat="false" ht="15" hidden="false" customHeight="true" outlineLevel="0" collapsed="false">
      <c r="A160" s="30" t="s">
        <v>30</v>
      </c>
      <c r="B160" s="30" t="s">
        <v>31</v>
      </c>
      <c r="C160" s="21" t="n">
        <f aca="false">IF(A160="","",IFERROR(VLOOKUP(A160,'Recert Status'!$A$8:$C$400,3,FALSE()),""))</f>
        <v>46752</v>
      </c>
      <c r="D160" s="31" t="s">
        <v>649</v>
      </c>
      <c r="E160" s="30" t="s">
        <v>363</v>
      </c>
      <c r="F160" s="32" t="n">
        <v>1</v>
      </c>
      <c r="G160" s="33" t="n">
        <v>45867</v>
      </c>
      <c r="H160" s="33" t="n">
        <v>45867</v>
      </c>
      <c r="I160" s="31" t="s">
        <v>650</v>
      </c>
      <c r="J160" s="30" t="s">
        <v>363</v>
      </c>
      <c r="K160" s="31" t="s">
        <v>370</v>
      </c>
      <c r="L160" s="32" t="n">
        <v>1</v>
      </c>
      <c r="M160" s="35" t="s">
        <v>386</v>
      </c>
      <c r="N160" s="31" t="s">
        <v>387</v>
      </c>
      <c r="O160" s="32" t="n">
        <v>1</v>
      </c>
      <c r="P160" s="15" t="n">
        <f aca="false">IF(A160="","",IF(O160&lt;&gt;"",O160,IF(L160&lt;&gt;"",L160,F160)))</f>
        <v>1</v>
      </c>
    </row>
    <row r="161" customFormat="false" ht="15" hidden="false" customHeight="true" outlineLevel="0" collapsed="false">
      <c r="A161" s="26" t="s">
        <v>30</v>
      </c>
      <c r="B161" s="26" t="s">
        <v>31</v>
      </c>
      <c r="C161" s="14" t="n">
        <f aca="false">IF(A161="","",IFERROR(VLOOKUP(A161,'Recert Status'!$A$8:$C$400,3,FALSE()),""))</f>
        <v>46752</v>
      </c>
      <c r="D161" s="18" t="s">
        <v>651</v>
      </c>
      <c r="E161" s="26" t="n">
        <v>29668</v>
      </c>
      <c r="F161" s="27" t="n">
        <v>1</v>
      </c>
      <c r="G161" s="28" t="n">
        <v>45867</v>
      </c>
      <c r="H161" s="28" t="n">
        <v>45867</v>
      </c>
      <c r="I161" s="18" t="s">
        <v>652</v>
      </c>
      <c r="J161" s="26" t="s">
        <v>511</v>
      </c>
      <c r="K161" s="18" t="s">
        <v>509</v>
      </c>
      <c r="L161" s="27" t="n">
        <v>1</v>
      </c>
      <c r="M161" s="35" t="s">
        <v>386</v>
      </c>
      <c r="N161" s="18" t="s">
        <v>387</v>
      </c>
      <c r="O161" s="27" t="n">
        <v>1</v>
      </c>
      <c r="P161" s="15" t="n">
        <f aca="false">IF(A161="","",IF(O161&lt;&gt;"",O161,IF(L161&lt;&gt;"",L161,F161)))</f>
        <v>1</v>
      </c>
    </row>
    <row r="162" customFormat="false" ht="15" hidden="false" customHeight="true" outlineLevel="0" collapsed="false">
      <c r="A162" s="30" t="s">
        <v>30</v>
      </c>
      <c r="B162" s="30" t="s">
        <v>31</v>
      </c>
      <c r="C162" s="21" t="n">
        <f aca="false">IF(A162="","",IFERROR(VLOOKUP(A162,'Recert Status'!$A$8:$C$400,3,FALSE()),""))</f>
        <v>46752</v>
      </c>
      <c r="D162" s="31" t="s">
        <v>653</v>
      </c>
      <c r="E162" s="30" t="n">
        <v>29722</v>
      </c>
      <c r="F162" s="32" t="n">
        <v>1</v>
      </c>
      <c r="G162" s="33" t="n">
        <v>45940</v>
      </c>
      <c r="H162" s="33" t="n">
        <v>45940</v>
      </c>
      <c r="I162" s="31" t="s">
        <v>654</v>
      </c>
      <c r="J162" s="30" t="s">
        <v>627</v>
      </c>
      <c r="K162" s="31" t="s">
        <v>655</v>
      </c>
      <c r="L162" s="32" t="n">
        <v>1</v>
      </c>
      <c r="M162" s="35" t="s">
        <v>386</v>
      </c>
      <c r="N162" s="31" t="s">
        <v>387</v>
      </c>
      <c r="O162" s="32" t="n">
        <v>1</v>
      </c>
      <c r="P162" s="15" t="n">
        <f aca="false">IF(A162="","",IF(O162&lt;&gt;"",O162,IF(L162&lt;&gt;"",L162,F162)))</f>
        <v>1</v>
      </c>
    </row>
    <row r="163" customFormat="false" ht="15" hidden="false" customHeight="true" outlineLevel="0" collapsed="false">
      <c r="A163" s="26" t="s">
        <v>30</v>
      </c>
      <c r="B163" s="26" t="s">
        <v>31</v>
      </c>
      <c r="C163" s="14" t="n">
        <f aca="false">IF(A163="","",IFERROR(VLOOKUP(A163,'Recert Status'!$A$8:$C$400,3,FALSE()),""))</f>
        <v>46752</v>
      </c>
      <c r="D163" s="18" t="s">
        <v>656</v>
      </c>
      <c r="E163" s="26" t="n">
        <v>29722</v>
      </c>
      <c r="F163" s="27" t="n">
        <v>1</v>
      </c>
      <c r="G163" s="28" t="n">
        <v>45945</v>
      </c>
      <c r="H163" s="28" t="n">
        <v>45945</v>
      </c>
      <c r="I163" s="18" t="s">
        <v>657</v>
      </c>
      <c r="J163" s="26" t="s">
        <v>627</v>
      </c>
      <c r="K163" s="18" t="s">
        <v>468</v>
      </c>
      <c r="L163" s="27" t="n">
        <v>1</v>
      </c>
      <c r="M163" s="35" t="s">
        <v>386</v>
      </c>
      <c r="N163" s="18" t="s">
        <v>387</v>
      </c>
      <c r="O163" s="27" t="n">
        <v>1</v>
      </c>
      <c r="P163" s="15" t="n">
        <f aca="false">IF(A163="","",IF(O163&lt;&gt;"",O163,IF(L163&lt;&gt;"",L163,F163)))</f>
        <v>1</v>
      </c>
    </row>
    <row r="164" customFormat="false" ht="15" hidden="false" customHeight="true" outlineLevel="0" collapsed="false">
      <c r="A164" s="30" t="s">
        <v>30</v>
      </c>
      <c r="B164" s="30" t="s">
        <v>31</v>
      </c>
      <c r="C164" s="21" t="n">
        <f aca="false">IF(A164="","",IFERROR(VLOOKUP(A164,'Recert Status'!$A$8:$C$400,3,FALSE()),""))</f>
        <v>46752</v>
      </c>
      <c r="D164" s="31" t="s">
        <v>658</v>
      </c>
      <c r="E164" s="30" t="n">
        <v>29675</v>
      </c>
      <c r="F164" s="32" t="n">
        <v>0.5</v>
      </c>
      <c r="G164" s="33" t="n">
        <v>45951</v>
      </c>
      <c r="H164" s="33" t="n">
        <v>45951</v>
      </c>
      <c r="I164" s="31" t="s">
        <v>659</v>
      </c>
      <c r="J164" s="30" t="s">
        <v>406</v>
      </c>
      <c r="K164" s="31" t="s">
        <v>395</v>
      </c>
      <c r="L164" s="32" t="n">
        <v>0.5</v>
      </c>
      <c r="M164" s="35" t="s">
        <v>386</v>
      </c>
      <c r="N164" s="31" t="s">
        <v>387</v>
      </c>
      <c r="O164" s="32" t="n">
        <v>0.5</v>
      </c>
      <c r="P164" s="15" t="n">
        <f aca="false">IF(A164="","",IF(O164&lt;&gt;"",O164,IF(L164&lt;&gt;"",L164,F164)))</f>
        <v>0.5</v>
      </c>
    </row>
    <row r="165" customFormat="false" ht="15" hidden="false" customHeight="true" outlineLevel="0" collapsed="false">
      <c r="A165" s="26" t="s">
        <v>30</v>
      </c>
      <c r="B165" s="26" t="s">
        <v>31</v>
      </c>
      <c r="C165" s="14" t="n">
        <f aca="false">IF(A165="","",IFERROR(VLOOKUP(A165,'Recert Status'!$A$8:$C$400,3,FALSE()),""))</f>
        <v>46752</v>
      </c>
      <c r="D165" s="18" t="s">
        <v>660</v>
      </c>
      <c r="E165" s="26" t="n">
        <v>29675</v>
      </c>
      <c r="F165" s="27" t="n">
        <v>1</v>
      </c>
      <c r="G165" s="28" t="n">
        <v>45966</v>
      </c>
      <c r="H165" s="28" t="n">
        <v>45966</v>
      </c>
      <c r="I165" s="18" t="s">
        <v>661</v>
      </c>
      <c r="J165" s="26" t="s">
        <v>406</v>
      </c>
      <c r="K165" s="18" t="s">
        <v>395</v>
      </c>
      <c r="L165" s="27" t="n">
        <v>1</v>
      </c>
      <c r="M165" s="35" t="s">
        <v>386</v>
      </c>
      <c r="N165" s="18" t="s">
        <v>387</v>
      </c>
      <c r="O165" s="27" t="n">
        <v>1</v>
      </c>
      <c r="P165" s="15" t="n">
        <f aca="false">IF(A165="","",IF(O165&lt;&gt;"",O165,IF(L165&lt;&gt;"",L165,F165)))</f>
        <v>1</v>
      </c>
    </row>
    <row r="166" customFormat="false" ht="15" hidden="false" customHeight="true" outlineLevel="0" collapsed="false">
      <c r="A166" s="30" t="s">
        <v>30</v>
      </c>
      <c r="B166" s="30" t="s">
        <v>31</v>
      </c>
      <c r="C166" s="21" t="n">
        <f aca="false">IF(A166="","",IFERROR(VLOOKUP(A166,'Recert Status'!$A$8:$C$400,3,FALSE()),""))</f>
        <v>46752</v>
      </c>
      <c r="D166" s="31" t="s">
        <v>573</v>
      </c>
      <c r="E166" s="30" t="s">
        <v>389</v>
      </c>
      <c r="F166" s="32" t="n">
        <v>1</v>
      </c>
      <c r="G166" s="33" t="n">
        <v>45987</v>
      </c>
      <c r="H166" s="33" t="n">
        <v>45987</v>
      </c>
      <c r="I166" s="31" t="s">
        <v>574</v>
      </c>
      <c r="J166" s="30" t="s">
        <v>389</v>
      </c>
      <c r="K166" s="31" t="s">
        <v>451</v>
      </c>
      <c r="L166" s="32" t="n">
        <v>1</v>
      </c>
      <c r="M166" s="35" t="s">
        <v>386</v>
      </c>
      <c r="N166" s="31" t="s">
        <v>387</v>
      </c>
      <c r="O166" s="32" t="n">
        <v>1</v>
      </c>
      <c r="P166" s="15" t="n">
        <f aca="false">IF(A166="","",IF(O166&lt;&gt;"",O166,IF(L166&lt;&gt;"",L166,F166)))</f>
        <v>1</v>
      </c>
    </row>
    <row r="167" customFormat="false" ht="15" hidden="false" customHeight="true" outlineLevel="0" collapsed="false">
      <c r="A167" s="26" t="s">
        <v>30</v>
      </c>
      <c r="B167" s="26" t="s">
        <v>31</v>
      </c>
      <c r="C167" s="14" t="n">
        <f aca="false">IF(A167="","",IFERROR(VLOOKUP(A167,'Recert Status'!$A$8:$C$400,3,FALSE()),""))</f>
        <v>46752</v>
      </c>
      <c r="D167" s="18" t="s">
        <v>662</v>
      </c>
      <c r="E167" s="26" t="s">
        <v>452</v>
      </c>
      <c r="F167" s="27" t="n">
        <v>1</v>
      </c>
      <c r="G167" s="28" t="n">
        <v>45882</v>
      </c>
      <c r="H167" s="28" t="n">
        <v>45882</v>
      </c>
      <c r="I167" s="18" t="s">
        <v>663</v>
      </c>
      <c r="J167" s="26" t="s">
        <v>452</v>
      </c>
      <c r="K167" s="18" t="s">
        <v>385</v>
      </c>
      <c r="L167" s="27" t="n">
        <v>1</v>
      </c>
      <c r="M167" s="36" t="s">
        <v>396</v>
      </c>
      <c r="N167" s="18" t="s">
        <v>397</v>
      </c>
      <c r="O167" s="27" t="n">
        <v>1</v>
      </c>
      <c r="P167" s="15" t="n">
        <f aca="false">IF(A167="","",IF(O167&lt;&gt;"",O167,IF(L167&lt;&gt;"",L167,F167)))</f>
        <v>1</v>
      </c>
    </row>
    <row r="168" customFormat="false" ht="15" hidden="false" customHeight="true" outlineLevel="0" collapsed="false">
      <c r="A168" s="30" t="s">
        <v>30</v>
      </c>
      <c r="B168" s="30" t="s">
        <v>31</v>
      </c>
      <c r="C168" s="21" t="n">
        <f aca="false">IF(A168="","",IFERROR(VLOOKUP(A168,'Recert Status'!$A$8:$C$400,3,FALSE()),""))</f>
        <v>46752</v>
      </c>
      <c r="D168" s="31" t="s">
        <v>664</v>
      </c>
      <c r="E168" s="30" t="n">
        <v>29722</v>
      </c>
      <c r="F168" s="32" t="n">
        <v>1</v>
      </c>
      <c r="G168" s="33" t="n">
        <v>45943</v>
      </c>
      <c r="H168" s="33" t="n">
        <v>45943</v>
      </c>
      <c r="I168" s="31" t="s">
        <v>665</v>
      </c>
      <c r="J168" s="30" t="s">
        <v>627</v>
      </c>
      <c r="K168" s="31" t="s">
        <v>385</v>
      </c>
      <c r="L168" s="32" t="n">
        <v>1</v>
      </c>
      <c r="M168" s="36" t="s">
        <v>396</v>
      </c>
      <c r="N168" s="31" t="s">
        <v>397</v>
      </c>
      <c r="O168" s="32" t="n">
        <v>1</v>
      </c>
      <c r="P168" s="15" t="n">
        <f aca="false">IF(A168="","",IF(O168&lt;&gt;"",O168,IF(L168&lt;&gt;"",L168,F168)))</f>
        <v>1</v>
      </c>
    </row>
    <row r="169" customFormat="false" ht="15" hidden="false" customHeight="true" outlineLevel="0" collapsed="false">
      <c r="A169" s="26" t="s">
        <v>30</v>
      </c>
      <c r="B169" s="26" t="s">
        <v>31</v>
      </c>
      <c r="C169" s="14" t="n">
        <f aca="false">IF(A169="","",IFERROR(VLOOKUP(A169,'Recert Status'!$A$8:$C$400,3,FALSE()),""))</f>
        <v>46752</v>
      </c>
      <c r="D169" s="18" t="s">
        <v>666</v>
      </c>
      <c r="E169" s="26" t="n">
        <v>29722</v>
      </c>
      <c r="F169" s="27" t="n">
        <v>1</v>
      </c>
      <c r="G169" s="28" t="n">
        <v>45951</v>
      </c>
      <c r="H169" s="28" t="n">
        <v>45951</v>
      </c>
      <c r="I169" s="18" t="s">
        <v>667</v>
      </c>
      <c r="J169" s="26" t="s">
        <v>627</v>
      </c>
      <c r="K169" s="18" t="s">
        <v>385</v>
      </c>
      <c r="L169" s="27" t="n">
        <v>1</v>
      </c>
      <c r="M169" s="36" t="s">
        <v>396</v>
      </c>
      <c r="N169" s="18" t="s">
        <v>397</v>
      </c>
      <c r="O169" s="27" t="n">
        <v>1</v>
      </c>
      <c r="P169" s="15" t="n">
        <f aca="false">IF(A169="","",IF(O169&lt;&gt;"",O169,IF(L169&lt;&gt;"",L169,F169)))</f>
        <v>1</v>
      </c>
    </row>
    <row r="170" customFormat="false" ht="15" hidden="false" customHeight="true" outlineLevel="0" collapsed="false">
      <c r="A170" s="30" t="s">
        <v>30</v>
      </c>
      <c r="B170" s="30" t="s">
        <v>31</v>
      </c>
      <c r="C170" s="21" t="n">
        <f aca="false">IF(A170="","",IFERROR(VLOOKUP(A170,'Recert Status'!$A$8:$C$400,3,FALSE()),""))</f>
        <v>46752</v>
      </c>
      <c r="D170" s="31" t="s">
        <v>668</v>
      </c>
      <c r="E170" s="30" t="n">
        <v>29722</v>
      </c>
      <c r="F170" s="32" t="n">
        <v>1</v>
      </c>
      <c r="G170" s="33" t="n">
        <v>45951</v>
      </c>
      <c r="H170" s="33" t="n">
        <v>45951</v>
      </c>
      <c r="I170" s="31" t="s">
        <v>669</v>
      </c>
      <c r="J170" s="30" t="s">
        <v>627</v>
      </c>
      <c r="K170" s="31" t="s">
        <v>385</v>
      </c>
      <c r="L170" s="32" t="n">
        <v>1</v>
      </c>
      <c r="M170" s="36" t="s">
        <v>396</v>
      </c>
      <c r="N170" s="31" t="s">
        <v>397</v>
      </c>
      <c r="O170" s="32" t="n">
        <v>1</v>
      </c>
      <c r="P170" s="15" t="n">
        <f aca="false">IF(A170="","",IF(O170&lt;&gt;"",O170,IF(L170&lt;&gt;"",L170,F170)))</f>
        <v>1</v>
      </c>
    </row>
    <row r="171" customFormat="false" ht="15" hidden="false" customHeight="true" outlineLevel="0" collapsed="false">
      <c r="A171" s="26" t="s">
        <v>30</v>
      </c>
      <c r="B171" s="26" t="s">
        <v>31</v>
      </c>
      <c r="C171" s="14" t="n">
        <f aca="false">IF(A171="","",IFERROR(VLOOKUP(A171,'Recert Status'!$A$8:$C$400,3,FALSE()),""))</f>
        <v>46752</v>
      </c>
      <c r="D171" s="18" t="s">
        <v>397</v>
      </c>
      <c r="E171" s="26" t="s">
        <v>452</v>
      </c>
      <c r="F171" s="27" t="n">
        <v>1</v>
      </c>
      <c r="G171" s="28" t="n">
        <v>46245</v>
      </c>
      <c r="H171" s="28" t="n">
        <v>46245</v>
      </c>
      <c r="I171" s="18" t="s">
        <v>605</v>
      </c>
      <c r="J171" s="26" t="s">
        <v>452</v>
      </c>
      <c r="K171" s="18" t="s">
        <v>385</v>
      </c>
      <c r="L171" s="27" t="n">
        <v>1</v>
      </c>
      <c r="M171" s="36" t="s">
        <v>396</v>
      </c>
      <c r="N171" s="18" t="s">
        <v>397</v>
      </c>
      <c r="O171" s="27" t="n">
        <v>1</v>
      </c>
      <c r="P171" s="15" t="n">
        <f aca="false">IF(A171="","",IF(O171&lt;&gt;"",O171,IF(L171&lt;&gt;"",L171,F171)))</f>
        <v>1</v>
      </c>
    </row>
    <row r="172" customFormat="false" ht="15" hidden="false" customHeight="true" outlineLevel="0" collapsed="false">
      <c r="A172" s="30" t="s">
        <v>30</v>
      </c>
      <c r="B172" s="30" t="s">
        <v>31</v>
      </c>
      <c r="C172" s="21" t="n">
        <f aca="false">IF(A172="","",IFERROR(VLOOKUP(A172,'Recert Status'!$A$8:$C$400,3,FALSE()),""))</f>
        <v>46752</v>
      </c>
      <c r="D172" s="31" t="s">
        <v>580</v>
      </c>
      <c r="E172" s="30" t="s">
        <v>416</v>
      </c>
      <c r="F172" s="32" t="n">
        <v>1</v>
      </c>
      <c r="G172" s="33" t="n">
        <v>45825</v>
      </c>
      <c r="H172" s="33" t="n">
        <v>45825</v>
      </c>
      <c r="I172" s="31" t="s">
        <v>581</v>
      </c>
      <c r="J172" s="30" t="s">
        <v>416</v>
      </c>
      <c r="K172" s="31" t="s">
        <v>418</v>
      </c>
      <c r="L172" s="32" t="n">
        <v>1</v>
      </c>
      <c r="M172" s="39" t="s">
        <v>413</v>
      </c>
      <c r="N172" s="31" t="s">
        <v>414</v>
      </c>
      <c r="O172" s="32" t="n">
        <v>1</v>
      </c>
      <c r="P172" s="15" t="n">
        <f aca="false">IF(A172="","",IF(O172&lt;&gt;"",O172,IF(L172&lt;&gt;"",L172,F172)))</f>
        <v>1</v>
      </c>
    </row>
    <row r="173" customFormat="false" ht="15" hidden="false" customHeight="true" outlineLevel="0" collapsed="false">
      <c r="A173" s="26" t="s">
        <v>30</v>
      </c>
      <c r="B173" s="26" t="s">
        <v>31</v>
      </c>
      <c r="C173" s="14" t="n">
        <f aca="false">IF(A173="","",IFERROR(VLOOKUP(A173,'Recert Status'!$A$8:$C$400,3,FALSE()),""))</f>
        <v>46752</v>
      </c>
      <c r="D173" s="18" t="s">
        <v>670</v>
      </c>
      <c r="E173" s="26" t="s">
        <v>416</v>
      </c>
      <c r="F173" s="27" t="n">
        <v>2</v>
      </c>
      <c r="G173" s="28" t="n">
        <v>45861</v>
      </c>
      <c r="H173" s="28" t="n">
        <v>45861</v>
      </c>
      <c r="I173" s="18" t="s">
        <v>671</v>
      </c>
      <c r="J173" s="26" t="s">
        <v>416</v>
      </c>
      <c r="K173" s="18" t="s">
        <v>418</v>
      </c>
      <c r="L173" s="27" t="n">
        <v>2</v>
      </c>
      <c r="M173" s="39" t="s">
        <v>413</v>
      </c>
      <c r="N173" s="18" t="s">
        <v>514</v>
      </c>
      <c r="O173" s="27" t="n">
        <v>2</v>
      </c>
      <c r="P173" s="15" t="n">
        <f aca="false">IF(A173="","",IF(O173&lt;&gt;"",O173,IF(L173&lt;&gt;"",L173,F173)))</f>
        <v>2</v>
      </c>
    </row>
    <row r="174" customFormat="false" ht="15" hidden="false" customHeight="true" outlineLevel="0" collapsed="false">
      <c r="A174" s="30" t="s">
        <v>30</v>
      </c>
      <c r="B174" s="30" t="s">
        <v>31</v>
      </c>
      <c r="C174" s="21" t="n">
        <f aca="false">IF(A174="","",IFERROR(VLOOKUP(A174,'Recert Status'!$A$8:$C$400,3,FALSE()),""))</f>
        <v>46752</v>
      </c>
      <c r="D174" s="31" t="s">
        <v>672</v>
      </c>
      <c r="E174" s="30" t="s">
        <v>416</v>
      </c>
      <c r="F174" s="32" t="n">
        <v>1</v>
      </c>
      <c r="G174" s="33" t="n">
        <v>45933</v>
      </c>
      <c r="H174" s="33" t="n">
        <v>45933</v>
      </c>
      <c r="I174" s="31" t="s">
        <v>673</v>
      </c>
      <c r="J174" s="30" t="s">
        <v>416</v>
      </c>
      <c r="K174" s="31" t="s">
        <v>674</v>
      </c>
      <c r="L174" s="32" t="n">
        <v>1</v>
      </c>
      <c r="M174" s="39" t="s">
        <v>413</v>
      </c>
      <c r="N174" s="31" t="s">
        <v>414</v>
      </c>
      <c r="O174" s="32" t="n">
        <v>1</v>
      </c>
      <c r="P174" s="15" t="n">
        <f aca="false">IF(A174="","",IF(O174&lt;&gt;"",O174,IF(L174&lt;&gt;"",L174,F174)))</f>
        <v>1</v>
      </c>
    </row>
    <row r="175" customFormat="false" ht="15" hidden="false" customHeight="true" outlineLevel="0" collapsed="false">
      <c r="A175" s="26" t="s">
        <v>30</v>
      </c>
      <c r="B175" s="26" t="s">
        <v>31</v>
      </c>
      <c r="C175" s="14" t="n">
        <f aca="false">IF(A175="","",IFERROR(VLOOKUP(A175,'Recert Status'!$A$8:$C$400,3,FALSE()),""))</f>
        <v>46752</v>
      </c>
      <c r="D175" s="18" t="s">
        <v>672</v>
      </c>
      <c r="E175" s="26" t="s">
        <v>416</v>
      </c>
      <c r="F175" s="27" t="n">
        <v>1</v>
      </c>
      <c r="G175" s="28" t="n">
        <v>45933</v>
      </c>
      <c r="H175" s="28" t="n">
        <v>45933</v>
      </c>
      <c r="I175" s="18" t="s">
        <v>675</v>
      </c>
      <c r="J175" s="26" t="s">
        <v>416</v>
      </c>
      <c r="K175" s="18" t="s">
        <v>674</v>
      </c>
      <c r="L175" s="27" t="n">
        <v>1</v>
      </c>
      <c r="M175" s="39" t="s">
        <v>413</v>
      </c>
      <c r="N175" s="18" t="s">
        <v>414</v>
      </c>
      <c r="O175" s="27" t="n">
        <v>1</v>
      </c>
      <c r="P175" s="15" t="n">
        <f aca="false">IF(A175="","",IF(O175&lt;&gt;"",O175,IF(L175&lt;&gt;"",L175,F175)))</f>
        <v>1</v>
      </c>
    </row>
    <row r="176" customFormat="false" ht="15" hidden="false" customHeight="true" outlineLevel="0" collapsed="false">
      <c r="A176" s="30" t="s">
        <v>30</v>
      </c>
      <c r="B176" s="30" t="s">
        <v>31</v>
      </c>
      <c r="C176" s="21" t="n">
        <f aca="false">IF(A176="","",IFERROR(VLOOKUP(A176,'Recert Status'!$A$8:$C$400,3,FALSE()),""))</f>
        <v>46752</v>
      </c>
      <c r="D176" s="31" t="s">
        <v>488</v>
      </c>
      <c r="E176" s="30" t="s">
        <v>416</v>
      </c>
      <c r="F176" s="32" t="n">
        <v>1</v>
      </c>
      <c r="G176" s="33" t="n">
        <v>46125</v>
      </c>
      <c r="H176" s="33" t="n">
        <v>46125</v>
      </c>
      <c r="I176" s="31" t="s">
        <v>608</v>
      </c>
      <c r="J176" s="30" t="s">
        <v>416</v>
      </c>
      <c r="K176" s="31" t="s">
        <v>490</v>
      </c>
      <c r="L176" s="32" t="n">
        <v>1</v>
      </c>
      <c r="M176" s="39" t="s">
        <v>413</v>
      </c>
      <c r="N176" s="31" t="s">
        <v>414</v>
      </c>
      <c r="O176" s="32" t="n">
        <v>1</v>
      </c>
      <c r="P176" s="15" t="n">
        <f aca="false">IF(A176="","",IF(O176&lt;&gt;"",O176,IF(L176&lt;&gt;"",L176,F176)))</f>
        <v>1</v>
      </c>
    </row>
    <row r="177" customFormat="false" ht="15" hidden="false" customHeight="true" outlineLevel="0" collapsed="false">
      <c r="A177" s="26" t="s">
        <v>30</v>
      </c>
      <c r="B177" s="26" t="s">
        <v>31</v>
      </c>
      <c r="C177" s="14" t="n">
        <f aca="false">IF(A177="","",IFERROR(VLOOKUP(A177,'Recert Status'!$A$8:$C$400,3,FALSE()),""))</f>
        <v>46752</v>
      </c>
      <c r="D177" s="18" t="s">
        <v>488</v>
      </c>
      <c r="E177" s="26" t="s">
        <v>416</v>
      </c>
      <c r="F177" s="27" t="n">
        <v>1</v>
      </c>
      <c r="G177" s="28" t="n">
        <v>46132</v>
      </c>
      <c r="H177" s="28" t="n">
        <v>46132</v>
      </c>
      <c r="I177" s="18" t="s">
        <v>609</v>
      </c>
      <c r="J177" s="26" t="s">
        <v>416</v>
      </c>
      <c r="K177" s="18" t="s">
        <v>490</v>
      </c>
      <c r="L177" s="27" t="n">
        <v>1</v>
      </c>
      <c r="M177" s="39" t="s">
        <v>413</v>
      </c>
      <c r="N177" s="18" t="s">
        <v>414</v>
      </c>
      <c r="O177" s="27" t="n">
        <v>1</v>
      </c>
      <c r="P177" s="15" t="n">
        <f aca="false">IF(A177="","",IF(O177&lt;&gt;"",O177,IF(L177&lt;&gt;"",L177,F177)))</f>
        <v>1</v>
      </c>
    </row>
    <row r="178" customFormat="false" ht="15" hidden="false" customHeight="true" outlineLevel="0" collapsed="false">
      <c r="A178" s="30" t="s">
        <v>30</v>
      </c>
      <c r="B178" s="30" t="s">
        <v>31</v>
      </c>
      <c r="C178" s="21" t="n">
        <f aca="false">IF(A178="","",IFERROR(VLOOKUP(A178,'Recert Status'!$A$8:$C$400,3,FALSE()),""))</f>
        <v>46752</v>
      </c>
      <c r="D178" s="31" t="s">
        <v>414</v>
      </c>
      <c r="E178" s="30" t="s">
        <v>416</v>
      </c>
      <c r="F178" s="32" t="n">
        <v>2</v>
      </c>
      <c r="G178" s="33" t="n">
        <v>46218</v>
      </c>
      <c r="H178" s="33" t="n">
        <v>46218</v>
      </c>
      <c r="I178" s="31" t="s">
        <v>535</v>
      </c>
      <c r="J178" s="30" t="s">
        <v>416</v>
      </c>
      <c r="K178" s="31" t="s">
        <v>418</v>
      </c>
      <c r="L178" s="32" t="n">
        <v>2</v>
      </c>
      <c r="M178" s="39" t="s">
        <v>413</v>
      </c>
      <c r="N178" s="31" t="s">
        <v>414</v>
      </c>
      <c r="O178" s="32" t="n">
        <v>2</v>
      </c>
      <c r="P178" s="15" t="n">
        <f aca="false">IF(A178="","",IF(O178&lt;&gt;"",O178,IF(L178&lt;&gt;"",L178,F178)))</f>
        <v>2</v>
      </c>
    </row>
    <row r="179" customFormat="false" ht="15" hidden="false" customHeight="true" outlineLevel="0" collapsed="false">
      <c r="A179" s="26" t="s">
        <v>32</v>
      </c>
      <c r="B179" s="26" t="s">
        <v>33</v>
      </c>
      <c r="C179" s="14" t="n">
        <f aca="false">IF(A179="","",IFERROR(VLOOKUP(A179,'Recert Status'!$A$8:$C$400,3,FALSE()),""))</f>
        <v>46387</v>
      </c>
      <c r="D179" s="18" t="s">
        <v>676</v>
      </c>
      <c r="E179" s="26" t="s">
        <v>363</v>
      </c>
      <c r="F179" s="27" t="n">
        <v>1</v>
      </c>
      <c r="G179" s="28" t="n">
        <v>46135</v>
      </c>
      <c r="H179" s="28" t="n">
        <v>46135</v>
      </c>
      <c r="I179" s="18" t="s">
        <v>677</v>
      </c>
      <c r="J179" s="26" t="s">
        <v>363</v>
      </c>
      <c r="K179" s="18" t="s">
        <v>370</v>
      </c>
      <c r="L179" s="27" t="n">
        <v>1</v>
      </c>
      <c r="M179" s="29" t="s">
        <v>366</v>
      </c>
      <c r="N179" s="18" t="s">
        <v>367</v>
      </c>
      <c r="O179" s="27" t="n">
        <v>1</v>
      </c>
      <c r="P179" s="15" t="n">
        <f aca="false">IF(A179="","",IF(O179&lt;&gt;"",O179,IF(L179&lt;&gt;"",L179,F179)))</f>
        <v>1</v>
      </c>
    </row>
    <row r="180" customFormat="false" ht="15" hidden="false" customHeight="true" outlineLevel="0" collapsed="false">
      <c r="A180" s="30" t="s">
        <v>32</v>
      </c>
      <c r="B180" s="30" t="s">
        <v>33</v>
      </c>
      <c r="C180" s="21" t="n">
        <f aca="false">IF(A180="","",IFERROR(VLOOKUP(A180,'Recert Status'!$A$8:$C$400,3,FALSE()),""))</f>
        <v>46387</v>
      </c>
      <c r="D180" s="31" t="s">
        <v>632</v>
      </c>
      <c r="E180" s="30" t="n">
        <v>29675</v>
      </c>
      <c r="F180" s="32" t="n">
        <v>0.5</v>
      </c>
      <c r="G180" s="33" t="n">
        <v>45855</v>
      </c>
      <c r="H180" s="33" t="n">
        <v>45855</v>
      </c>
      <c r="I180" s="31" t="s">
        <v>633</v>
      </c>
      <c r="J180" s="30" t="s">
        <v>406</v>
      </c>
      <c r="K180" s="31" t="s">
        <v>422</v>
      </c>
      <c r="L180" s="32" t="n">
        <v>0.5</v>
      </c>
      <c r="M180" s="40" t="s">
        <v>423</v>
      </c>
      <c r="N180" s="31" t="s">
        <v>424</v>
      </c>
      <c r="O180" s="32" t="n">
        <v>0.5</v>
      </c>
      <c r="P180" s="15" t="n">
        <f aca="false">IF(A180="","",IF(O180&lt;&gt;"",O180,IF(L180&lt;&gt;"",L180,F180)))</f>
        <v>0.5</v>
      </c>
    </row>
    <row r="181" customFormat="false" ht="15" hidden="false" customHeight="true" outlineLevel="0" collapsed="false">
      <c r="A181" s="26" t="s">
        <v>32</v>
      </c>
      <c r="B181" s="26" t="s">
        <v>33</v>
      </c>
      <c r="C181" s="14" t="n">
        <f aca="false">IF(A181="","",IFERROR(VLOOKUP(A181,'Recert Status'!$A$8:$C$400,3,FALSE()),""))</f>
        <v>46387</v>
      </c>
      <c r="D181" s="18" t="s">
        <v>678</v>
      </c>
      <c r="E181" s="26" t="s">
        <v>426</v>
      </c>
      <c r="F181" s="27" t="n">
        <v>1.5</v>
      </c>
      <c r="G181" s="28" t="n">
        <v>46120</v>
      </c>
      <c r="H181" s="28" t="n">
        <v>46120</v>
      </c>
      <c r="I181" s="18" t="s">
        <v>679</v>
      </c>
      <c r="J181" s="26" t="s">
        <v>426</v>
      </c>
      <c r="K181" s="18" t="s">
        <v>428</v>
      </c>
      <c r="L181" s="27" t="n">
        <v>1.5</v>
      </c>
      <c r="M181" s="41" t="s">
        <v>429</v>
      </c>
      <c r="N181" s="18" t="s">
        <v>430</v>
      </c>
      <c r="O181" s="27" t="n">
        <v>1.5</v>
      </c>
      <c r="P181" s="15" t="n">
        <f aca="false">IF(A181="","",IF(O181&lt;&gt;"",O181,IF(L181&lt;&gt;"",L181,F181)))</f>
        <v>1.5</v>
      </c>
    </row>
    <row r="182" customFormat="false" ht="15" hidden="false" customHeight="true" outlineLevel="0" collapsed="false">
      <c r="A182" s="30" t="s">
        <v>32</v>
      </c>
      <c r="B182" s="30" t="s">
        <v>33</v>
      </c>
      <c r="C182" s="21" t="n">
        <f aca="false">IF(A182="","",IFERROR(VLOOKUP(A182,'Recert Status'!$A$8:$C$400,3,FALSE()),""))</f>
        <v>46387</v>
      </c>
      <c r="D182" s="31" t="s">
        <v>680</v>
      </c>
      <c r="E182" s="30" t="s">
        <v>426</v>
      </c>
      <c r="F182" s="32" t="n">
        <v>2</v>
      </c>
      <c r="G182" s="33" t="n">
        <v>46122</v>
      </c>
      <c r="H182" s="33" t="n">
        <v>46122</v>
      </c>
      <c r="I182" s="31" t="s">
        <v>681</v>
      </c>
      <c r="J182" s="30" t="s">
        <v>426</v>
      </c>
      <c r="K182" s="31" t="s">
        <v>428</v>
      </c>
      <c r="L182" s="32" t="n">
        <v>2</v>
      </c>
      <c r="M182" s="41" t="s">
        <v>429</v>
      </c>
      <c r="N182" s="31" t="s">
        <v>430</v>
      </c>
      <c r="O182" s="32" t="n">
        <v>2</v>
      </c>
      <c r="P182" s="15" t="n">
        <f aca="false">IF(A182="","",IF(O182&lt;&gt;"",O182,IF(L182&lt;&gt;"",L182,F182)))</f>
        <v>2</v>
      </c>
    </row>
    <row r="183" customFormat="false" ht="15" hidden="false" customHeight="true" outlineLevel="0" collapsed="false">
      <c r="A183" s="26" t="s">
        <v>32</v>
      </c>
      <c r="B183" s="26" t="s">
        <v>33</v>
      </c>
      <c r="C183" s="14" t="n">
        <f aca="false">IF(A183="","",IFERROR(VLOOKUP(A183,'Recert Status'!$A$8:$C$400,3,FALSE()),""))</f>
        <v>46387</v>
      </c>
      <c r="D183" s="18" t="s">
        <v>647</v>
      </c>
      <c r="E183" s="26" t="n">
        <v>29675</v>
      </c>
      <c r="F183" s="27" t="n">
        <v>1</v>
      </c>
      <c r="G183" s="28" t="n">
        <v>45840</v>
      </c>
      <c r="H183" s="28" t="n">
        <v>45840</v>
      </c>
      <c r="I183" s="18" t="s">
        <v>648</v>
      </c>
      <c r="J183" s="26" t="s">
        <v>406</v>
      </c>
      <c r="K183" s="18" t="s">
        <v>385</v>
      </c>
      <c r="L183" s="27" t="n">
        <v>1</v>
      </c>
      <c r="M183" s="35" t="s">
        <v>386</v>
      </c>
      <c r="N183" s="18" t="s">
        <v>387</v>
      </c>
      <c r="O183" s="27" t="n">
        <v>1</v>
      </c>
      <c r="P183" s="15" t="n">
        <f aca="false">IF(A183="","",IF(O183&lt;&gt;"",O183,IF(L183&lt;&gt;"",L183,F183)))</f>
        <v>1</v>
      </c>
    </row>
    <row r="184" customFormat="false" ht="15" hidden="false" customHeight="true" outlineLevel="0" collapsed="false">
      <c r="A184" s="30" t="s">
        <v>32</v>
      </c>
      <c r="B184" s="30" t="s">
        <v>33</v>
      </c>
      <c r="C184" s="21" t="n">
        <f aca="false">IF(A184="","",IFERROR(VLOOKUP(A184,'Recert Status'!$A$8:$C$400,3,FALSE()),""))</f>
        <v>46387</v>
      </c>
      <c r="D184" s="31" t="s">
        <v>649</v>
      </c>
      <c r="E184" s="30" t="s">
        <v>363</v>
      </c>
      <c r="F184" s="32" t="n">
        <v>1</v>
      </c>
      <c r="G184" s="33" t="n">
        <v>45867</v>
      </c>
      <c r="H184" s="33" t="n">
        <v>45867</v>
      </c>
      <c r="I184" s="31" t="s">
        <v>650</v>
      </c>
      <c r="J184" s="30" t="s">
        <v>363</v>
      </c>
      <c r="K184" s="31" t="s">
        <v>370</v>
      </c>
      <c r="L184" s="32" t="n">
        <v>1</v>
      </c>
      <c r="M184" s="35" t="s">
        <v>386</v>
      </c>
      <c r="N184" s="31" t="s">
        <v>387</v>
      </c>
      <c r="O184" s="32" t="n">
        <v>1</v>
      </c>
      <c r="P184" s="15" t="n">
        <f aca="false">IF(A184="","",IF(O184&lt;&gt;"",O184,IF(L184&lt;&gt;"",L184,F184)))</f>
        <v>1</v>
      </c>
    </row>
    <row r="185" customFormat="false" ht="15" hidden="false" customHeight="true" outlineLevel="0" collapsed="false">
      <c r="A185" s="26" t="s">
        <v>32</v>
      </c>
      <c r="B185" s="26" t="s">
        <v>33</v>
      </c>
      <c r="C185" s="14" t="n">
        <f aca="false">IF(A185="","",IFERROR(VLOOKUP(A185,'Recert Status'!$A$8:$C$400,3,FALSE()),""))</f>
        <v>46387</v>
      </c>
      <c r="D185" s="18" t="s">
        <v>651</v>
      </c>
      <c r="E185" s="26" t="n">
        <v>29668</v>
      </c>
      <c r="F185" s="27" t="n">
        <v>1</v>
      </c>
      <c r="G185" s="28" t="n">
        <v>45867</v>
      </c>
      <c r="H185" s="28" t="n">
        <v>45867</v>
      </c>
      <c r="I185" s="18" t="s">
        <v>652</v>
      </c>
      <c r="J185" s="26" t="s">
        <v>511</v>
      </c>
      <c r="K185" s="18" t="s">
        <v>509</v>
      </c>
      <c r="L185" s="27" t="n">
        <v>1</v>
      </c>
      <c r="M185" s="35" t="s">
        <v>386</v>
      </c>
      <c r="N185" s="18" t="s">
        <v>387</v>
      </c>
      <c r="O185" s="27" t="n">
        <v>1</v>
      </c>
      <c r="P185" s="15" t="n">
        <f aca="false">IF(A185="","",IF(O185&lt;&gt;"",O185,IF(L185&lt;&gt;"",L185,F185)))</f>
        <v>1</v>
      </c>
    </row>
    <row r="186" customFormat="false" ht="15" hidden="false" customHeight="true" outlineLevel="0" collapsed="false">
      <c r="A186" s="30" t="s">
        <v>32</v>
      </c>
      <c r="B186" s="30" t="s">
        <v>33</v>
      </c>
      <c r="C186" s="21" t="n">
        <f aca="false">IF(A186="","",IFERROR(VLOOKUP(A186,'Recert Status'!$A$8:$C$400,3,FALSE()),""))</f>
        <v>46387</v>
      </c>
      <c r="D186" s="31" t="s">
        <v>682</v>
      </c>
      <c r="E186" s="30" t="n">
        <v>29675</v>
      </c>
      <c r="F186" s="32" t="n">
        <v>1</v>
      </c>
      <c r="G186" s="33" t="n">
        <v>45987</v>
      </c>
      <c r="H186" s="33" t="n">
        <v>45987</v>
      </c>
      <c r="I186" s="31" t="s">
        <v>683</v>
      </c>
      <c r="J186" s="30" t="s">
        <v>406</v>
      </c>
      <c r="K186" s="31" t="s">
        <v>446</v>
      </c>
      <c r="L186" s="32" t="n">
        <v>1</v>
      </c>
      <c r="M186" s="35" t="s">
        <v>386</v>
      </c>
      <c r="N186" s="31" t="s">
        <v>387</v>
      </c>
      <c r="O186" s="32" t="n">
        <v>1</v>
      </c>
      <c r="P186" s="15" t="n">
        <f aca="false">IF(A186="","",IF(O186&lt;&gt;"",O186,IF(L186&lt;&gt;"",L186,F186)))</f>
        <v>1</v>
      </c>
    </row>
    <row r="187" customFormat="false" ht="15" hidden="false" customHeight="true" outlineLevel="0" collapsed="false">
      <c r="A187" s="26" t="s">
        <v>32</v>
      </c>
      <c r="B187" s="26" t="s">
        <v>33</v>
      </c>
      <c r="C187" s="14" t="n">
        <f aca="false">IF(A187="","",IFERROR(VLOOKUP(A187,'Recert Status'!$A$8:$C$400,3,FALSE()),""))</f>
        <v>46387</v>
      </c>
      <c r="D187" s="18" t="s">
        <v>682</v>
      </c>
      <c r="E187" s="26" t="n">
        <v>57435</v>
      </c>
      <c r="F187" s="27" t="n">
        <v>0.5</v>
      </c>
      <c r="G187" s="28" t="n">
        <v>45996</v>
      </c>
      <c r="H187" s="28" t="n">
        <v>45996</v>
      </c>
      <c r="I187" s="18" t="s">
        <v>684</v>
      </c>
      <c r="J187" s="26" t="s">
        <v>593</v>
      </c>
      <c r="K187" s="18" t="s">
        <v>446</v>
      </c>
      <c r="L187" s="27" t="n">
        <v>0.5</v>
      </c>
      <c r="M187" s="35" t="s">
        <v>386</v>
      </c>
      <c r="N187" s="18" t="s">
        <v>387</v>
      </c>
      <c r="O187" s="27" t="n">
        <v>0.5</v>
      </c>
      <c r="P187" s="15" t="n">
        <f aca="false">IF(A187="","",IF(O187&lt;&gt;"",O187,IF(L187&lt;&gt;"",L187,F187)))</f>
        <v>0.5</v>
      </c>
    </row>
    <row r="188" customFormat="false" ht="15" hidden="false" customHeight="true" outlineLevel="0" collapsed="false">
      <c r="A188" s="30" t="s">
        <v>32</v>
      </c>
      <c r="B188" s="30" t="s">
        <v>33</v>
      </c>
      <c r="C188" s="21" t="n">
        <f aca="false">IF(A188="","",IFERROR(VLOOKUP(A188,'Recert Status'!$A$8:$C$400,3,FALSE()),""))</f>
        <v>46387</v>
      </c>
      <c r="D188" s="31" t="s">
        <v>388</v>
      </c>
      <c r="E188" s="30" t="s">
        <v>389</v>
      </c>
      <c r="F188" s="32" t="n">
        <v>3</v>
      </c>
      <c r="G188" s="33" t="n">
        <v>46083</v>
      </c>
      <c r="H188" s="33" t="n">
        <v>46083</v>
      </c>
      <c r="I188" s="31" t="s">
        <v>685</v>
      </c>
      <c r="J188" s="30" t="s">
        <v>389</v>
      </c>
      <c r="K188" s="31" t="s">
        <v>686</v>
      </c>
      <c r="L188" s="32" t="n">
        <v>3</v>
      </c>
      <c r="M188" s="35" t="s">
        <v>386</v>
      </c>
      <c r="N188" s="31" t="s">
        <v>387</v>
      </c>
      <c r="O188" s="32" t="n">
        <v>3</v>
      </c>
      <c r="P188" s="15" t="n">
        <f aca="false">IF(A188="","",IF(O188&lt;&gt;"",O188,IF(L188&lt;&gt;"",L188,F188)))</f>
        <v>3</v>
      </c>
    </row>
    <row r="189" customFormat="false" ht="15" hidden="false" customHeight="true" outlineLevel="0" collapsed="false">
      <c r="A189" s="26" t="s">
        <v>32</v>
      </c>
      <c r="B189" s="26" t="s">
        <v>33</v>
      </c>
      <c r="C189" s="14" t="n">
        <f aca="false">IF(A189="","",IFERROR(VLOOKUP(A189,'Recert Status'!$A$8:$C$400,3,FALSE()),""))</f>
        <v>46387</v>
      </c>
      <c r="D189" s="18" t="s">
        <v>687</v>
      </c>
      <c r="E189" s="26" t="s">
        <v>389</v>
      </c>
      <c r="F189" s="27" t="n">
        <v>1</v>
      </c>
      <c r="G189" s="28" t="n">
        <v>46128</v>
      </c>
      <c r="H189" s="28" t="n">
        <v>46128</v>
      </c>
      <c r="I189" s="18" t="s">
        <v>688</v>
      </c>
      <c r="J189" s="26" t="s">
        <v>389</v>
      </c>
      <c r="K189" s="18" t="s">
        <v>451</v>
      </c>
      <c r="L189" s="27" t="n">
        <v>1</v>
      </c>
      <c r="M189" s="35" t="s">
        <v>386</v>
      </c>
      <c r="N189" s="18" t="s">
        <v>387</v>
      </c>
      <c r="O189" s="27" t="n">
        <v>1</v>
      </c>
      <c r="P189" s="15" t="n">
        <f aca="false">IF(A189="","",IF(O189&lt;&gt;"",O189,IF(L189&lt;&gt;"",L189,F189)))</f>
        <v>1</v>
      </c>
    </row>
    <row r="190" customFormat="false" ht="15" hidden="false" customHeight="true" outlineLevel="0" collapsed="false">
      <c r="A190" s="30" t="s">
        <v>32</v>
      </c>
      <c r="B190" s="30" t="s">
        <v>33</v>
      </c>
      <c r="C190" s="21" t="n">
        <f aca="false">IF(A190="","",IFERROR(VLOOKUP(A190,'Recert Status'!$A$8:$C$400,3,FALSE()),""))</f>
        <v>46387</v>
      </c>
      <c r="D190" s="31" t="s">
        <v>689</v>
      </c>
      <c r="E190" s="30" t="s">
        <v>389</v>
      </c>
      <c r="F190" s="32" t="n">
        <v>1</v>
      </c>
      <c r="G190" s="33" t="n">
        <v>46132</v>
      </c>
      <c r="H190" s="33" t="n">
        <v>46132</v>
      </c>
      <c r="I190" s="31" t="s">
        <v>690</v>
      </c>
      <c r="J190" s="30" t="s">
        <v>389</v>
      </c>
      <c r="K190" s="31" t="s">
        <v>451</v>
      </c>
      <c r="L190" s="32" t="n">
        <v>1</v>
      </c>
      <c r="M190" s="35" t="s">
        <v>386</v>
      </c>
      <c r="N190" s="31" t="s">
        <v>387</v>
      </c>
      <c r="O190" s="32" t="n">
        <v>1</v>
      </c>
      <c r="P190" s="15" t="n">
        <f aca="false">IF(A190="","",IF(O190&lt;&gt;"",O190,IF(L190&lt;&gt;"",L190,F190)))</f>
        <v>1</v>
      </c>
    </row>
    <row r="191" customFormat="false" ht="15" hidden="false" customHeight="true" outlineLevel="0" collapsed="false">
      <c r="A191" s="26" t="s">
        <v>32</v>
      </c>
      <c r="B191" s="26" t="s">
        <v>33</v>
      </c>
      <c r="C191" s="14" t="n">
        <f aca="false">IF(A191="","",IFERROR(VLOOKUP(A191,'Recert Status'!$A$8:$C$400,3,FALSE()),""))</f>
        <v>46387</v>
      </c>
      <c r="D191" s="18" t="s">
        <v>387</v>
      </c>
      <c r="E191" s="26" t="s">
        <v>389</v>
      </c>
      <c r="F191" s="27" t="n">
        <v>1</v>
      </c>
      <c r="G191" s="28" t="n">
        <v>46234</v>
      </c>
      <c r="H191" s="28" t="n">
        <v>46234</v>
      </c>
      <c r="I191" s="18" t="s">
        <v>691</v>
      </c>
      <c r="J191" s="26" t="s">
        <v>389</v>
      </c>
      <c r="K191" s="18" t="s">
        <v>451</v>
      </c>
      <c r="L191" s="27" t="n">
        <v>1</v>
      </c>
      <c r="M191" s="35" t="s">
        <v>386</v>
      </c>
      <c r="N191" s="18" t="s">
        <v>387</v>
      </c>
      <c r="O191" s="27" t="n">
        <v>1</v>
      </c>
      <c r="P191" s="15" t="n">
        <f aca="false">IF(A191="","",IF(O191&lt;&gt;"",O191,IF(L191&lt;&gt;"",L191,F191)))</f>
        <v>1</v>
      </c>
    </row>
    <row r="192" customFormat="false" ht="15" hidden="false" customHeight="true" outlineLevel="0" collapsed="false">
      <c r="A192" s="30" t="s">
        <v>32</v>
      </c>
      <c r="B192" s="30" t="s">
        <v>33</v>
      </c>
      <c r="C192" s="21" t="n">
        <f aca="false">IF(A192="","",IFERROR(VLOOKUP(A192,'Recert Status'!$A$8:$C$400,3,FALSE()),""))</f>
        <v>46387</v>
      </c>
      <c r="D192" s="31" t="s">
        <v>662</v>
      </c>
      <c r="E192" s="30" t="s">
        <v>452</v>
      </c>
      <c r="F192" s="32" t="n">
        <v>1</v>
      </c>
      <c r="G192" s="33" t="n">
        <v>45882</v>
      </c>
      <c r="H192" s="33" t="n">
        <v>45882</v>
      </c>
      <c r="I192" s="31" t="s">
        <v>663</v>
      </c>
      <c r="J192" s="30" t="s">
        <v>452</v>
      </c>
      <c r="K192" s="31" t="s">
        <v>385</v>
      </c>
      <c r="L192" s="32" t="n">
        <v>1</v>
      </c>
      <c r="M192" s="36" t="s">
        <v>396</v>
      </c>
      <c r="N192" s="31" t="s">
        <v>397</v>
      </c>
      <c r="O192" s="32" t="n">
        <v>1</v>
      </c>
      <c r="P192" s="15" t="n">
        <f aca="false">IF(A192="","",IF(O192&lt;&gt;"",O192,IF(L192&lt;&gt;"",L192,F192)))</f>
        <v>1</v>
      </c>
    </row>
    <row r="193" customFormat="false" ht="15" hidden="false" customHeight="true" outlineLevel="0" collapsed="false">
      <c r="A193" s="26" t="s">
        <v>32</v>
      </c>
      <c r="B193" s="26" t="s">
        <v>33</v>
      </c>
      <c r="C193" s="14" t="n">
        <f aca="false">IF(A193="","",IFERROR(VLOOKUP(A193,'Recert Status'!$A$8:$C$400,3,FALSE()),""))</f>
        <v>46387</v>
      </c>
      <c r="D193" s="18" t="s">
        <v>397</v>
      </c>
      <c r="E193" s="26" t="s">
        <v>452</v>
      </c>
      <c r="F193" s="27" t="n">
        <v>1</v>
      </c>
      <c r="G193" s="28" t="n">
        <v>46245</v>
      </c>
      <c r="H193" s="28" t="n">
        <v>46245</v>
      </c>
      <c r="I193" s="18" t="s">
        <v>605</v>
      </c>
      <c r="J193" s="26" t="s">
        <v>452</v>
      </c>
      <c r="K193" s="18" t="s">
        <v>385</v>
      </c>
      <c r="L193" s="27" t="n">
        <v>1</v>
      </c>
      <c r="M193" s="36" t="s">
        <v>396</v>
      </c>
      <c r="N193" s="18" t="s">
        <v>397</v>
      </c>
      <c r="O193" s="27" t="n">
        <v>1</v>
      </c>
      <c r="P193" s="15" t="n">
        <f aca="false">IF(A193="","",IF(O193&lt;&gt;"",O193,IF(L193&lt;&gt;"",L193,F193)))</f>
        <v>1</v>
      </c>
    </row>
    <row r="194" customFormat="false" ht="15" hidden="false" customHeight="true" outlineLevel="0" collapsed="false">
      <c r="A194" s="30" t="s">
        <v>32</v>
      </c>
      <c r="B194" s="30" t="s">
        <v>33</v>
      </c>
      <c r="C194" s="21" t="n">
        <f aca="false">IF(A194="","",IFERROR(VLOOKUP(A194,'Recert Status'!$A$8:$C$400,3,FALSE()),""))</f>
        <v>46387</v>
      </c>
      <c r="D194" s="31" t="s">
        <v>692</v>
      </c>
      <c r="E194" s="30" t="s">
        <v>416</v>
      </c>
      <c r="F194" s="32" t="n">
        <v>0.5</v>
      </c>
      <c r="G194" s="33" t="n">
        <v>45780</v>
      </c>
      <c r="H194" s="33" t="n">
        <v>45780</v>
      </c>
      <c r="I194" s="31" t="s">
        <v>693</v>
      </c>
      <c r="J194" s="30" t="s">
        <v>416</v>
      </c>
      <c r="K194" s="31" t="s">
        <v>490</v>
      </c>
      <c r="L194" s="32" t="n">
        <v>0.5</v>
      </c>
      <c r="M194" s="39" t="s">
        <v>413</v>
      </c>
      <c r="N194" s="31" t="s">
        <v>414</v>
      </c>
      <c r="O194" s="32" t="n">
        <v>0.5</v>
      </c>
      <c r="P194" s="15" t="n">
        <f aca="false">IF(A194="","",IF(O194&lt;&gt;"",O194,IF(L194&lt;&gt;"",L194,F194)))</f>
        <v>0.5</v>
      </c>
    </row>
    <row r="195" customFormat="false" ht="15" hidden="false" customHeight="true" outlineLevel="0" collapsed="false">
      <c r="A195" s="26" t="s">
        <v>32</v>
      </c>
      <c r="B195" s="26" t="s">
        <v>33</v>
      </c>
      <c r="C195" s="14" t="n">
        <f aca="false">IF(A195="","",IFERROR(VLOOKUP(A195,'Recert Status'!$A$8:$C$400,3,FALSE()),""))</f>
        <v>46387</v>
      </c>
      <c r="D195" s="18" t="s">
        <v>672</v>
      </c>
      <c r="E195" s="26" t="s">
        <v>416</v>
      </c>
      <c r="F195" s="27" t="n">
        <v>1</v>
      </c>
      <c r="G195" s="28" t="n">
        <v>45825</v>
      </c>
      <c r="H195" s="28" t="n">
        <v>45825</v>
      </c>
      <c r="I195" s="18" t="s">
        <v>694</v>
      </c>
      <c r="J195" s="26" t="s">
        <v>416</v>
      </c>
      <c r="K195" s="18" t="s">
        <v>490</v>
      </c>
      <c r="L195" s="27" t="n">
        <v>1</v>
      </c>
      <c r="M195" s="39" t="s">
        <v>413</v>
      </c>
      <c r="N195" s="18" t="s">
        <v>414</v>
      </c>
      <c r="O195" s="27" t="n">
        <v>1</v>
      </c>
      <c r="P195" s="15" t="n">
        <f aca="false">IF(A195="","",IF(O195&lt;&gt;"",O195,IF(L195&lt;&gt;"",L195,F195)))</f>
        <v>1</v>
      </c>
    </row>
    <row r="196" customFormat="false" ht="15" hidden="false" customHeight="true" outlineLevel="0" collapsed="false">
      <c r="A196" s="30" t="s">
        <v>32</v>
      </c>
      <c r="B196" s="30" t="s">
        <v>33</v>
      </c>
      <c r="C196" s="21" t="n">
        <f aca="false">IF(A196="","",IFERROR(VLOOKUP(A196,'Recert Status'!$A$8:$C$400,3,FALSE()),""))</f>
        <v>46387</v>
      </c>
      <c r="D196" s="31" t="s">
        <v>670</v>
      </c>
      <c r="E196" s="30" t="s">
        <v>416</v>
      </c>
      <c r="F196" s="32" t="n">
        <v>2</v>
      </c>
      <c r="G196" s="33" t="n">
        <v>45861</v>
      </c>
      <c r="H196" s="33" t="n">
        <v>45861</v>
      </c>
      <c r="I196" s="31" t="s">
        <v>671</v>
      </c>
      <c r="J196" s="30" t="s">
        <v>416</v>
      </c>
      <c r="K196" s="31" t="s">
        <v>418</v>
      </c>
      <c r="L196" s="32" t="n">
        <v>2</v>
      </c>
      <c r="M196" s="39" t="s">
        <v>413</v>
      </c>
      <c r="N196" s="31" t="s">
        <v>514</v>
      </c>
      <c r="O196" s="32" t="n">
        <v>2</v>
      </c>
      <c r="P196" s="15" t="n">
        <f aca="false">IF(A196="","",IF(O196&lt;&gt;"",O196,IF(L196&lt;&gt;"",L196,F196)))</f>
        <v>2</v>
      </c>
    </row>
    <row r="197" customFormat="false" ht="15" hidden="false" customHeight="true" outlineLevel="0" collapsed="false">
      <c r="A197" s="26" t="s">
        <v>32</v>
      </c>
      <c r="B197" s="26" t="s">
        <v>33</v>
      </c>
      <c r="C197" s="14" t="n">
        <f aca="false">IF(A197="","",IFERROR(VLOOKUP(A197,'Recert Status'!$A$8:$C$400,3,FALSE()),""))</f>
        <v>46387</v>
      </c>
      <c r="D197" s="18" t="s">
        <v>488</v>
      </c>
      <c r="E197" s="26" t="s">
        <v>416</v>
      </c>
      <c r="F197" s="27" t="n">
        <v>1</v>
      </c>
      <c r="G197" s="28" t="n">
        <v>46127</v>
      </c>
      <c r="H197" s="28" t="n">
        <v>46127</v>
      </c>
      <c r="I197" s="18" t="s">
        <v>534</v>
      </c>
      <c r="J197" s="26" t="s">
        <v>416</v>
      </c>
      <c r="K197" s="18" t="s">
        <v>490</v>
      </c>
      <c r="L197" s="27" t="n">
        <v>1</v>
      </c>
      <c r="M197" s="39" t="s">
        <v>413</v>
      </c>
      <c r="N197" s="18" t="s">
        <v>414</v>
      </c>
      <c r="O197" s="27" t="n">
        <v>1</v>
      </c>
      <c r="P197" s="15" t="n">
        <f aca="false">IF(A197="","",IF(O197&lt;&gt;"",O197,IF(L197&lt;&gt;"",L197,F197)))</f>
        <v>1</v>
      </c>
    </row>
    <row r="198" customFormat="false" ht="15" hidden="false" customHeight="true" outlineLevel="0" collapsed="false">
      <c r="A198" s="30" t="s">
        <v>34</v>
      </c>
      <c r="B198" s="30" t="s">
        <v>35</v>
      </c>
      <c r="C198" s="21" t="n">
        <f aca="false">IF(A198="","",IFERROR(VLOOKUP(A198,'Recert Status'!$A$8:$C$400,3,FALSE()),""))</f>
        <v>46387</v>
      </c>
      <c r="D198" s="31" t="s">
        <v>449</v>
      </c>
      <c r="E198" s="30" t="s">
        <v>363</v>
      </c>
      <c r="F198" s="32" t="n">
        <v>1</v>
      </c>
      <c r="G198" s="33" t="n">
        <v>46069</v>
      </c>
      <c r="H198" s="33" t="n">
        <v>46069</v>
      </c>
      <c r="I198" s="31" t="s">
        <v>695</v>
      </c>
      <c r="J198" s="30" t="s">
        <v>363</v>
      </c>
      <c r="K198" s="31" t="s">
        <v>407</v>
      </c>
      <c r="L198" s="32" t="n">
        <v>1</v>
      </c>
      <c r="M198" s="29" t="s">
        <v>366</v>
      </c>
      <c r="N198" s="31" t="s">
        <v>367</v>
      </c>
      <c r="O198" s="32" t="n">
        <v>1</v>
      </c>
      <c r="P198" s="15" t="n">
        <f aca="false">IF(A198="","",IF(O198&lt;&gt;"",O198,IF(L198&lt;&gt;"",L198,F198)))</f>
        <v>1</v>
      </c>
    </row>
    <row r="199" customFormat="false" ht="15" hidden="false" customHeight="true" outlineLevel="0" collapsed="false">
      <c r="A199" s="26" t="s">
        <v>34</v>
      </c>
      <c r="B199" s="26" t="s">
        <v>35</v>
      </c>
      <c r="C199" s="14" t="n">
        <f aca="false">IF(A199="","",IFERROR(VLOOKUP(A199,'Recert Status'!$A$8:$C$400,3,FALSE()),""))</f>
        <v>46387</v>
      </c>
      <c r="D199" s="18" t="s">
        <v>449</v>
      </c>
      <c r="E199" s="26" t="s">
        <v>363</v>
      </c>
      <c r="F199" s="27" t="n">
        <v>1</v>
      </c>
      <c r="G199" s="28" t="n">
        <v>46071</v>
      </c>
      <c r="H199" s="28" t="n">
        <v>46071</v>
      </c>
      <c r="I199" s="18" t="s">
        <v>696</v>
      </c>
      <c r="J199" s="26" t="s">
        <v>363</v>
      </c>
      <c r="K199" s="18" t="s">
        <v>407</v>
      </c>
      <c r="L199" s="27" t="n">
        <v>1</v>
      </c>
      <c r="M199" s="29" t="s">
        <v>366</v>
      </c>
      <c r="N199" s="18" t="s">
        <v>367</v>
      </c>
      <c r="O199" s="27" t="n">
        <v>1</v>
      </c>
      <c r="P199" s="15" t="n">
        <f aca="false">IF(A199="","",IF(O199&lt;&gt;"",O199,IF(L199&lt;&gt;"",L199,F199)))</f>
        <v>1</v>
      </c>
    </row>
    <row r="200" customFormat="false" ht="15" hidden="false" customHeight="true" outlineLevel="0" collapsed="false">
      <c r="A200" s="30" t="s">
        <v>34</v>
      </c>
      <c r="B200" s="30" t="s">
        <v>35</v>
      </c>
      <c r="C200" s="21" t="n">
        <f aca="false">IF(A200="","",IFERROR(VLOOKUP(A200,'Recert Status'!$A$8:$C$400,3,FALSE()),""))</f>
        <v>46387</v>
      </c>
      <c r="D200" s="31" t="s">
        <v>449</v>
      </c>
      <c r="E200" s="30" t="s">
        <v>363</v>
      </c>
      <c r="F200" s="32" t="n">
        <v>1</v>
      </c>
      <c r="G200" s="33" t="n">
        <v>46071</v>
      </c>
      <c r="H200" s="33" t="n">
        <v>46071</v>
      </c>
      <c r="I200" s="31" t="s">
        <v>697</v>
      </c>
      <c r="J200" s="30" t="s">
        <v>363</v>
      </c>
      <c r="K200" s="31" t="s">
        <v>407</v>
      </c>
      <c r="L200" s="32" t="n">
        <v>1</v>
      </c>
      <c r="M200" s="29" t="s">
        <v>366</v>
      </c>
      <c r="N200" s="31" t="s">
        <v>367</v>
      </c>
      <c r="O200" s="32" t="n">
        <v>1</v>
      </c>
      <c r="P200" s="15" t="n">
        <f aca="false">IF(A200="","",IF(O200&lt;&gt;"",O200,IF(L200&lt;&gt;"",L200,F200)))</f>
        <v>1</v>
      </c>
    </row>
    <row r="201" customFormat="false" ht="15" hidden="false" customHeight="true" outlineLevel="0" collapsed="false">
      <c r="A201" s="26" t="s">
        <v>34</v>
      </c>
      <c r="B201" s="26" t="s">
        <v>35</v>
      </c>
      <c r="C201" s="14" t="n">
        <f aca="false">IF(A201="","",IFERROR(VLOOKUP(A201,'Recert Status'!$A$8:$C$400,3,FALSE()),""))</f>
        <v>46387</v>
      </c>
      <c r="D201" s="18" t="s">
        <v>449</v>
      </c>
      <c r="E201" s="26" t="s">
        <v>363</v>
      </c>
      <c r="F201" s="27" t="n">
        <v>1</v>
      </c>
      <c r="G201" s="28" t="n">
        <v>46073</v>
      </c>
      <c r="H201" s="28" t="n">
        <v>46073</v>
      </c>
      <c r="I201" s="18" t="s">
        <v>698</v>
      </c>
      <c r="J201" s="26" t="s">
        <v>363</v>
      </c>
      <c r="K201" s="18" t="s">
        <v>407</v>
      </c>
      <c r="L201" s="27" t="n">
        <v>1</v>
      </c>
      <c r="M201" s="29" t="s">
        <v>366</v>
      </c>
      <c r="N201" s="18" t="s">
        <v>367</v>
      </c>
      <c r="O201" s="27" t="n">
        <v>1</v>
      </c>
      <c r="P201" s="15" t="n">
        <f aca="false">IF(A201="","",IF(O201&lt;&gt;"",O201,IF(L201&lt;&gt;"",L201,F201)))</f>
        <v>1</v>
      </c>
    </row>
    <row r="202" customFormat="false" ht="15" hidden="false" customHeight="true" outlineLevel="0" collapsed="false">
      <c r="A202" s="30" t="s">
        <v>34</v>
      </c>
      <c r="B202" s="30" t="s">
        <v>35</v>
      </c>
      <c r="C202" s="21" t="n">
        <f aca="false">IF(A202="","",IFERROR(VLOOKUP(A202,'Recert Status'!$A$8:$C$400,3,FALSE()),""))</f>
        <v>46387</v>
      </c>
      <c r="D202" s="31" t="s">
        <v>632</v>
      </c>
      <c r="E202" s="30" t="n">
        <v>29675</v>
      </c>
      <c r="F202" s="32" t="n">
        <v>0.5</v>
      </c>
      <c r="G202" s="33" t="n">
        <v>45855</v>
      </c>
      <c r="H202" s="33" t="n">
        <v>45855</v>
      </c>
      <c r="I202" s="31" t="s">
        <v>633</v>
      </c>
      <c r="J202" s="30" t="s">
        <v>406</v>
      </c>
      <c r="K202" s="31" t="s">
        <v>422</v>
      </c>
      <c r="L202" s="32" t="n">
        <v>0.5</v>
      </c>
      <c r="M202" s="40" t="s">
        <v>423</v>
      </c>
      <c r="N202" s="31" t="s">
        <v>424</v>
      </c>
      <c r="O202" s="32" t="n">
        <v>0.5</v>
      </c>
      <c r="P202" s="15" t="n">
        <f aca="false">IF(A202="","",IF(O202&lt;&gt;"",O202,IF(L202&lt;&gt;"",L202,F202)))</f>
        <v>0.5</v>
      </c>
    </row>
    <row r="203" customFormat="false" ht="15" hidden="false" customHeight="true" outlineLevel="0" collapsed="false">
      <c r="A203" s="26" t="s">
        <v>34</v>
      </c>
      <c r="B203" s="26" t="s">
        <v>35</v>
      </c>
      <c r="C203" s="14" t="n">
        <f aca="false">IF(A203="","",IFERROR(VLOOKUP(A203,'Recert Status'!$A$8:$C$400,3,FALSE()),""))</f>
        <v>46387</v>
      </c>
      <c r="D203" s="18" t="s">
        <v>449</v>
      </c>
      <c r="E203" s="26" t="s">
        <v>426</v>
      </c>
      <c r="F203" s="27" t="n">
        <v>2</v>
      </c>
      <c r="G203" s="28" t="n">
        <v>46065</v>
      </c>
      <c r="H203" s="28" t="n">
        <v>46065</v>
      </c>
      <c r="I203" s="18" t="s">
        <v>699</v>
      </c>
      <c r="J203" s="26" t="s">
        <v>426</v>
      </c>
      <c r="K203" s="18" t="s">
        <v>407</v>
      </c>
      <c r="L203" s="27" t="n">
        <v>2</v>
      </c>
      <c r="M203" s="41" t="s">
        <v>429</v>
      </c>
      <c r="N203" s="18" t="s">
        <v>430</v>
      </c>
      <c r="O203" s="27" t="n">
        <v>2</v>
      </c>
      <c r="P203" s="15" t="n">
        <f aca="false">IF(A203="","",IF(O203&lt;&gt;"",O203,IF(L203&lt;&gt;"",L203,F203)))</f>
        <v>2</v>
      </c>
    </row>
    <row r="204" customFormat="false" ht="15" hidden="false" customHeight="true" outlineLevel="0" collapsed="false">
      <c r="A204" s="30" t="s">
        <v>34</v>
      </c>
      <c r="B204" s="30" t="s">
        <v>35</v>
      </c>
      <c r="C204" s="21" t="n">
        <f aca="false">IF(A204="","",IFERROR(VLOOKUP(A204,'Recert Status'!$A$8:$C$400,3,FALSE()),""))</f>
        <v>46387</v>
      </c>
      <c r="D204" s="31" t="s">
        <v>449</v>
      </c>
      <c r="E204" s="30" t="s">
        <v>426</v>
      </c>
      <c r="F204" s="32" t="n">
        <v>1</v>
      </c>
      <c r="G204" s="33" t="n">
        <v>46070</v>
      </c>
      <c r="H204" s="33" t="n">
        <v>46070</v>
      </c>
      <c r="I204" s="31" t="s">
        <v>700</v>
      </c>
      <c r="J204" s="30" t="s">
        <v>426</v>
      </c>
      <c r="K204" s="31" t="s">
        <v>407</v>
      </c>
      <c r="L204" s="32" t="n">
        <v>1</v>
      </c>
      <c r="M204" s="41" t="s">
        <v>429</v>
      </c>
      <c r="N204" s="31" t="s">
        <v>430</v>
      </c>
      <c r="O204" s="32" t="n">
        <v>1</v>
      </c>
      <c r="P204" s="15" t="n">
        <f aca="false">IF(A204="","",IF(O204&lt;&gt;"",O204,IF(L204&lt;&gt;"",L204,F204)))</f>
        <v>1</v>
      </c>
    </row>
    <row r="205" customFormat="false" ht="15" hidden="false" customHeight="true" outlineLevel="0" collapsed="false">
      <c r="A205" s="26" t="s">
        <v>34</v>
      </c>
      <c r="B205" s="26" t="s">
        <v>35</v>
      </c>
      <c r="C205" s="14" t="n">
        <f aca="false">IF(A205="","",IFERROR(VLOOKUP(A205,'Recert Status'!$A$8:$C$400,3,FALSE()),""))</f>
        <v>46387</v>
      </c>
      <c r="D205" s="18" t="s">
        <v>449</v>
      </c>
      <c r="E205" s="26" t="s">
        <v>426</v>
      </c>
      <c r="F205" s="27" t="n">
        <v>1</v>
      </c>
      <c r="G205" s="28" t="n">
        <v>46072</v>
      </c>
      <c r="H205" s="28" t="n">
        <v>46072</v>
      </c>
      <c r="I205" s="18" t="s">
        <v>701</v>
      </c>
      <c r="J205" s="26" t="s">
        <v>426</v>
      </c>
      <c r="K205" s="18" t="s">
        <v>407</v>
      </c>
      <c r="L205" s="27" t="n">
        <v>1</v>
      </c>
      <c r="M205" s="41" t="s">
        <v>429</v>
      </c>
      <c r="N205" s="18" t="s">
        <v>430</v>
      </c>
      <c r="O205" s="27" t="n">
        <v>1</v>
      </c>
      <c r="P205" s="15" t="n">
        <f aca="false">IF(A205="","",IF(O205&lt;&gt;"",O205,IF(L205&lt;&gt;"",L205,F205)))</f>
        <v>1</v>
      </c>
    </row>
    <row r="206" customFormat="false" ht="15" hidden="false" customHeight="true" outlineLevel="0" collapsed="false">
      <c r="A206" s="30" t="s">
        <v>34</v>
      </c>
      <c r="B206" s="30" t="s">
        <v>35</v>
      </c>
      <c r="C206" s="21" t="n">
        <f aca="false">IF(A206="","",IFERROR(VLOOKUP(A206,'Recert Status'!$A$8:$C$400,3,FALSE()),""))</f>
        <v>46387</v>
      </c>
      <c r="D206" s="31" t="s">
        <v>449</v>
      </c>
      <c r="E206" s="30" t="s">
        <v>426</v>
      </c>
      <c r="F206" s="32" t="n">
        <v>1</v>
      </c>
      <c r="G206" s="33" t="n">
        <v>46072</v>
      </c>
      <c r="H206" s="33" t="n">
        <v>46072</v>
      </c>
      <c r="I206" s="31" t="s">
        <v>702</v>
      </c>
      <c r="J206" s="30" t="s">
        <v>426</v>
      </c>
      <c r="K206" s="31" t="s">
        <v>407</v>
      </c>
      <c r="L206" s="32" t="n">
        <v>1</v>
      </c>
      <c r="M206" s="41" t="s">
        <v>429</v>
      </c>
      <c r="N206" s="31" t="s">
        <v>430</v>
      </c>
      <c r="O206" s="32" t="n">
        <v>1</v>
      </c>
      <c r="P206" s="15" t="n">
        <f aca="false">IF(A206="","",IF(O206&lt;&gt;"",O206,IF(L206&lt;&gt;"",L206,F206)))</f>
        <v>1</v>
      </c>
    </row>
    <row r="207" customFormat="false" ht="15" hidden="false" customHeight="true" outlineLevel="0" collapsed="false">
      <c r="A207" s="26" t="s">
        <v>34</v>
      </c>
      <c r="B207" s="26" t="s">
        <v>35</v>
      </c>
      <c r="C207" s="14" t="n">
        <f aca="false">IF(A207="","",IFERROR(VLOOKUP(A207,'Recert Status'!$A$8:$C$400,3,FALSE()),""))</f>
        <v>46387</v>
      </c>
      <c r="D207" s="18" t="s">
        <v>449</v>
      </c>
      <c r="E207" s="26" t="n">
        <v>29675</v>
      </c>
      <c r="F207" s="27" t="n">
        <v>1</v>
      </c>
      <c r="G207" s="28" t="n">
        <v>46041</v>
      </c>
      <c r="H207" s="28" t="n">
        <v>46041</v>
      </c>
      <c r="I207" s="18" t="s">
        <v>703</v>
      </c>
      <c r="J207" s="26" t="s">
        <v>406</v>
      </c>
      <c r="K207" s="18" t="s">
        <v>374</v>
      </c>
      <c r="L207" s="27" t="n">
        <v>1</v>
      </c>
      <c r="M207" s="34" t="s">
        <v>375</v>
      </c>
      <c r="N207" s="18" t="s">
        <v>376</v>
      </c>
      <c r="O207" s="27" t="n">
        <v>1</v>
      </c>
      <c r="P207" s="15" t="n">
        <f aca="false">IF(A207="","",IF(O207&lt;&gt;"",O207,IF(L207&lt;&gt;"",L207,F207)))</f>
        <v>1</v>
      </c>
    </row>
    <row r="208" customFormat="false" ht="15" hidden="false" customHeight="true" outlineLevel="0" collapsed="false">
      <c r="A208" s="30" t="s">
        <v>34</v>
      </c>
      <c r="B208" s="30" t="s">
        <v>35</v>
      </c>
      <c r="C208" s="21" t="n">
        <f aca="false">IF(A208="","",IFERROR(VLOOKUP(A208,'Recert Status'!$A$8:$C$400,3,FALSE()),""))</f>
        <v>46387</v>
      </c>
      <c r="D208" s="31" t="s">
        <v>449</v>
      </c>
      <c r="E208" s="30" t="s">
        <v>372</v>
      </c>
      <c r="F208" s="32" t="n">
        <v>1</v>
      </c>
      <c r="G208" s="33" t="n">
        <v>46041</v>
      </c>
      <c r="H208" s="33" t="n">
        <v>46041</v>
      </c>
      <c r="I208" s="31" t="s">
        <v>704</v>
      </c>
      <c r="J208" s="30" t="s">
        <v>372</v>
      </c>
      <c r="K208" s="31" t="s">
        <v>374</v>
      </c>
      <c r="L208" s="32" t="n">
        <v>1</v>
      </c>
      <c r="M208" s="34" t="s">
        <v>375</v>
      </c>
      <c r="N208" s="31" t="s">
        <v>376</v>
      </c>
      <c r="O208" s="32" t="n">
        <v>1</v>
      </c>
      <c r="P208" s="15" t="n">
        <f aca="false">IF(A208="","",IF(O208&lt;&gt;"",O208,IF(L208&lt;&gt;"",L208,F208)))</f>
        <v>1</v>
      </c>
    </row>
    <row r="209" customFormat="false" ht="15" hidden="false" customHeight="true" outlineLevel="0" collapsed="false">
      <c r="A209" s="26" t="s">
        <v>34</v>
      </c>
      <c r="B209" s="26" t="s">
        <v>35</v>
      </c>
      <c r="C209" s="14" t="n">
        <f aca="false">IF(A209="","",IFERROR(VLOOKUP(A209,'Recert Status'!$A$8:$C$400,3,FALSE()),""))</f>
        <v>46387</v>
      </c>
      <c r="D209" s="18" t="s">
        <v>705</v>
      </c>
      <c r="E209" s="26" t="n">
        <v>29769</v>
      </c>
      <c r="F209" s="27" t="n">
        <v>2</v>
      </c>
      <c r="G209" s="28" t="n">
        <v>45896</v>
      </c>
      <c r="H209" s="28" t="n">
        <v>45896</v>
      </c>
      <c r="I209" s="18" t="s">
        <v>706</v>
      </c>
      <c r="J209" s="26" t="s">
        <v>517</v>
      </c>
      <c r="K209" s="18" t="s">
        <v>707</v>
      </c>
      <c r="L209" s="27" t="n">
        <v>2</v>
      </c>
      <c r="M209" s="35" t="s">
        <v>386</v>
      </c>
      <c r="N209" s="18" t="s">
        <v>387</v>
      </c>
      <c r="O209" s="27" t="n">
        <v>2</v>
      </c>
      <c r="P209" s="15" t="n">
        <f aca="false">IF(A209="","",IF(O209&lt;&gt;"",O209,IF(L209&lt;&gt;"",L209,F209)))</f>
        <v>2</v>
      </c>
    </row>
    <row r="210" customFormat="false" ht="15" hidden="false" customHeight="true" outlineLevel="0" collapsed="false">
      <c r="A210" s="30" t="s">
        <v>34</v>
      </c>
      <c r="B210" s="30" t="s">
        <v>35</v>
      </c>
      <c r="C210" s="21" t="n">
        <f aca="false">IF(A210="","",IFERROR(VLOOKUP(A210,'Recert Status'!$A$8:$C$400,3,FALSE()),""))</f>
        <v>46387</v>
      </c>
      <c r="D210" s="31" t="s">
        <v>449</v>
      </c>
      <c r="E210" s="30" t="s">
        <v>389</v>
      </c>
      <c r="F210" s="32" t="n">
        <v>1</v>
      </c>
      <c r="G210" s="33" t="n">
        <v>46065</v>
      </c>
      <c r="H210" s="33" t="n">
        <v>46065</v>
      </c>
      <c r="I210" s="31" t="s">
        <v>708</v>
      </c>
      <c r="J210" s="30" t="s">
        <v>389</v>
      </c>
      <c r="K210" s="31" t="s">
        <v>407</v>
      </c>
      <c r="L210" s="32" t="n">
        <v>1</v>
      </c>
      <c r="M210" s="35" t="s">
        <v>386</v>
      </c>
      <c r="N210" s="31" t="s">
        <v>387</v>
      </c>
      <c r="O210" s="32" t="n">
        <v>1</v>
      </c>
      <c r="P210" s="15" t="n">
        <f aca="false">IF(A210="","",IF(O210&lt;&gt;"",O210,IF(L210&lt;&gt;"",L210,F210)))</f>
        <v>1</v>
      </c>
    </row>
    <row r="211" customFormat="false" ht="15" hidden="false" customHeight="true" outlineLevel="0" collapsed="false">
      <c r="A211" s="26" t="s">
        <v>34</v>
      </c>
      <c r="B211" s="26" t="s">
        <v>35</v>
      </c>
      <c r="C211" s="14" t="n">
        <f aca="false">IF(A211="","",IFERROR(VLOOKUP(A211,'Recert Status'!$A$8:$C$400,3,FALSE()),""))</f>
        <v>46387</v>
      </c>
      <c r="D211" s="18" t="s">
        <v>449</v>
      </c>
      <c r="E211" s="26" t="s">
        <v>389</v>
      </c>
      <c r="F211" s="27" t="n">
        <v>1</v>
      </c>
      <c r="G211" s="28" t="n">
        <v>46071</v>
      </c>
      <c r="H211" s="28" t="n">
        <v>46071</v>
      </c>
      <c r="I211" s="18" t="s">
        <v>709</v>
      </c>
      <c r="J211" s="26" t="s">
        <v>389</v>
      </c>
      <c r="K211" s="18" t="s">
        <v>407</v>
      </c>
      <c r="L211" s="27" t="n">
        <v>1</v>
      </c>
      <c r="M211" s="35" t="s">
        <v>386</v>
      </c>
      <c r="N211" s="18" t="s">
        <v>387</v>
      </c>
      <c r="O211" s="27" t="n">
        <v>1</v>
      </c>
      <c r="P211" s="15" t="n">
        <f aca="false">IF(A211="","",IF(O211&lt;&gt;"",O211,IF(L211&lt;&gt;"",L211,F211)))</f>
        <v>1</v>
      </c>
    </row>
    <row r="212" customFormat="false" ht="15" hidden="false" customHeight="true" outlineLevel="0" collapsed="false">
      <c r="A212" s="30" t="s">
        <v>34</v>
      </c>
      <c r="B212" s="30" t="s">
        <v>35</v>
      </c>
      <c r="C212" s="21" t="n">
        <f aca="false">IF(A212="","",IFERROR(VLOOKUP(A212,'Recert Status'!$A$8:$C$400,3,FALSE()),""))</f>
        <v>46387</v>
      </c>
      <c r="D212" s="31" t="s">
        <v>449</v>
      </c>
      <c r="E212" s="30" t="s">
        <v>389</v>
      </c>
      <c r="F212" s="32" t="n">
        <v>1</v>
      </c>
      <c r="G212" s="33" t="n">
        <v>46071</v>
      </c>
      <c r="H212" s="33" t="n">
        <v>46071</v>
      </c>
      <c r="I212" s="31" t="s">
        <v>710</v>
      </c>
      <c r="J212" s="30" t="s">
        <v>389</v>
      </c>
      <c r="K212" s="31" t="s">
        <v>407</v>
      </c>
      <c r="L212" s="32" t="n">
        <v>1</v>
      </c>
      <c r="M212" s="35" t="s">
        <v>386</v>
      </c>
      <c r="N212" s="31" t="s">
        <v>387</v>
      </c>
      <c r="O212" s="32" t="n">
        <v>1</v>
      </c>
      <c r="P212" s="15" t="n">
        <f aca="false">IF(A212="","",IF(O212&lt;&gt;"",O212,IF(L212&lt;&gt;"",L212,F212)))</f>
        <v>1</v>
      </c>
    </row>
    <row r="213" customFormat="false" ht="15" hidden="false" customHeight="true" outlineLevel="0" collapsed="false">
      <c r="A213" s="26" t="s">
        <v>34</v>
      </c>
      <c r="B213" s="26" t="s">
        <v>35</v>
      </c>
      <c r="C213" s="14" t="n">
        <f aca="false">IF(A213="","",IFERROR(VLOOKUP(A213,'Recert Status'!$A$8:$C$400,3,FALSE()),""))</f>
        <v>46387</v>
      </c>
      <c r="D213" s="18" t="s">
        <v>449</v>
      </c>
      <c r="E213" s="26" t="s">
        <v>389</v>
      </c>
      <c r="F213" s="27" t="n">
        <v>1</v>
      </c>
      <c r="G213" s="28" t="n">
        <v>46072</v>
      </c>
      <c r="H213" s="28" t="n">
        <v>46072</v>
      </c>
      <c r="I213" s="18" t="s">
        <v>711</v>
      </c>
      <c r="J213" s="26" t="s">
        <v>389</v>
      </c>
      <c r="K213" s="18" t="s">
        <v>407</v>
      </c>
      <c r="L213" s="27" t="n">
        <v>1</v>
      </c>
      <c r="M213" s="35" t="s">
        <v>386</v>
      </c>
      <c r="N213" s="18" t="s">
        <v>387</v>
      </c>
      <c r="O213" s="27" t="n">
        <v>1</v>
      </c>
      <c r="P213" s="15" t="n">
        <f aca="false">IF(A213="","",IF(O213&lt;&gt;"",O213,IF(L213&lt;&gt;"",L213,F213)))</f>
        <v>1</v>
      </c>
    </row>
    <row r="214" customFormat="false" ht="15" hidden="false" customHeight="true" outlineLevel="0" collapsed="false">
      <c r="A214" s="30" t="s">
        <v>34</v>
      </c>
      <c r="B214" s="30" t="s">
        <v>35</v>
      </c>
      <c r="C214" s="21" t="n">
        <f aca="false">IF(A214="","",IFERROR(VLOOKUP(A214,'Recert Status'!$A$8:$C$400,3,FALSE()),""))</f>
        <v>46387</v>
      </c>
      <c r="D214" s="31" t="s">
        <v>449</v>
      </c>
      <c r="E214" s="30" t="s">
        <v>389</v>
      </c>
      <c r="F214" s="32" t="n">
        <v>1</v>
      </c>
      <c r="G214" s="33" t="n">
        <v>46073</v>
      </c>
      <c r="H214" s="33" t="n">
        <v>46073</v>
      </c>
      <c r="I214" s="31" t="s">
        <v>712</v>
      </c>
      <c r="J214" s="30" t="s">
        <v>389</v>
      </c>
      <c r="K214" s="31" t="s">
        <v>407</v>
      </c>
      <c r="L214" s="32" t="n">
        <v>1</v>
      </c>
      <c r="M214" s="35" t="s">
        <v>386</v>
      </c>
      <c r="N214" s="31" t="s">
        <v>387</v>
      </c>
      <c r="O214" s="32" t="n">
        <v>1</v>
      </c>
      <c r="P214" s="15" t="n">
        <f aca="false">IF(A214="","",IF(O214&lt;&gt;"",O214,IF(L214&lt;&gt;"",L214,F214)))</f>
        <v>1</v>
      </c>
    </row>
    <row r="215" customFormat="false" ht="15" hidden="false" customHeight="true" outlineLevel="0" collapsed="false">
      <c r="A215" s="26" t="s">
        <v>34</v>
      </c>
      <c r="B215" s="26" t="s">
        <v>35</v>
      </c>
      <c r="C215" s="14" t="n">
        <f aca="false">IF(A215="","",IFERROR(VLOOKUP(A215,'Recert Status'!$A$8:$C$400,3,FALSE()),""))</f>
        <v>46387</v>
      </c>
      <c r="D215" s="18" t="s">
        <v>705</v>
      </c>
      <c r="E215" s="26" t="n">
        <v>29769</v>
      </c>
      <c r="F215" s="27" t="n">
        <v>8</v>
      </c>
      <c r="G215" s="28" t="n">
        <v>45861</v>
      </c>
      <c r="H215" s="28" t="n">
        <v>45861</v>
      </c>
      <c r="I215" s="18" t="s">
        <v>713</v>
      </c>
      <c r="J215" s="26" t="s">
        <v>517</v>
      </c>
      <c r="K215" s="18" t="s">
        <v>412</v>
      </c>
      <c r="L215" s="27" t="n">
        <v>8</v>
      </c>
      <c r="M215" s="36" t="s">
        <v>396</v>
      </c>
      <c r="N215" s="18" t="s">
        <v>397</v>
      </c>
      <c r="O215" s="27" t="n">
        <v>8</v>
      </c>
      <c r="P215" s="15" t="n">
        <f aca="false">IF(A215="","",IF(O215&lt;&gt;"",O215,IF(L215&lt;&gt;"",L215,F215)))</f>
        <v>8</v>
      </c>
    </row>
    <row r="216" customFormat="false" ht="15" hidden="false" customHeight="true" outlineLevel="0" collapsed="false">
      <c r="A216" s="30" t="s">
        <v>34</v>
      </c>
      <c r="B216" s="30" t="s">
        <v>35</v>
      </c>
      <c r="C216" s="21" t="n">
        <f aca="false">IF(A216="","",IFERROR(VLOOKUP(A216,'Recert Status'!$A$8:$C$400,3,FALSE()),""))</f>
        <v>46387</v>
      </c>
      <c r="D216" s="31" t="s">
        <v>449</v>
      </c>
      <c r="E216" s="30" t="s">
        <v>452</v>
      </c>
      <c r="F216" s="32" t="n">
        <v>1</v>
      </c>
      <c r="G216" s="33" t="n">
        <v>46071</v>
      </c>
      <c r="H216" s="33" t="n">
        <v>46071</v>
      </c>
      <c r="I216" s="31" t="s">
        <v>714</v>
      </c>
      <c r="J216" s="30" t="s">
        <v>452</v>
      </c>
      <c r="K216" s="31" t="s">
        <v>407</v>
      </c>
      <c r="L216" s="32" t="n">
        <v>1</v>
      </c>
      <c r="M216" s="36" t="s">
        <v>396</v>
      </c>
      <c r="N216" s="31" t="s">
        <v>397</v>
      </c>
      <c r="O216" s="32" t="n">
        <v>1</v>
      </c>
      <c r="P216" s="15" t="n">
        <f aca="false">IF(A216="","",IF(O216&lt;&gt;"",O216,IF(L216&lt;&gt;"",L216,F216)))</f>
        <v>1</v>
      </c>
    </row>
    <row r="217" customFormat="false" ht="15" hidden="false" customHeight="true" outlineLevel="0" collapsed="false">
      <c r="A217" s="26" t="s">
        <v>34</v>
      </c>
      <c r="B217" s="26" t="s">
        <v>35</v>
      </c>
      <c r="C217" s="14" t="n">
        <f aca="false">IF(A217="","",IFERROR(VLOOKUP(A217,'Recert Status'!$A$8:$C$400,3,FALSE()),""))</f>
        <v>46387</v>
      </c>
      <c r="D217" s="18" t="s">
        <v>397</v>
      </c>
      <c r="E217" s="26" t="s">
        <v>452</v>
      </c>
      <c r="F217" s="27" t="n">
        <v>10</v>
      </c>
      <c r="G217" s="28" t="n">
        <v>46218</v>
      </c>
      <c r="H217" s="28" t="n">
        <v>46218</v>
      </c>
      <c r="I217" s="18" t="s">
        <v>535</v>
      </c>
      <c r="J217" s="26" t="s">
        <v>452</v>
      </c>
      <c r="K217" s="18" t="s">
        <v>385</v>
      </c>
      <c r="L217" s="27" t="n">
        <v>10</v>
      </c>
      <c r="M217" s="36" t="s">
        <v>396</v>
      </c>
      <c r="N217" s="18" t="s">
        <v>397</v>
      </c>
      <c r="O217" s="27" t="n">
        <v>10</v>
      </c>
      <c r="P217" s="15" t="n">
        <f aca="false">IF(A217="","",IF(O217&lt;&gt;"",O217,IF(L217&lt;&gt;"",L217,F217)))</f>
        <v>10</v>
      </c>
    </row>
    <row r="218" customFormat="false" ht="15" hidden="false" customHeight="true" outlineLevel="0" collapsed="false">
      <c r="A218" s="30" t="s">
        <v>34</v>
      </c>
      <c r="B218" s="30" t="s">
        <v>35</v>
      </c>
      <c r="C218" s="21" t="n">
        <f aca="false">IF(A218="","",IFERROR(VLOOKUP(A218,'Recert Status'!$A$8:$C$400,3,FALSE()),""))</f>
        <v>46387</v>
      </c>
      <c r="D218" s="31" t="s">
        <v>449</v>
      </c>
      <c r="E218" s="30" t="s">
        <v>399</v>
      </c>
      <c r="F218" s="32" t="n">
        <v>1</v>
      </c>
      <c r="G218" s="33" t="n">
        <v>46041</v>
      </c>
      <c r="H218" s="33" t="n">
        <v>46041</v>
      </c>
      <c r="I218" s="31" t="s">
        <v>715</v>
      </c>
      <c r="J218" s="30" t="s">
        <v>399</v>
      </c>
      <c r="K218" s="31" t="s">
        <v>401</v>
      </c>
      <c r="L218" s="32" t="n">
        <v>1</v>
      </c>
      <c r="M218" s="37" t="s">
        <v>402</v>
      </c>
      <c r="N218" s="31" t="s">
        <v>403</v>
      </c>
      <c r="O218" s="32" t="n">
        <v>1</v>
      </c>
      <c r="P218" s="15" t="n">
        <f aca="false">IF(A218="","",IF(O218&lt;&gt;"",O218,IF(L218&lt;&gt;"",L218,F218)))</f>
        <v>1</v>
      </c>
    </row>
    <row r="219" customFormat="false" ht="15" hidden="false" customHeight="true" outlineLevel="0" collapsed="false">
      <c r="A219" s="26" t="s">
        <v>34</v>
      </c>
      <c r="B219" s="26" t="s">
        <v>35</v>
      </c>
      <c r="C219" s="14" t="n">
        <f aca="false">IF(A219="","",IFERROR(VLOOKUP(A219,'Recert Status'!$A$8:$C$400,3,FALSE()),""))</f>
        <v>46387</v>
      </c>
      <c r="D219" s="18" t="s">
        <v>449</v>
      </c>
      <c r="E219" s="26" t="n">
        <v>29675</v>
      </c>
      <c r="F219" s="27" t="n">
        <v>1</v>
      </c>
      <c r="G219" s="28" t="n">
        <v>46041</v>
      </c>
      <c r="H219" s="28" t="n">
        <v>46041</v>
      </c>
      <c r="I219" s="18" t="s">
        <v>716</v>
      </c>
      <c r="J219" s="26" t="s">
        <v>406</v>
      </c>
      <c r="K219" s="18" t="s">
        <v>407</v>
      </c>
      <c r="L219" s="27" t="n">
        <v>1</v>
      </c>
      <c r="M219" s="38" t="s">
        <v>408</v>
      </c>
      <c r="N219" s="18" t="s">
        <v>409</v>
      </c>
      <c r="O219" s="27" t="n">
        <v>1</v>
      </c>
      <c r="P219" s="15" t="n">
        <f aca="false">IF(A219="","",IF(O219&lt;&gt;"",O219,IF(L219&lt;&gt;"",L219,F219)))</f>
        <v>1</v>
      </c>
    </row>
    <row r="220" customFormat="false" ht="15" hidden="false" customHeight="true" outlineLevel="0" collapsed="false">
      <c r="A220" s="30" t="s">
        <v>34</v>
      </c>
      <c r="B220" s="30" t="s">
        <v>35</v>
      </c>
      <c r="C220" s="21" t="n">
        <f aca="false">IF(A220="","",IFERROR(VLOOKUP(A220,'Recert Status'!$A$8:$C$400,3,FALSE()),""))</f>
        <v>46387</v>
      </c>
      <c r="D220" s="31" t="s">
        <v>486</v>
      </c>
      <c r="E220" s="30" t="s">
        <v>416</v>
      </c>
      <c r="F220" s="32" t="n">
        <v>2</v>
      </c>
      <c r="G220" s="33" t="n">
        <v>45859</v>
      </c>
      <c r="H220" s="33" t="n">
        <v>45859</v>
      </c>
      <c r="I220" s="31" t="s">
        <v>487</v>
      </c>
      <c r="J220" s="30" t="s">
        <v>416</v>
      </c>
      <c r="K220" s="31" t="s">
        <v>418</v>
      </c>
      <c r="L220" s="32" t="n">
        <v>2</v>
      </c>
      <c r="M220" s="39" t="s">
        <v>413</v>
      </c>
      <c r="N220" s="31" t="s">
        <v>414</v>
      </c>
      <c r="O220" s="32" t="n">
        <v>2</v>
      </c>
      <c r="P220" s="15" t="n">
        <f aca="false">IF(A220="","",IF(O220&lt;&gt;"",O220,IF(L220&lt;&gt;"",L220,F220)))</f>
        <v>2</v>
      </c>
    </row>
    <row r="221" customFormat="false" ht="15" hidden="false" customHeight="true" outlineLevel="0" collapsed="false">
      <c r="A221" s="26" t="s">
        <v>34</v>
      </c>
      <c r="B221" s="26" t="s">
        <v>35</v>
      </c>
      <c r="C221" s="14" t="n">
        <f aca="false">IF(A221="","",IFERROR(VLOOKUP(A221,'Recert Status'!$A$8:$C$400,3,FALSE()),""))</f>
        <v>46387</v>
      </c>
      <c r="D221" s="18" t="s">
        <v>717</v>
      </c>
      <c r="E221" s="26" t="s">
        <v>416</v>
      </c>
      <c r="F221" s="27" t="n">
        <v>2</v>
      </c>
      <c r="G221" s="28" t="n">
        <v>45859</v>
      </c>
      <c r="H221" s="28" t="n">
        <v>45859</v>
      </c>
      <c r="I221" s="18" t="s">
        <v>718</v>
      </c>
      <c r="J221" s="26" t="s">
        <v>416</v>
      </c>
      <c r="K221" s="18" t="s">
        <v>418</v>
      </c>
      <c r="L221" s="27" t="n">
        <v>2</v>
      </c>
      <c r="M221" s="39" t="s">
        <v>413</v>
      </c>
      <c r="N221" s="18" t="s">
        <v>414</v>
      </c>
      <c r="O221" s="27" t="n">
        <v>2</v>
      </c>
      <c r="P221" s="15" t="n">
        <f aca="false">IF(A221="","",IF(O221&lt;&gt;"",O221,IF(L221&lt;&gt;"",L221,F221)))</f>
        <v>2</v>
      </c>
    </row>
    <row r="222" customFormat="false" ht="15" hidden="false" customHeight="true" outlineLevel="0" collapsed="false">
      <c r="A222" s="30" t="s">
        <v>34</v>
      </c>
      <c r="B222" s="30" t="s">
        <v>35</v>
      </c>
      <c r="C222" s="21" t="n">
        <f aca="false">IF(A222="","",IFERROR(VLOOKUP(A222,'Recert Status'!$A$8:$C$400,3,FALSE()),""))</f>
        <v>46387</v>
      </c>
      <c r="D222" s="31" t="s">
        <v>719</v>
      </c>
      <c r="E222" s="30" t="s">
        <v>416</v>
      </c>
      <c r="F222" s="32" t="n">
        <v>2</v>
      </c>
      <c r="G222" s="33" t="n">
        <v>45859</v>
      </c>
      <c r="H222" s="33" t="n">
        <v>45859</v>
      </c>
      <c r="I222" s="31" t="s">
        <v>486</v>
      </c>
      <c r="J222" s="30" t="s">
        <v>416</v>
      </c>
      <c r="K222" s="31" t="s">
        <v>418</v>
      </c>
      <c r="L222" s="32" t="n">
        <v>2</v>
      </c>
      <c r="M222" s="39" t="s">
        <v>413</v>
      </c>
      <c r="N222" s="31" t="s">
        <v>414</v>
      </c>
      <c r="O222" s="32" t="n">
        <v>2</v>
      </c>
      <c r="P222" s="15" t="n">
        <f aca="false">IF(A222="","",IF(O222&lt;&gt;"",O222,IF(L222&lt;&gt;"",L222,F222)))</f>
        <v>2</v>
      </c>
    </row>
    <row r="223" customFormat="false" ht="15" hidden="false" customHeight="true" outlineLevel="0" collapsed="false">
      <c r="A223" s="26" t="s">
        <v>34</v>
      </c>
      <c r="B223" s="26" t="s">
        <v>35</v>
      </c>
      <c r="C223" s="14" t="n">
        <f aca="false">IF(A223="","",IFERROR(VLOOKUP(A223,'Recert Status'!$A$8:$C$400,3,FALSE()),""))</f>
        <v>46387</v>
      </c>
      <c r="D223" s="18" t="s">
        <v>457</v>
      </c>
      <c r="E223" s="26" t="s">
        <v>416</v>
      </c>
      <c r="F223" s="27" t="n">
        <v>2</v>
      </c>
      <c r="G223" s="28" t="n">
        <v>45860</v>
      </c>
      <c r="H223" s="28" t="n">
        <v>45860</v>
      </c>
      <c r="I223" s="18" t="s">
        <v>720</v>
      </c>
      <c r="J223" s="26" t="s">
        <v>416</v>
      </c>
      <c r="K223" s="18" t="s">
        <v>459</v>
      </c>
      <c r="L223" s="27" t="n">
        <v>2</v>
      </c>
      <c r="M223" s="39" t="s">
        <v>413</v>
      </c>
      <c r="N223" s="18" t="s">
        <v>414</v>
      </c>
      <c r="O223" s="27" t="n">
        <v>2</v>
      </c>
      <c r="P223" s="15" t="n">
        <f aca="false">IF(A223="","",IF(O223&lt;&gt;"",O223,IF(L223&lt;&gt;"",L223,F223)))</f>
        <v>2</v>
      </c>
    </row>
    <row r="224" customFormat="false" ht="15" hidden="false" customHeight="true" outlineLevel="0" collapsed="false">
      <c r="A224" s="30" t="s">
        <v>34</v>
      </c>
      <c r="B224" s="30" t="s">
        <v>35</v>
      </c>
      <c r="C224" s="21" t="n">
        <f aca="false">IF(A224="","",IFERROR(VLOOKUP(A224,'Recert Status'!$A$8:$C$400,3,FALSE()),""))</f>
        <v>46387</v>
      </c>
      <c r="D224" s="31" t="s">
        <v>457</v>
      </c>
      <c r="E224" s="30" t="s">
        <v>416</v>
      </c>
      <c r="F224" s="32" t="n">
        <v>2</v>
      </c>
      <c r="G224" s="33" t="n">
        <v>45860</v>
      </c>
      <c r="H224" s="33" t="n">
        <v>45860</v>
      </c>
      <c r="I224" s="31" t="s">
        <v>458</v>
      </c>
      <c r="J224" s="30" t="s">
        <v>416</v>
      </c>
      <c r="K224" s="31" t="s">
        <v>459</v>
      </c>
      <c r="L224" s="32" t="n">
        <v>2</v>
      </c>
      <c r="M224" s="39" t="s">
        <v>413</v>
      </c>
      <c r="N224" s="31" t="s">
        <v>414</v>
      </c>
      <c r="O224" s="32" t="n">
        <v>2</v>
      </c>
      <c r="P224" s="15" t="n">
        <f aca="false">IF(A224="","",IF(O224&lt;&gt;"",O224,IF(L224&lt;&gt;"",L224,F224)))</f>
        <v>2</v>
      </c>
    </row>
    <row r="225" customFormat="false" ht="15" hidden="false" customHeight="true" outlineLevel="0" collapsed="false">
      <c r="A225" s="26" t="s">
        <v>34</v>
      </c>
      <c r="B225" s="26" t="s">
        <v>35</v>
      </c>
      <c r="C225" s="14" t="n">
        <f aca="false">IF(A225="","",IFERROR(VLOOKUP(A225,'Recert Status'!$A$8:$C$400,3,FALSE()),""))</f>
        <v>46387</v>
      </c>
      <c r="D225" s="18" t="s">
        <v>457</v>
      </c>
      <c r="E225" s="26" t="s">
        <v>416</v>
      </c>
      <c r="F225" s="27" t="n">
        <v>2</v>
      </c>
      <c r="G225" s="28" t="n">
        <v>45860</v>
      </c>
      <c r="H225" s="28" t="n">
        <v>45860</v>
      </c>
      <c r="I225" s="18" t="s">
        <v>533</v>
      </c>
      <c r="J225" s="26" t="s">
        <v>416</v>
      </c>
      <c r="K225" s="18" t="s">
        <v>523</v>
      </c>
      <c r="L225" s="27" t="n">
        <v>2</v>
      </c>
      <c r="M225" s="39" t="s">
        <v>413</v>
      </c>
      <c r="N225" s="18" t="s">
        <v>414</v>
      </c>
      <c r="O225" s="27" t="n">
        <v>2</v>
      </c>
      <c r="P225" s="15" t="n">
        <f aca="false">IF(A225="","",IF(O225&lt;&gt;"",O225,IF(L225&lt;&gt;"",L225,F225)))</f>
        <v>2</v>
      </c>
    </row>
    <row r="226" customFormat="false" ht="15" hidden="false" customHeight="true" outlineLevel="0" collapsed="false">
      <c r="A226" s="30" t="s">
        <v>34</v>
      </c>
      <c r="B226" s="30" t="s">
        <v>35</v>
      </c>
      <c r="C226" s="21" t="n">
        <f aca="false">IF(A226="","",IFERROR(VLOOKUP(A226,'Recert Status'!$A$8:$C$400,3,FALSE()),""))</f>
        <v>46387</v>
      </c>
      <c r="D226" s="31" t="s">
        <v>415</v>
      </c>
      <c r="E226" s="30" t="s">
        <v>416</v>
      </c>
      <c r="F226" s="32" t="n">
        <v>2</v>
      </c>
      <c r="G226" s="33" t="n">
        <v>45860</v>
      </c>
      <c r="H226" s="33" t="n">
        <v>45860</v>
      </c>
      <c r="I226" s="31" t="s">
        <v>721</v>
      </c>
      <c r="J226" s="30" t="s">
        <v>416</v>
      </c>
      <c r="K226" s="31" t="s">
        <v>418</v>
      </c>
      <c r="L226" s="32" t="n">
        <v>2</v>
      </c>
      <c r="M226" s="39" t="s">
        <v>413</v>
      </c>
      <c r="N226" s="31" t="s">
        <v>414</v>
      </c>
      <c r="O226" s="32" t="n">
        <v>2</v>
      </c>
      <c r="P226" s="15" t="n">
        <f aca="false">IF(A226="","",IF(O226&lt;&gt;"",O226,IF(L226&lt;&gt;"",L226,F226)))</f>
        <v>2</v>
      </c>
    </row>
    <row r="227" customFormat="false" ht="15" hidden="false" customHeight="true" outlineLevel="0" collapsed="false">
      <c r="A227" s="26" t="s">
        <v>34</v>
      </c>
      <c r="B227" s="26" t="s">
        <v>35</v>
      </c>
      <c r="C227" s="14" t="n">
        <f aca="false">IF(A227="","",IFERROR(VLOOKUP(A227,'Recert Status'!$A$8:$C$400,3,FALSE()),""))</f>
        <v>46387</v>
      </c>
      <c r="D227" s="18" t="s">
        <v>705</v>
      </c>
      <c r="E227" s="26" t="s">
        <v>416</v>
      </c>
      <c r="F227" s="27" t="n">
        <v>1.5</v>
      </c>
      <c r="G227" s="28" t="n">
        <v>45896</v>
      </c>
      <c r="H227" s="28" t="n">
        <v>45896</v>
      </c>
      <c r="I227" s="18" t="s">
        <v>722</v>
      </c>
      <c r="J227" s="26" t="s">
        <v>416</v>
      </c>
      <c r="K227" s="18" t="s">
        <v>723</v>
      </c>
      <c r="L227" s="27" t="n">
        <v>1.5</v>
      </c>
      <c r="M227" s="39" t="s">
        <v>413</v>
      </c>
      <c r="N227" s="18" t="s">
        <v>414</v>
      </c>
      <c r="O227" s="27" t="n">
        <v>1.5</v>
      </c>
      <c r="P227" s="15" t="n">
        <f aca="false">IF(A227="","",IF(O227&lt;&gt;"",O227,IF(L227&lt;&gt;"",L227,F227)))</f>
        <v>1.5</v>
      </c>
    </row>
    <row r="228" customFormat="false" ht="15" hidden="false" customHeight="true" outlineLevel="0" collapsed="false">
      <c r="A228" s="30" t="s">
        <v>34</v>
      </c>
      <c r="B228" s="30" t="s">
        <v>35</v>
      </c>
      <c r="C228" s="21" t="n">
        <f aca="false">IF(A228="","",IFERROR(VLOOKUP(A228,'Recert Status'!$A$8:$C$400,3,FALSE()),""))</f>
        <v>46387</v>
      </c>
      <c r="D228" s="31" t="s">
        <v>449</v>
      </c>
      <c r="E228" s="30" t="s">
        <v>416</v>
      </c>
      <c r="F228" s="32" t="n">
        <v>1</v>
      </c>
      <c r="G228" s="33" t="n">
        <v>46069</v>
      </c>
      <c r="H228" s="33" t="n">
        <v>46069</v>
      </c>
      <c r="I228" s="31" t="s">
        <v>724</v>
      </c>
      <c r="J228" s="30" t="s">
        <v>416</v>
      </c>
      <c r="K228" s="31" t="s">
        <v>407</v>
      </c>
      <c r="L228" s="32" t="n">
        <v>1</v>
      </c>
      <c r="M228" s="39" t="s">
        <v>413</v>
      </c>
      <c r="N228" s="31" t="s">
        <v>414</v>
      </c>
      <c r="O228" s="32" t="n">
        <v>1</v>
      </c>
      <c r="P228" s="15" t="n">
        <f aca="false">IF(A228="","",IF(O228&lt;&gt;"",O228,IF(L228&lt;&gt;"",L228,F228)))</f>
        <v>1</v>
      </c>
    </row>
    <row r="229" customFormat="false" ht="15" hidden="false" customHeight="true" outlineLevel="0" collapsed="false">
      <c r="A229" s="26" t="s">
        <v>34</v>
      </c>
      <c r="B229" s="26" t="s">
        <v>35</v>
      </c>
      <c r="C229" s="14" t="n">
        <f aca="false">IF(A229="","",IFERROR(VLOOKUP(A229,'Recert Status'!$A$8:$C$400,3,FALSE()),""))</f>
        <v>46387</v>
      </c>
      <c r="D229" s="18" t="s">
        <v>449</v>
      </c>
      <c r="E229" s="26" t="s">
        <v>416</v>
      </c>
      <c r="F229" s="27" t="n">
        <v>2</v>
      </c>
      <c r="G229" s="28" t="n">
        <v>46069</v>
      </c>
      <c r="H229" s="28" t="n">
        <v>46069</v>
      </c>
      <c r="I229" s="18" t="s">
        <v>725</v>
      </c>
      <c r="J229" s="26" t="s">
        <v>416</v>
      </c>
      <c r="K229" s="18" t="s">
        <v>407</v>
      </c>
      <c r="L229" s="27" t="n">
        <v>2</v>
      </c>
      <c r="M229" s="39" t="s">
        <v>413</v>
      </c>
      <c r="N229" s="18" t="s">
        <v>414</v>
      </c>
      <c r="O229" s="27" t="n">
        <v>2</v>
      </c>
      <c r="P229" s="15" t="n">
        <f aca="false">IF(A229="","",IF(O229&lt;&gt;"",O229,IF(L229&lt;&gt;"",L229,F229)))</f>
        <v>2</v>
      </c>
    </row>
    <row r="230" customFormat="false" ht="15" hidden="false" customHeight="true" outlineLevel="0" collapsed="false">
      <c r="A230" s="30" t="s">
        <v>34</v>
      </c>
      <c r="B230" s="30" t="s">
        <v>35</v>
      </c>
      <c r="C230" s="21" t="n">
        <f aca="false">IF(A230="","",IFERROR(VLOOKUP(A230,'Recert Status'!$A$8:$C$400,3,FALSE()),""))</f>
        <v>46387</v>
      </c>
      <c r="D230" s="31" t="s">
        <v>488</v>
      </c>
      <c r="E230" s="30" t="s">
        <v>416</v>
      </c>
      <c r="F230" s="32" t="n">
        <v>1</v>
      </c>
      <c r="G230" s="33" t="n">
        <v>46139</v>
      </c>
      <c r="H230" s="33" t="n">
        <v>46139</v>
      </c>
      <c r="I230" s="31" t="s">
        <v>610</v>
      </c>
      <c r="J230" s="30" t="s">
        <v>416</v>
      </c>
      <c r="K230" s="31" t="s">
        <v>490</v>
      </c>
      <c r="L230" s="32" t="n">
        <v>1</v>
      </c>
      <c r="M230" s="39" t="s">
        <v>413</v>
      </c>
      <c r="N230" s="31" t="s">
        <v>414</v>
      </c>
      <c r="O230" s="32" t="n">
        <v>1</v>
      </c>
      <c r="P230" s="15" t="n">
        <f aca="false">IF(A230="","",IF(O230&lt;&gt;"",O230,IF(L230&lt;&gt;"",L230,F230)))</f>
        <v>1</v>
      </c>
    </row>
    <row r="231" customFormat="false" ht="15" hidden="false" customHeight="true" outlineLevel="0" collapsed="false">
      <c r="A231" s="26" t="s">
        <v>34</v>
      </c>
      <c r="B231" s="26" t="s">
        <v>35</v>
      </c>
      <c r="C231" s="14" t="n">
        <f aca="false">IF(A231="","",IFERROR(VLOOKUP(A231,'Recert Status'!$A$8:$C$400,3,FALSE()),""))</f>
        <v>46387</v>
      </c>
      <c r="D231" s="18" t="s">
        <v>414</v>
      </c>
      <c r="E231" s="26" t="s">
        <v>416</v>
      </c>
      <c r="F231" s="27" t="n">
        <v>10</v>
      </c>
      <c r="G231" s="28" t="n">
        <v>46217</v>
      </c>
      <c r="H231" s="28" t="n">
        <v>46217</v>
      </c>
      <c r="I231" s="18" t="s">
        <v>611</v>
      </c>
      <c r="J231" s="26" t="s">
        <v>416</v>
      </c>
      <c r="K231" s="18" t="s">
        <v>418</v>
      </c>
      <c r="L231" s="27" t="n">
        <v>10</v>
      </c>
      <c r="M231" s="39" t="s">
        <v>413</v>
      </c>
      <c r="N231" s="18" t="s">
        <v>414</v>
      </c>
      <c r="O231" s="27" t="n">
        <v>10</v>
      </c>
      <c r="P231" s="15" t="n">
        <f aca="false">IF(A231="","",IF(O231&lt;&gt;"",O231,IF(L231&lt;&gt;"",L231,F231)))</f>
        <v>10</v>
      </c>
    </row>
    <row r="232" customFormat="false" ht="15" hidden="false" customHeight="true" outlineLevel="0" collapsed="false">
      <c r="A232" s="30" t="s">
        <v>34</v>
      </c>
      <c r="B232" s="30" t="s">
        <v>35</v>
      </c>
      <c r="C232" s="21" t="n">
        <f aca="false">IF(A232="","",IFERROR(VLOOKUP(A232,'Recert Status'!$A$8:$C$400,3,FALSE()),""))</f>
        <v>46387</v>
      </c>
      <c r="D232" s="31" t="s">
        <v>414</v>
      </c>
      <c r="E232" s="30" t="s">
        <v>416</v>
      </c>
      <c r="F232" s="32" t="n">
        <v>10</v>
      </c>
      <c r="G232" s="33" t="n">
        <v>46219</v>
      </c>
      <c r="H232" s="33" t="n">
        <v>46219</v>
      </c>
      <c r="I232" s="31" t="s">
        <v>491</v>
      </c>
      <c r="J232" s="30" t="s">
        <v>416</v>
      </c>
      <c r="K232" s="31" t="s">
        <v>418</v>
      </c>
      <c r="L232" s="32" t="n">
        <v>10</v>
      </c>
      <c r="M232" s="39" t="s">
        <v>413</v>
      </c>
      <c r="N232" s="31" t="s">
        <v>414</v>
      </c>
      <c r="O232" s="32" t="n">
        <v>10</v>
      </c>
      <c r="P232" s="15" t="n">
        <f aca="false">IF(A232="","",IF(O232&lt;&gt;"",O232,IF(L232&lt;&gt;"",L232,F232)))</f>
        <v>10</v>
      </c>
    </row>
    <row r="233" customFormat="false" ht="15" hidden="false" customHeight="true" outlineLevel="0" collapsed="false">
      <c r="A233" s="26" t="s">
        <v>36</v>
      </c>
      <c r="B233" s="26" t="s">
        <v>37</v>
      </c>
      <c r="C233" s="14" t="n">
        <f aca="false">IF(A233="","",IFERROR(VLOOKUP(A233,'Recert Status'!$A$8:$C$400,3,FALSE()),""))</f>
        <v>46387</v>
      </c>
      <c r="D233" s="18" t="s">
        <v>726</v>
      </c>
      <c r="E233" s="26" t="n">
        <v>57404</v>
      </c>
      <c r="F233" s="27" t="n">
        <v>3</v>
      </c>
      <c r="G233" s="28" t="n">
        <v>45971</v>
      </c>
      <c r="H233" s="28" t="n">
        <v>45971</v>
      </c>
      <c r="I233" s="18" t="s">
        <v>727</v>
      </c>
      <c r="J233" s="26" t="s">
        <v>728</v>
      </c>
      <c r="K233" s="18" t="s">
        <v>630</v>
      </c>
      <c r="L233" s="27" t="n">
        <v>3</v>
      </c>
      <c r="M233" s="29" t="s">
        <v>366</v>
      </c>
      <c r="N233" s="18" t="s">
        <v>514</v>
      </c>
      <c r="O233" s="27" t="n">
        <v>3</v>
      </c>
      <c r="P233" s="15" t="n">
        <f aca="false">IF(A233="","",IF(O233&lt;&gt;"",O233,IF(L233&lt;&gt;"",L233,F233)))</f>
        <v>3</v>
      </c>
    </row>
    <row r="234" customFormat="false" ht="15" hidden="false" customHeight="true" outlineLevel="0" collapsed="false">
      <c r="A234" s="30" t="s">
        <v>36</v>
      </c>
      <c r="B234" s="30" t="s">
        <v>37</v>
      </c>
      <c r="C234" s="21" t="n">
        <f aca="false">IF(A234="","",IFERROR(VLOOKUP(A234,'Recert Status'!$A$8:$C$400,3,FALSE()),""))</f>
        <v>46387</v>
      </c>
      <c r="D234" s="31" t="s">
        <v>729</v>
      </c>
      <c r="E234" s="30" t="s">
        <v>426</v>
      </c>
      <c r="F234" s="32" t="n">
        <v>2</v>
      </c>
      <c r="G234" s="33" t="n">
        <v>45971</v>
      </c>
      <c r="H234" s="33" t="n">
        <v>45971</v>
      </c>
      <c r="I234" s="31" t="s">
        <v>730</v>
      </c>
      <c r="J234" s="30" t="s">
        <v>426</v>
      </c>
      <c r="K234" s="31" t="s">
        <v>428</v>
      </c>
      <c r="L234" s="32" t="n">
        <v>2</v>
      </c>
      <c r="M234" s="41" t="s">
        <v>429</v>
      </c>
      <c r="N234" s="31" t="s">
        <v>430</v>
      </c>
      <c r="O234" s="32" t="n">
        <v>2</v>
      </c>
      <c r="P234" s="15" t="n">
        <f aca="false">IF(A234="","",IF(O234&lt;&gt;"",O234,IF(L234&lt;&gt;"",L234,F234)))</f>
        <v>2</v>
      </c>
    </row>
    <row r="235" customFormat="false" ht="15" hidden="false" customHeight="true" outlineLevel="0" collapsed="false">
      <c r="A235" s="26" t="s">
        <v>36</v>
      </c>
      <c r="B235" s="26" t="s">
        <v>37</v>
      </c>
      <c r="C235" s="14" t="n">
        <f aca="false">IF(A235="","",IFERROR(VLOOKUP(A235,'Recert Status'!$A$8:$C$400,3,FALSE()),""))</f>
        <v>46387</v>
      </c>
      <c r="D235" s="18" t="s">
        <v>508</v>
      </c>
      <c r="E235" s="26" t="s">
        <v>426</v>
      </c>
      <c r="F235" s="27" t="n">
        <v>1.5</v>
      </c>
      <c r="G235" s="28" t="n">
        <v>45973</v>
      </c>
      <c r="H235" s="28" t="n">
        <v>45973</v>
      </c>
      <c r="I235" s="18" t="s">
        <v>731</v>
      </c>
      <c r="J235" s="26" t="s">
        <v>426</v>
      </c>
      <c r="K235" s="18" t="s">
        <v>428</v>
      </c>
      <c r="L235" s="27" t="n">
        <v>1.5</v>
      </c>
      <c r="M235" s="41" t="s">
        <v>429</v>
      </c>
      <c r="N235" s="18" t="s">
        <v>430</v>
      </c>
      <c r="O235" s="27" t="n">
        <v>1.5</v>
      </c>
      <c r="P235" s="15" t="n">
        <f aca="false">IF(A235="","",IF(O235&lt;&gt;"",O235,IF(L235&lt;&gt;"",L235,F235)))</f>
        <v>1.5</v>
      </c>
    </row>
    <row r="236" customFormat="false" ht="15" hidden="false" customHeight="true" outlineLevel="0" collapsed="false">
      <c r="A236" s="30" t="s">
        <v>36</v>
      </c>
      <c r="B236" s="30" t="s">
        <v>37</v>
      </c>
      <c r="C236" s="21" t="n">
        <f aca="false">IF(A236="","",IFERROR(VLOOKUP(A236,'Recert Status'!$A$8:$C$400,3,FALSE()),""))</f>
        <v>46387</v>
      </c>
      <c r="D236" s="31" t="s">
        <v>732</v>
      </c>
      <c r="E236" s="30" t="s">
        <v>372</v>
      </c>
      <c r="F236" s="32" t="n">
        <v>1</v>
      </c>
      <c r="G236" s="33" t="n">
        <v>45841</v>
      </c>
      <c r="H236" s="33" t="n">
        <v>45841</v>
      </c>
      <c r="I236" s="31" t="s">
        <v>733</v>
      </c>
      <c r="J236" s="30" t="s">
        <v>372</v>
      </c>
      <c r="K236" s="31" t="s">
        <v>374</v>
      </c>
      <c r="L236" s="32" t="n">
        <v>1</v>
      </c>
      <c r="M236" s="34" t="s">
        <v>375</v>
      </c>
      <c r="N236" s="31" t="s">
        <v>376</v>
      </c>
      <c r="O236" s="32" t="n">
        <v>1</v>
      </c>
      <c r="P236" s="15" t="n">
        <f aca="false">IF(A236="","",IF(O236&lt;&gt;"",O236,IF(L236&lt;&gt;"",L236,F236)))</f>
        <v>1</v>
      </c>
    </row>
    <row r="237" customFormat="false" ht="15" hidden="false" customHeight="true" outlineLevel="0" collapsed="false">
      <c r="A237" s="26" t="s">
        <v>36</v>
      </c>
      <c r="B237" s="26" t="s">
        <v>37</v>
      </c>
      <c r="C237" s="14" t="n">
        <f aca="false">IF(A237="","",IFERROR(VLOOKUP(A237,'Recert Status'!$A$8:$C$400,3,FALSE()),""))</f>
        <v>46387</v>
      </c>
      <c r="D237" s="18" t="s">
        <v>732</v>
      </c>
      <c r="E237" s="26" t="s">
        <v>372</v>
      </c>
      <c r="F237" s="27" t="n">
        <v>1.5</v>
      </c>
      <c r="G237" s="28" t="n">
        <v>46140</v>
      </c>
      <c r="H237" s="28" t="n">
        <v>46140</v>
      </c>
      <c r="I237" s="18" t="s">
        <v>734</v>
      </c>
      <c r="J237" s="26" t="s">
        <v>372</v>
      </c>
      <c r="K237" s="18" t="s">
        <v>735</v>
      </c>
      <c r="L237" s="27" t="n">
        <v>1.5</v>
      </c>
      <c r="M237" s="34" t="s">
        <v>375</v>
      </c>
      <c r="N237" s="18" t="s">
        <v>376</v>
      </c>
      <c r="O237" s="27" t="n">
        <v>1.5</v>
      </c>
      <c r="P237" s="15" t="n">
        <f aca="false">IF(A237="","",IF(O237&lt;&gt;"",O237,IF(L237&lt;&gt;"",L237,F237)))</f>
        <v>1.5</v>
      </c>
    </row>
    <row r="238" customFormat="false" ht="15" hidden="false" customHeight="true" outlineLevel="0" collapsed="false">
      <c r="A238" s="30" t="s">
        <v>36</v>
      </c>
      <c r="B238" s="30" t="s">
        <v>37</v>
      </c>
      <c r="C238" s="21" t="n">
        <f aca="false">IF(A238="","",IFERROR(VLOOKUP(A238,'Recert Status'!$A$8:$C$400,3,FALSE()),""))</f>
        <v>46387</v>
      </c>
      <c r="D238" s="31" t="s">
        <v>382</v>
      </c>
      <c r="E238" s="30" t="n">
        <v>35513</v>
      </c>
      <c r="F238" s="32" t="n">
        <v>2</v>
      </c>
      <c r="G238" s="33" t="n">
        <v>45883</v>
      </c>
      <c r="H238" s="33" t="n">
        <v>45883</v>
      </c>
      <c r="I238" s="31" t="s">
        <v>383</v>
      </c>
      <c r="J238" s="30" t="s">
        <v>384</v>
      </c>
      <c r="K238" s="31" t="s">
        <v>385</v>
      </c>
      <c r="L238" s="32" t="n">
        <v>2</v>
      </c>
      <c r="M238" s="35" t="s">
        <v>386</v>
      </c>
      <c r="N238" s="31" t="s">
        <v>387</v>
      </c>
      <c r="O238" s="32" t="n">
        <v>2</v>
      </c>
      <c r="P238" s="15" t="n">
        <f aca="false">IF(A238="","",IF(O238&lt;&gt;"",O238,IF(L238&lt;&gt;"",L238,F238)))</f>
        <v>2</v>
      </c>
    </row>
    <row r="239" customFormat="false" ht="15" hidden="false" customHeight="true" outlineLevel="0" collapsed="false">
      <c r="A239" s="26" t="s">
        <v>36</v>
      </c>
      <c r="B239" s="26" t="s">
        <v>37</v>
      </c>
      <c r="C239" s="14" t="n">
        <f aca="false">IF(A239="","",IFERROR(VLOOKUP(A239,'Recert Status'!$A$8:$C$400,3,FALSE()),""))</f>
        <v>46387</v>
      </c>
      <c r="D239" s="18" t="s">
        <v>736</v>
      </c>
      <c r="E239" s="26" t="n">
        <v>35513</v>
      </c>
      <c r="F239" s="27" t="n">
        <v>2</v>
      </c>
      <c r="G239" s="28" t="n">
        <v>45884</v>
      </c>
      <c r="H239" s="28" t="n">
        <v>45884</v>
      </c>
      <c r="I239" s="18" t="s">
        <v>737</v>
      </c>
      <c r="J239" s="26" t="s">
        <v>384</v>
      </c>
      <c r="K239" s="18" t="s">
        <v>385</v>
      </c>
      <c r="L239" s="27" t="n">
        <v>2</v>
      </c>
      <c r="M239" s="35" t="s">
        <v>386</v>
      </c>
      <c r="N239" s="18" t="s">
        <v>387</v>
      </c>
      <c r="O239" s="27" t="n">
        <v>2</v>
      </c>
      <c r="P239" s="15" t="n">
        <f aca="false">IF(A239="","",IF(O239&lt;&gt;"",O239,IF(L239&lt;&gt;"",L239,F239)))</f>
        <v>2</v>
      </c>
    </row>
    <row r="240" customFormat="false" ht="15" hidden="false" customHeight="true" outlineLevel="0" collapsed="false">
      <c r="A240" s="30" t="s">
        <v>36</v>
      </c>
      <c r="B240" s="30" t="s">
        <v>37</v>
      </c>
      <c r="C240" s="21" t="n">
        <f aca="false">IF(A240="","",IFERROR(VLOOKUP(A240,'Recert Status'!$A$8:$C$400,3,FALSE()),""))</f>
        <v>46387</v>
      </c>
      <c r="D240" s="31" t="s">
        <v>738</v>
      </c>
      <c r="E240" s="30" t="s">
        <v>389</v>
      </c>
      <c r="F240" s="32" t="n">
        <v>3</v>
      </c>
      <c r="G240" s="33" t="n">
        <v>45971</v>
      </c>
      <c r="H240" s="33" t="n">
        <v>45971</v>
      </c>
      <c r="I240" s="31" t="s">
        <v>739</v>
      </c>
      <c r="J240" s="30" t="s">
        <v>389</v>
      </c>
      <c r="K240" s="31" t="s">
        <v>740</v>
      </c>
      <c r="L240" s="32" t="n">
        <v>3</v>
      </c>
      <c r="M240" s="35" t="s">
        <v>386</v>
      </c>
      <c r="N240" s="31" t="s">
        <v>387</v>
      </c>
      <c r="O240" s="32" t="n">
        <v>3</v>
      </c>
      <c r="P240" s="15" t="n">
        <f aca="false">IF(A240="","",IF(O240&lt;&gt;"",O240,IF(L240&lt;&gt;"",L240,F240)))</f>
        <v>3</v>
      </c>
    </row>
    <row r="241" customFormat="false" ht="15" hidden="false" customHeight="true" outlineLevel="0" collapsed="false">
      <c r="A241" s="26" t="s">
        <v>36</v>
      </c>
      <c r="B241" s="26" t="s">
        <v>37</v>
      </c>
      <c r="C241" s="14" t="n">
        <f aca="false">IF(A241="","",IFERROR(VLOOKUP(A241,'Recert Status'!$A$8:$C$400,3,FALSE()),""))</f>
        <v>46387</v>
      </c>
      <c r="D241" s="18" t="s">
        <v>741</v>
      </c>
      <c r="E241" s="26" t="s">
        <v>389</v>
      </c>
      <c r="F241" s="27" t="n">
        <v>1</v>
      </c>
      <c r="G241" s="28" t="n">
        <v>45973</v>
      </c>
      <c r="H241" s="28" t="n">
        <v>45973</v>
      </c>
      <c r="I241" s="18" t="s">
        <v>731</v>
      </c>
      <c r="J241" s="26" t="s">
        <v>389</v>
      </c>
      <c r="K241" s="18" t="s">
        <v>509</v>
      </c>
      <c r="L241" s="27" t="n">
        <v>1</v>
      </c>
      <c r="M241" s="35" t="s">
        <v>386</v>
      </c>
      <c r="N241" s="18" t="s">
        <v>387</v>
      </c>
      <c r="O241" s="27" t="n">
        <v>1</v>
      </c>
      <c r="P241" s="15" t="n">
        <f aca="false">IF(A241="","",IF(O241&lt;&gt;"",O241,IF(L241&lt;&gt;"",L241,F241)))</f>
        <v>1</v>
      </c>
    </row>
    <row r="242" customFormat="false" ht="15" hidden="false" customHeight="true" outlineLevel="0" collapsed="false">
      <c r="A242" s="30" t="s">
        <v>36</v>
      </c>
      <c r="B242" s="30" t="s">
        <v>37</v>
      </c>
      <c r="C242" s="21" t="n">
        <f aca="false">IF(A242="","",IFERROR(VLOOKUP(A242,'Recert Status'!$A$8:$C$400,3,FALSE()),""))</f>
        <v>46387</v>
      </c>
      <c r="D242" s="31" t="s">
        <v>742</v>
      </c>
      <c r="E242" s="30" t="n">
        <v>29668</v>
      </c>
      <c r="F242" s="32" t="n">
        <v>1.5</v>
      </c>
      <c r="G242" s="33" t="n">
        <v>45973</v>
      </c>
      <c r="H242" s="33" t="n">
        <v>45973</v>
      </c>
      <c r="I242" s="31" t="s">
        <v>743</v>
      </c>
      <c r="J242" s="30" t="s">
        <v>511</v>
      </c>
      <c r="K242" s="31" t="s">
        <v>509</v>
      </c>
      <c r="L242" s="32" t="n">
        <v>1.5</v>
      </c>
      <c r="M242" s="35" t="s">
        <v>386</v>
      </c>
      <c r="N242" s="31" t="s">
        <v>387</v>
      </c>
      <c r="O242" s="32" t="n">
        <v>1.5</v>
      </c>
      <c r="P242" s="15" t="n">
        <f aca="false">IF(A242="","",IF(O242&lt;&gt;"",O242,IF(L242&lt;&gt;"",L242,F242)))</f>
        <v>1.5</v>
      </c>
    </row>
    <row r="243" customFormat="false" ht="15" hidden="false" customHeight="true" outlineLevel="0" collapsed="false">
      <c r="A243" s="26" t="s">
        <v>36</v>
      </c>
      <c r="B243" s="26" t="s">
        <v>37</v>
      </c>
      <c r="C243" s="14" t="n">
        <f aca="false">IF(A243="","",IFERROR(VLOOKUP(A243,'Recert Status'!$A$8:$C$400,3,FALSE()),""))</f>
        <v>46387</v>
      </c>
      <c r="D243" s="18" t="s">
        <v>591</v>
      </c>
      <c r="E243" s="26" t="n">
        <v>57435</v>
      </c>
      <c r="F243" s="27" t="n">
        <v>0.5</v>
      </c>
      <c r="G243" s="28" t="n">
        <v>45985</v>
      </c>
      <c r="H243" s="28" t="n">
        <v>45985</v>
      </c>
      <c r="I243" s="18" t="s">
        <v>592</v>
      </c>
      <c r="J243" s="26" t="s">
        <v>593</v>
      </c>
      <c r="K243" s="18" t="s">
        <v>446</v>
      </c>
      <c r="L243" s="27" t="n">
        <v>0.5</v>
      </c>
      <c r="M243" s="35" t="s">
        <v>386</v>
      </c>
      <c r="N243" s="18" t="s">
        <v>387</v>
      </c>
      <c r="O243" s="27" t="n">
        <v>0.5</v>
      </c>
      <c r="P243" s="15" t="n">
        <f aca="false">IF(A243="","",IF(O243&lt;&gt;"",O243,IF(L243&lt;&gt;"",L243,F243)))</f>
        <v>0.5</v>
      </c>
    </row>
    <row r="244" customFormat="false" ht="15" hidden="false" customHeight="true" outlineLevel="0" collapsed="false">
      <c r="A244" s="30" t="s">
        <v>36</v>
      </c>
      <c r="B244" s="30" t="s">
        <v>37</v>
      </c>
      <c r="C244" s="21" t="n">
        <f aca="false">IF(A244="","",IFERROR(VLOOKUP(A244,'Recert Status'!$A$8:$C$400,3,FALSE()),""))</f>
        <v>46387</v>
      </c>
      <c r="D244" s="31" t="s">
        <v>474</v>
      </c>
      <c r="E244" s="30" t="s">
        <v>389</v>
      </c>
      <c r="F244" s="32" t="n">
        <v>1</v>
      </c>
      <c r="G244" s="33" t="n">
        <v>46204</v>
      </c>
      <c r="H244" s="33" t="n">
        <v>46204</v>
      </c>
      <c r="I244" s="31" t="s">
        <v>475</v>
      </c>
      <c r="J244" s="30" t="s">
        <v>389</v>
      </c>
      <c r="K244" s="31" t="s">
        <v>476</v>
      </c>
      <c r="L244" s="32" t="n">
        <v>1</v>
      </c>
      <c r="M244" s="35" t="s">
        <v>386</v>
      </c>
      <c r="N244" s="31" t="s">
        <v>387</v>
      </c>
      <c r="O244" s="32" t="n">
        <v>1</v>
      </c>
      <c r="P244" s="15" t="n">
        <f aca="false">IF(A244="","",IF(O244&lt;&gt;"",O244,IF(L244&lt;&gt;"",L244,F244)))</f>
        <v>1</v>
      </c>
    </row>
    <row r="245" customFormat="false" ht="15" hidden="false" customHeight="true" outlineLevel="0" collapsed="false">
      <c r="A245" s="26" t="s">
        <v>36</v>
      </c>
      <c r="B245" s="26" t="s">
        <v>37</v>
      </c>
      <c r="C245" s="14" t="n">
        <f aca="false">IF(A245="","",IFERROR(VLOOKUP(A245,'Recert Status'!$A$8:$C$400,3,FALSE()),""))</f>
        <v>46387</v>
      </c>
      <c r="D245" s="18" t="s">
        <v>744</v>
      </c>
      <c r="E245" s="26" t="s">
        <v>452</v>
      </c>
      <c r="F245" s="27" t="n">
        <v>4</v>
      </c>
      <c r="G245" s="28" t="n">
        <v>45973</v>
      </c>
      <c r="H245" s="28" t="n">
        <v>45973</v>
      </c>
      <c r="I245" s="18" t="s">
        <v>731</v>
      </c>
      <c r="J245" s="26" t="s">
        <v>452</v>
      </c>
      <c r="K245" s="18" t="s">
        <v>385</v>
      </c>
      <c r="L245" s="27" t="n">
        <v>4</v>
      </c>
      <c r="M245" s="36" t="s">
        <v>396</v>
      </c>
      <c r="N245" s="18" t="s">
        <v>397</v>
      </c>
      <c r="O245" s="27" t="n">
        <v>4</v>
      </c>
      <c r="P245" s="15" t="n">
        <f aca="false">IF(A245="","",IF(O245&lt;&gt;"",O245,IF(L245&lt;&gt;"",L245,F245)))</f>
        <v>4</v>
      </c>
    </row>
    <row r="246" customFormat="false" ht="15" hidden="false" customHeight="true" outlineLevel="0" collapsed="false">
      <c r="A246" s="30" t="s">
        <v>36</v>
      </c>
      <c r="B246" s="30" t="s">
        <v>37</v>
      </c>
      <c r="C246" s="21" t="n">
        <f aca="false">IF(A246="","",IFERROR(VLOOKUP(A246,'Recert Status'!$A$8:$C$400,3,FALSE()),""))</f>
        <v>46387</v>
      </c>
      <c r="D246" s="31" t="s">
        <v>397</v>
      </c>
      <c r="E246" s="30" t="s">
        <v>452</v>
      </c>
      <c r="F246" s="32" t="n">
        <v>1</v>
      </c>
      <c r="G246" s="33" t="n">
        <v>46245</v>
      </c>
      <c r="H246" s="33" t="n">
        <v>46245</v>
      </c>
      <c r="I246" s="31" t="s">
        <v>605</v>
      </c>
      <c r="J246" s="30" t="s">
        <v>452</v>
      </c>
      <c r="K246" s="31" t="s">
        <v>385</v>
      </c>
      <c r="L246" s="32" t="n">
        <v>1</v>
      </c>
      <c r="M246" s="36" t="s">
        <v>396</v>
      </c>
      <c r="N246" s="31" t="s">
        <v>397</v>
      </c>
      <c r="O246" s="32" t="n">
        <v>1</v>
      </c>
      <c r="P246" s="15" t="n">
        <f aca="false">IF(A246="","",IF(O246&lt;&gt;"",O246,IF(L246&lt;&gt;"",L246,F246)))</f>
        <v>1</v>
      </c>
    </row>
    <row r="247" customFormat="false" ht="15" hidden="false" customHeight="true" outlineLevel="0" collapsed="false">
      <c r="A247" s="26" t="s">
        <v>36</v>
      </c>
      <c r="B247" s="26" t="s">
        <v>37</v>
      </c>
      <c r="C247" s="14" t="n">
        <f aca="false">IF(A247="","",IFERROR(VLOOKUP(A247,'Recert Status'!$A$8:$C$400,3,FALSE()),""))</f>
        <v>46387</v>
      </c>
      <c r="D247" s="18" t="s">
        <v>745</v>
      </c>
      <c r="E247" s="26" t="s">
        <v>399</v>
      </c>
      <c r="F247" s="27" t="n">
        <v>1</v>
      </c>
      <c r="G247" s="28" t="n">
        <v>46245</v>
      </c>
      <c r="H247" s="28" t="n">
        <v>46245</v>
      </c>
      <c r="I247" s="18" t="s">
        <v>746</v>
      </c>
      <c r="J247" s="26" t="s">
        <v>399</v>
      </c>
      <c r="K247" s="18" t="s">
        <v>401</v>
      </c>
      <c r="L247" s="27" t="n">
        <v>1</v>
      </c>
      <c r="M247" s="37" t="s">
        <v>402</v>
      </c>
      <c r="N247" s="18" t="s">
        <v>403</v>
      </c>
      <c r="O247" s="27" t="n">
        <v>1</v>
      </c>
      <c r="P247" s="15" t="n">
        <f aca="false">IF(A247="","",IF(O247&lt;&gt;"",O247,IF(L247&lt;&gt;"",L247,F247)))</f>
        <v>1</v>
      </c>
    </row>
    <row r="248" customFormat="false" ht="15" hidden="false" customHeight="true" outlineLevel="0" collapsed="false">
      <c r="A248" s="30" t="s">
        <v>36</v>
      </c>
      <c r="B248" s="30" t="s">
        <v>37</v>
      </c>
      <c r="C248" s="21" t="n">
        <f aca="false">IF(A248="","",IFERROR(VLOOKUP(A248,'Recert Status'!$A$8:$C$400,3,FALSE()),""))</f>
        <v>46387</v>
      </c>
      <c r="D248" s="31" t="s">
        <v>717</v>
      </c>
      <c r="E248" s="30" t="s">
        <v>416</v>
      </c>
      <c r="F248" s="32" t="n">
        <v>1</v>
      </c>
      <c r="G248" s="33" t="n">
        <v>45826</v>
      </c>
      <c r="H248" s="33" t="n">
        <v>45826</v>
      </c>
      <c r="I248" s="31" t="s">
        <v>747</v>
      </c>
      <c r="J248" s="30" t="s">
        <v>416</v>
      </c>
      <c r="K248" s="31" t="s">
        <v>418</v>
      </c>
      <c r="L248" s="32" t="n">
        <v>1</v>
      </c>
      <c r="M248" s="39" t="s">
        <v>413</v>
      </c>
      <c r="N248" s="31" t="s">
        <v>414</v>
      </c>
      <c r="O248" s="32" t="n">
        <v>1</v>
      </c>
      <c r="P248" s="15" t="n">
        <f aca="false">IF(A248="","",IF(O248&lt;&gt;"",O248,IF(L248&lt;&gt;"",L248,F248)))</f>
        <v>1</v>
      </c>
    </row>
    <row r="249" customFormat="false" ht="15" hidden="false" customHeight="true" outlineLevel="0" collapsed="false">
      <c r="A249" s="26" t="s">
        <v>36</v>
      </c>
      <c r="B249" s="26" t="s">
        <v>37</v>
      </c>
      <c r="C249" s="14" t="n">
        <f aca="false">IF(A249="","",IFERROR(VLOOKUP(A249,'Recert Status'!$A$8:$C$400,3,FALSE()),""))</f>
        <v>46387</v>
      </c>
      <c r="D249" s="18" t="s">
        <v>486</v>
      </c>
      <c r="E249" s="26" t="s">
        <v>416</v>
      </c>
      <c r="F249" s="27" t="n">
        <v>2</v>
      </c>
      <c r="G249" s="28" t="n">
        <v>45859</v>
      </c>
      <c r="H249" s="28" t="n">
        <v>45859</v>
      </c>
      <c r="I249" s="18" t="s">
        <v>487</v>
      </c>
      <c r="J249" s="26" t="s">
        <v>416</v>
      </c>
      <c r="K249" s="18" t="s">
        <v>418</v>
      </c>
      <c r="L249" s="27" t="n">
        <v>2</v>
      </c>
      <c r="M249" s="39" t="s">
        <v>413</v>
      </c>
      <c r="N249" s="18" t="s">
        <v>414</v>
      </c>
      <c r="O249" s="27" t="n">
        <v>2</v>
      </c>
      <c r="P249" s="15" t="n">
        <f aca="false">IF(A249="","",IF(O249&lt;&gt;"",O249,IF(L249&lt;&gt;"",L249,F249)))</f>
        <v>2</v>
      </c>
    </row>
    <row r="250" customFormat="false" ht="15" hidden="false" customHeight="true" outlineLevel="0" collapsed="false">
      <c r="A250" s="30" t="s">
        <v>36</v>
      </c>
      <c r="B250" s="30" t="s">
        <v>37</v>
      </c>
      <c r="C250" s="21" t="n">
        <f aca="false">IF(A250="","",IFERROR(VLOOKUP(A250,'Recert Status'!$A$8:$C$400,3,FALSE()),""))</f>
        <v>46387</v>
      </c>
      <c r="D250" s="31" t="s">
        <v>717</v>
      </c>
      <c r="E250" s="30" t="s">
        <v>416</v>
      </c>
      <c r="F250" s="32" t="n">
        <v>2</v>
      </c>
      <c r="G250" s="33" t="n">
        <v>45859</v>
      </c>
      <c r="H250" s="33" t="n">
        <v>45859</v>
      </c>
      <c r="I250" s="31" t="s">
        <v>718</v>
      </c>
      <c r="J250" s="30" t="s">
        <v>416</v>
      </c>
      <c r="K250" s="31" t="s">
        <v>418</v>
      </c>
      <c r="L250" s="32" t="n">
        <v>2</v>
      </c>
      <c r="M250" s="39" t="s">
        <v>413</v>
      </c>
      <c r="N250" s="31" t="s">
        <v>414</v>
      </c>
      <c r="O250" s="32" t="n">
        <v>2</v>
      </c>
      <c r="P250" s="15" t="n">
        <f aca="false">IF(A250="","",IF(O250&lt;&gt;"",O250,IF(L250&lt;&gt;"",L250,F250)))</f>
        <v>2</v>
      </c>
    </row>
    <row r="251" customFormat="false" ht="15" hidden="false" customHeight="true" outlineLevel="0" collapsed="false">
      <c r="A251" s="26" t="s">
        <v>36</v>
      </c>
      <c r="B251" s="26" t="s">
        <v>37</v>
      </c>
      <c r="C251" s="14" t="n">
        <f aca="false">IF(A251="","",IFERROR(VLOOKUP(A251,'Recert Status'!$A$8:$C$400,3,FALSE()),""))</f>
        <v>46387</v>
      </c>
      <c r="D251" s="18" t="s">
        <v>705</v>
      </c>
      <c r="E251" s="26" t="s">
        <v>416</v>
      </c>
      <c r="F251" s="27" t="n">
        <v>1</v>
      </c>
      <c r="G251" s="28" t="n">
        <v>45956</v>
      </c>
      <c r="H251" s="28" t="n">
        <v>45956</v>
      </c>
      <c r="I251" s="18" t="s">
        <v>748</v>
      </c>
      <c r="J251" s="26" t="s">
        <v>416</v>
      </c>
      <c r="K251" s="18" t="s">
        <v>418</v>
      </c>
      <c r="L251" s="27" t="n">
        <v>1</v>
      </c>
      <c r="M251" s="39" t="s">
        <v>413</v>
      </c>
      <c r="N251" s="18" t="s">
        <v>414</v>
      </c>
      <c r="O251" s="27" t="n">
        <v>1</v>
      </c>
      <c r="P251" s="15" t="n">
        <f aca="false">IF(A251="","",IF(O251&lt;&gt;"",O251,IF(L251&lt;&gt;"",L251,F251)))</f>
        <v>1</v>
      </c>
    </row>
    <row r="252" customFormat="false" ht="15" hidden="false" customHeight="true" outlineLevel="0" collapsed="false">
      <c r="A252" s="30" t="s">
        <v>36</v>
      </c>
      <c r="B252" s="30" t="s">
        <v>37</v>
      </c>
      <c r="C252" s="21" t="n">
        <f aca="false">IF(A252="","",IFERROR(VLOOKUP(A252,'Recert Status'!$A$8:$C$400,3,FALSE()),""))</f>
        <v>46387</v>
      </c>
      <c r="D252" s="31" t="s">
        <v>415</v>
      </c>
      <c r="E252" s="30" t="s">
        <v>416</v>
      </c>
      <c r="F252" s="32" t="n">
        <v>8</v>
      </c>
      <c r="G252" s="33" t="n">
        <v>45972</v>
      </c>
      <c r="H252" s="33" t="n">
        <v>45972</v>
      </c>
      <c r="I252" s="31" t="s">
        <v>749</v>
      </c>
      <c r="J252" s="30" t="s">
        <v>416</v>
      </c>
      <c r="K252" s="31" t="s">
        <v>456</v>
      </c>
      <c r="L252" s="32" t="n">
        <v>8</v>
      </c>
      <c r="M252" s="39" t="s">
        <v>413</v>
      </c>
      <c r="N252" s="31" t="s">
        <v>414</v>
      </c>
      <c r="O252" s="32" t="n">
        <v>8</v>
      </c>
      <c r="P252" s="15" t="n">
        <f aca="false">IF(A252="","",IF(O252&lt;&gt;"",O252,IF(L252&lt;&gt;"",L252,F252)))</f>
        <v>8</v>
      </c>
    </row>
    <row r="253" customFormat="false" ht="15" hidden="false" customHeight="true" outlineLevel="0" collapsed="false">
      <c r="A253" s="26" t="s">
        <v>36</v>
      </c>
      <c r="B253" s="26" t="s">
        <v>37</v>
      </c>
      <c r="C253" s="14" t="n">
        <f aca="false">IF(A253="","",IFERROR(VLOOKUP(A253,'Recert Status'!$A$8:$C$400,3,FALSE()),""))</f>
        <v>46387</v>
      </c>
      <c r="D253" s="18" t="s">
        <v>750</v>
      </c>
      <c r="E253" s="26" t="s">
        <v>416</v>
      </c>
      <c r="F253" s="27" t="n">
        <v>3</v>
      </c>
      <c r="G253" s="28" t="n">
        <v>46001</v>
      </c>
      <c r="H253" s="28" t="n">
        <v>46001</v>
      </c>
      <c r="I253" s="18" t="s">
        <v>751</v>
      </c>
      <c r="J253" s="26" t="s">
        <v>416</v>
      </c>
      <c r="K253" s="18" t="s">
        <v>456</v>
      </c>
      <c r="L253" s="27" t="n">
        <v>3</v>
      </c>
      <c r="M253" s="39" t="s">
        <v>413</v>
      </c>
      <c r="N253" s="18" t="s">
        <v>414</v>
      </c>
      <c r="O253" s="27" t="n">
        <v>3</v>
      </c>
      <c r="P253" s="15" t="n">
        <f aca="false">IF(A253="","",IF(O253&lt;&gt;"",O253,IF(L253&lt;&gt;"",L253,F253)))</f>
        <v>3</v>
      </c>
    </row>
    <row r="254" customFormat="false" ht="15" hidden="false" customHeight="true" outlineLevel="0" collapsed="false">
      <c r="A254" s="30" t="s">
        <v>36</v>
      </c>
      <c r="B254" s="30" t="s">
        <v>37</v>
      </c>
      <c r="C254" s="21" t="n">
        <f aca="false">IF(A254="","",IFERROR(VLOOKUP(A254,'Recert Status'!$A$8:$C$400,3,FALSE()),""))</f>
        <v>46387</v>
      </c>
      <c r="D254" s="31" t="s">
        <v>488</v>
      </c>
      <c r="E254" s="30" t="s">
        <v>416</v>
      </c>
      <c r="F254" s="32" t="n">
        <v>1</v>
      </c>
      <c r="G254" s="33" t="n">
        <v>46125</v>
      </c>
      <c r="H254" s="33" t="n">
        <v>46125</v>
      </c>
      <c r="I254" s="31" t="s">
        <v>608</v>
      </c>
      <c r="J254" s="30" t="s">
        <v>416</v>
      </c>
      <c r="K254" s="31" t="s">
        <v>490</v>
      </c>
      <c r="L254" s="32" t="n">
        <v>1</v>
      </c>
      <c r="M254" s="39" t="s">
        <v>413</v>
      </c>
      <c r="N254" s="31" t="s">
        <v>414</v>
      </c>
      <c r="O254" s="32" t="n">
        <v>1</v>
      </c>
      <c r="P254" s="15" t="n">
        <f aca="false">IF(A254="","",IF(O254&lt;&gt;"",O254,IF(L254&lt;&gt;"",L254,F254)))</f>
        <v>1</v>
      </c>
    </row>
    <row r="255" customFormat="false" ht="15" hidden="false" customHeight="true" outlineLevel="0" collapsed="false">
      <c r="A255" s="26" t="s">
        <v>36</v>
      </c>
      <c r="B255" s="26" t="s">
        <v>37</v>
      </c>
      <c r="C255" s="14" t="n">
        <f aca="false">IF(A255="","",IFERROR(VLOOKUP(A255,'Recert Status'!$A$8:$C$400,3,FALSE()),""))</f>
        <v>46387</v>
      </c>
      <c r="D255" s="18" t="s">
        <v>414</v>
      </c>
      <c r="E255" s="26" t="s">
        <v>416</v>
      </c>
      <c r="F255" s="27" t="n">
        <v>4</v>
      </c>
      <c r="G255" s="28" t="n">
        <v>46218</v>
      </c>
      <c r="H255" s="28" t="n">
        <v>46218</v>
      </c>
      <c r="I255" s="18" t="s">
        <v>752</v>
      </c>
      <c r="J255" s="26" t="s">
        <v>416</v>
      </c>
      <c r="K255" s="18" t="s">
        <v>418</v>
      </c>
      <c r="L255" s="27" t="n">
        <v>4</v>
      </c>
      <c r="M255" s="39" t="s">
        <v>413</v>
      </c>
      <c r="N255" s="18" t="s">
        <v>414</v>
      </c>
      <c r="O255" s="27" t="n">
        <v>4</v>
      </c>
      <c r="P255" s="15" t="n">
        <f aca="false">IF(A255="","",IF(O255&lt;&gt;"",O255,IF(L255&lt;&gt;"",L255,F255)))</f>
        <v>4</v>
      </c>
    </row>
    <row r="256" customFormat="false" ht="15" hidden="false" customHeight="true" outlineLevel="0" collapsed="false">
      <c r="A256" s="30" t="s">
        <v>38</v>
      </c>
      <c r="B256" s="30"/>
      <c r="C256" s="21" t="n">
        <f aca="false">IF(A256="","",IFERROR(VLOOKUP(A256,'Recert Status'!$A$8:$C$400,3,FALSE()),""))</f>
        <v>0</v>
      </c>
      <c r="D256" s="31" t="s">
        <v>753</v>
      </c>
      <c r="E256" s="30" t="s">
        <v>363</v>
      </c>
      <c r="F256" s="32" t="n">
        <v>0.5</v>
      </c>
      <c r="G256" s="33" t="n">
        <v>45694</v>
      </c>
      <c r="H256" s="33" t="n">
        <v>45694</v>
      </c>
      <c r="I256" s="31" t="s">
        <v>754</v>
      </c>
      <c r="J256" s="30" t="s">
        <v>363</v>
      </c>
      <c r="K256" s="31" t="s">
        <v>370</v>
      </c>
      <c r="L256" s="32" t="n">
        <v>0.5</v>
      </c>
      <c r="M256" s="29" t="s">
        <v>366</v>
      </c>
      <c r="N256" s="31" t="s">
        <v>367</v>
      </c>
      <c r="O256" s="32" t="n">
        <v>0.5</v>
      </c>
      <c r="P256" s="15" t="n">
        <f aca="false">IF(A256="","",IF(O256&lt;&gt;"",O256,IF(L256&lt;&gt;"",L256,F256)))</f>
        <v>0.5</v>
      </c>
    </row>
    <row r="257" customFormat="false" ht="15" hidden="false" customHeight="true" outlineLevel="0" collapsed="false">
      <c r="A257" s="26" t="s">
        <v>38</v>
      </c>
      <c r="B257" s="26"/>
      <c r="C257" s="14" t="n">
        <f aca="false">IF(A257="","",IFERROR(VLOOKUP(A257,'Recert Status'!$A$8:$C$400,3,FALSE()),""))</f>
        <v>0</v>
      </c>
      <c r="D257" s="18" t="s">
        <v>753</v>
      </c>
      <c r="E257" s="26" t="s">
        <v>363</v>
      </c>
      <c r="F257" s="27" t="n">
        <v>0.5</v>
      </c>
      <c r="G257" s="28" t="n">
        <v>45742</v>
      </c>
      <c r="H257" s="28" t="n">
        <v>45742</v>
      </c>
      <c r="I257" s="18" t="s">
        <v>755</v>
      </c>
      <c r="J257" s="26" t="s">
        <v>363</v>
      </c>
      <c r="K257" s="18" t="s">
        <v>370</v>
      </c>
      <c r="L257" s="27" t="n">
        <v>0.5</v>
      </c>
      <c r="M257" s="29" t="s">
        <v>366</v>
      </c>
      <c r="N257" s="18" t="s">
        <v>367</v>
      </c>
      <c r="O257" s="27" t="n">
        <v>0.5</v>
      </c>
      <c r="P257" s="15" t="n">
        <f aca="false">IF(A257="","",IF(O257&lt;&gt;"",O257,IF(L257&lt;&gt;"",L257,F257)))</f>
        <v>0.5</v>
      </c>
    </row>
    <row r="258" customFormat="false" ht="15" hidden="false" customHeight="true" outlineLevel="0" collapsed="false">
      <c r="A258" s="30" t="s">
        <v>38</v>
      </c>
      <c r="B258" s="30"/>
      <c r="C258" s="21" t="n">
        <f aca="false">IF(A258="","",IFERROR(VLOOKUP(A258,'Recert Status'!$A$8:$C$400,3,FALSE()),""))</f>
        <v>0</v>
      </c>
      <c r="D258" s="31" t="s">
        <v>756</v>
      </c>
      <c r="E258" s="30" t="s">
        <v>363</v>
      </c>
      <c r="F258" s="32" t="n">
        <v>1</v>
      </c>
      <c r="G258" s="33" t="n">
        <v>46165</v>
      </c>
      <c r="H258" s="33" t="n">
        <v>46165</v>
      </c>
      <c r="I258" s="31" t="s">
        <v>757</v>
      </c>
      <c r="J258" s="30" t="s">
        <v>363</v>
      </c>
      <c r="K258" s="31" t="s">
        <v>365</v>
      </c>
      <c r="L258" s="32" t="n">
        <v>1</v>
      </c>
      <c r="M258" s="29" t="s">
        <v>366</v>
      </c>
      <c r="N258" s="31" t="s">
        <v>367</v>
      </c>
      <c r="O258" s="32" t="n">
        <v>1</v>
      </c>
      <c r="P258" s="15" t="n">
        <f aca="false">IF(A258="","",IF(O258&lt;&gt;"",O258,IF(L258&lt;&gt;"",L258,F258)))</f>
        <v>1</v>
      </c>
    </row>
    <row r="259" customFormat="false" ht="15" hidden="false" customHeight="true" outlineLevel="0" collapsed="false">
      <c r="A259" s="26" t="s">
        <v>38</v>
      </c>
      <c r="B259" s="26"/>
      <c r="C259" s="14" t="n">
        <f aca="false">IF(A259="","",IFERROR(VLOOKUP(A259,'Recert Status'!$A$8:$C$400,3,FALSE()),""))</f>
        <v>0</v>
      </c>
      <c r="D259" s="18" t="s">
        <v>367</v>
      </c>
      <c r="E259" s="26" t="s">
        <v>363</v>
      </c>
      <c r="F259" s="27" t="n">
        <v>1</v>
      </c>
      <c r="G259" s="28" t="n">
        <v>46228</v>
      </c>
      <c r="H259" s="28" t="n">
        <v>46228</v>
      </c>
      <c r="I259" s="18" t="s">
        <v>758</v>
      </c>
      <c r="J259" s="26" t="s">
        <v>363</v>
      </c>
      <c r="K259" s="18" t="s">
        <v>370</v>
      </c>
      <c r="L259" s="27" t="n">
        <v>1</v>
      </c>
      <c r="M259" s="29" t="s">
        <v>366</v>
      </c>
      <c r="N259" s="18" t="s">
        <v>367</v>
      </c>
      <c r="O259" s="27" t="n">
        <v>1</v>
      </c>
      <c r="P259" s="15" t="n">
        <f aca="false">IF(A259="","",IF(O259&lt;&gt;"",O259,IF(L259&lt;&gt;"",L259,F259)))</f>
        <v>1</v>
      </c>
    </row>
    <row r="260" customFormat="false" ht="15" hidden="false" customHeight="true" outlineLevel="0" collapsed="false">
      <c r="A260" s="30" t="s">
        <v>38</v>
      </c>
      <c r="B260" s="30"/>
      <c r="C260" s="21" t="n">
        <f aca="false">IF(A260="","",IFERROR(VLOOKUP(A260,'Recert Status'!$A$8:$C$400,3,FALSE()),""))</f>
        <v>0</v>
      </c>
      <c r="D260" s="31" t="s">
        <v>584</v>
      </c>
      <c r="E260" s="30" t="s">
        <v>542</v>
      </c>
      <c r="F260" s="32" t="n">
        <v>3</v>
      </c>
      <c r="G260" s="33" t="n">
        <v>45892</v>
      </c>
      <c r="H260" s="33" t="n">
        <v>45892</v>
      </c>
      <c r="I260" s="31" t="s">
        <v>585</v>
      </c>
      <c r="J260" s="30" t="s">
        <v>542</v>
      </c>
      <c r="K260" s="31" t="s">
        <v>586</v>
      </c>
      <c r="L260" s="32" t="n">
        <v>3</v>
      </c>
      <c r="M260" s="40" t="s">
        <v>423</v>
      </c>
      <c r="N260" s="31" t="s">
        <v>424</v>
      </c>
      <c r="O260" s="32" t="n">
        <v>3</v>
      </c>
      <c r="P260" s="15" t="n">
        <f aca="false">IF(A260="","",IF(O260&lt;&gt;"",O260,IF(L260&lt;&gt;"",L260,F260)))</f>
        <v>3</v>
      </c>
    </row>
    <row r="261" customFormat="false" ht="15" hidden="false" customHeight="true" outlineLevel="0" collapsed="false">
      <c r="A261" s="26" t="s">
        <v>38</v>
      </c>
      <c r="B261" s="26"/>
      <c r="C261" s="14" t="n">
        <f aca="false">IF(A261="","",IFERROR(VLOOKUP(A261,'Recert Status'!$A$8:$C$400,3,FALSE()),""))</f>
        <v>0</v>
      </c>
      <c r="D261" s="18" t="s">
        <v>496</v>
      </c>
      <c r="E261" s="26" t="s">
        <v>542</v>
      </c>
      <c r="F261" s="27" t="n">
        <v>4</v>
      </c>
      <c r="G261" s="28" t="n">
        <v>45961</v>
      </c>
      <c r="H261" s="28" t="n">
        <v>45961</v>
      </c>
      <c r="I261" s="18" t="s">
        <v>587</v>
      </c>
      <c r="J261" s="26" t="s">
        <v>542</v>
      </c>
      <c r="K261" s="18" t="s">
        <v>422</v>
      </c>
      <c r="L261" s="27" t="n">
        <v>4</v>
      </c>
      <c r="M261" s="40" t="s">
        <v>423</v>
      </c>
      <c r="N261" s="18" t="s">
        <v>424</v>
      </c>
      <c r="O261" s="27" t="n">
        <v>4</v>
      </c>
      <c r="P261" s="15" t="n">
        <f aca="false">IF(A261="","",IF(O261&lt;&gt;"",O261,IF(L261&lt;&gt;"",L261,F261)))</f>
        <v>4</v>
      </c>
    </row>
    <row r="262" customFormat="false" ht="15" hidden="false" customHeight="true" outlineLevel="0" collapsed="false">
      <c r="A262" s="30" t="s">
        <v>38</v>
      </c>
      <c r="B262" s="30"/>
      <c r="C262" s="21" t="n">
        <f aca="false">IF(A262="","",IFERROR(VLOOKUP(A262,'Recert Status'!$A$8:$C$400,3,FALSE()),""))</f>
        <v>0</v>
      </c>
      <c r="D262" s="31" t="s">
        <v>589</v>
      </c>
      <c r="E262" s="30" t="s">
        <v>542</v>
      </c>
      <c r="F262" s="32" t="n">
        <v>1</v>
      </c>
      <c r="G262" s="33" t="n">
        <v>46081</v>
      </c>
      <c r="H262" s="33" t="n">
        <v>46081</v>
      </c>
      <c r="I262" s="31" t="s">
        <v>590</v>
      </c>
      <c r="J262" s="30" t="s">
        <v>542</v>
      </c>
      <c r="K262" s="31" t="s">
        <v>422</v>
      </c>
      <c r="L262" s="32" t="n">
        <v>1</v>
      </c>
      <c r="M262" s="40" t="s">
        <v>423</v>
      </c>
      <c r="N262" s="31" t="s">
        <v>424</v>
      </c>
      <c r="O262" s="32" t="n">
        <v>1</v>
      </c>
      <c r="P262" s="15" t="n">
        <f aca="false">IF(A262="","",IF(O262&lt;&gt;"",O262,IF(L262&lt;&gt;"",L262,F262)))</f>
        <v>1</v>
      </c>
    </row>
    <row r="263" customFormat="false" ht="15" hidden="false" customHeight="true" outlineLevel="0" collapsed="false">
      <c r="A263" s="26" t="s">
        <v>38</v>
      </c>
      <c r="B263" s="26"/>
      <c r="C263" s="14" t="n">
        <f aca="false">IF(A263="","",IFERROR(VLOOKUP(A263,'Recert Status'!$A$8:$C$400,3,FALSE()),""))</f>
        <v>0</v>
      </c>
      <c r="D263" s="18" t="s">
        <v>759</v>
      </c>
      <c r="E263" s="26" t="s">
        <v>426</v>
      </c>
      <c r="F263" s="27" t="n">
        <v>0.5</v>
      </c>
      <c r="G263" s="28" t="n">
        <v>45694</v>
      </c>
      <c r="H263" s="28" t="n">
        <v>45694</v>
      </c>
      <c r="I263" s="18" t="s">
        <v>760</v>
      </c>
      <c r="J263" s="26" t="s">
        <v>426</v>
      </c>
      <c r="K263" s="18" t="s">
        <v>495</v>
      </c>
      <c r="L263" s="27" t="n">
        <v>0.5</v>
      </c>
      <c r="M263" s="41" t="s">
        <v>429</v>
      </c>
      <c r="N263" s="18" t="s">
        <v>430</v>
      </c>
      <c r="O263" s="27" t="n">
        <v>0.5</v>
      </c>
      <c r="P263" s="15" t="n">
        <f aca="false">IF(A263="","",IF(O263&lt;&gt;"",O263,IF(L263&lt;&gt;"",L263,F263)))</f>
        <v>0.5</v>
      </c>
    </row>
    <row r="264" customFormat="false" ht="15" hidden="false" customHeight="true" outlineLevel="0" collapsed="false">
      <c r="A264" s="30" t="s">
        <v>38</v>
      </c>
      <c r="B264" s="30"/>
      <c r="C264" s="21" t="n">
        <f aca="false">IF(A264="","",IFERROR(VLOOKUP(A264,'Recert Status'!$A$8:$C$400,3,FALSE()),""))</f>
        <v>0</v>
      </c>
      <c r="D264" s="31" t="s">
        <v>759</v>
      </c>
      <c r="E264" s="30" t="s">
        <v>426</v>
      </c>
      <c r="F264" s="32" t="n">
        <v>9</v>
      </c>
      <c r="G264" s="33" t="n">
        <v>45955</v>
      </c>
      <c r="H264" s="33" t="n">
        <v>45955</v>
      </c>
      <c r="I264" s="31" t="s">
        <v>761</v>
      </c>
      <c r="J264" s="30" t="s">
        <v>426</v>
      </c>
      <c r="K264" s="31" t="s">
        <v>526</v>
      </c>
      <c r="L264" s="32" t="n">
        <v>1</v>
      </c>
      <c r="M264" s="41" t="s">
        <v>429</v>
      </c>
      <c r="N264" s="31" t="s">
        <v>430</v>
      </c>
      <c r="O264" s="32" t="n">
        <v>1</v>
      </c>
      <c r="P264" s="15" t="n">
        <f aca="false">IF(A264="","",IF(O264&lt;&gt;"",O264,IF(L264&lt;&gt;"",L264,F264)))</f>
        <v>1</v>
      </c>
    </row>
    <row r="265" customFormat="false" ht="15" hidden="false" customHeight="true" outlineLevel="0" collapsed="false">
      <c r="A265" s="26" t="s">
        <v>38</v>
      </c>
      <c r="B265" s="26"/>
      <c r="C265" s="14" t="n">
        <f aca="false">IF(A265="","",IFERROR(VLOOKUP(A265,'Recert Status'!$A$8:$C$400,3,FALSE()),""))</f>
        <v>0</v>
      </c>
      <c r="D265" s="18" t="s">
        <v>762</v>
      </c>
      <c r="E265" s="26" t="s">
        <v>426</v>
      </c>
      <c r="F265" s="27" t="n">
        <v>1</v>
      </c>
      <c r="G265" s="28" t="n">
        <v>46015</v>
      </c>
      <c r="H265" s="28" t="n">
        <v>46015</v>
      </c>
      <c r="I265" s="18" t="s">
        <v>763</v>
      </c>
      <c r="J265" s="26" t="s">
        <v>426</v>
      </c>
      <c r="K265" s="18" t="s">
        <v>428</v>
      </c>
      <c r="L265" s="27" t="n">
        <v>1</v>
      </c>
      <c r="M265" s="41" t="s">
        <v>429</v>
      </c>
      <c r="N265" s="18" t="s">
        <v>430</v>
      </c>
      <c r="O265" s="27" t="n">
        <v>1</v>
      </c>
      <c r="P265" s="15" t="n">
        <f aca="false">IF(A265="","",IF(O265&lt;&gt;"",O265,IF(L265&lt;&gt;"",L265,F265)))</f>
        <v>1</v>
      </c>
    </row>
    <row r="266" customFormat="false" ht="15" hidden="false" customHeight="true" outlineLevel="0" collapsed="false">
      <c r="A266" s="30" t="s">
        <v>38</v>
      </c>
      <c r="B266" s="30"/>
      <c r="C266" s="21" t="n">
        <f aca="false">IF(A266="","",IFERROR(VLOOKUP(A266,'Recert Status'!$A$8:$C$400,3,FALSE()),""))</f>
        <v>0</v>
      </c>
      <c r="D266" s="31" t="s">
        <v>764</v>
      </c>
      <c r="E266" s="30" t="s">
        <v>372</v>
      </c>
      <c r="F266" s="32" t="n">
        <v>1</v>
      </c>
      <c r="G266" s="33" t="n">
        <v>46069</v>
      </c>
      <c r="H266" s="33" t="n">
        <v>46069</v>
      </c>
      <c r="I266" s="31" t="s">
        <v>765</v>
      </c>
      <c r="J266" s="30" t="s">
        <v>372</v>
      </c>
      <c r="K266" s="31" t="s">
        <v>766</v>
      </c>
      <c r="L266" s="32" t="n">
        <v>1</v>
      </c>
      <c r="M266" s="34" t="s">
        <v>375</v>
      </c>
      <c r="N266" s="31" t="s">
        <v>376</v>
      </c>
      <c r="O266" s="32" t="n">
        <v>1</v>
      </c>
      <c r="P266" s="15" t="n">
        <f aca="false">IF(A266="","",IF(O266&lt;&gt;"",O266,IF(L266&lt;&gt;"",L266,F266)))</f>
        <v>1</v>
      </c>
    </row>
    <row r="267" customFormat="false" ht="15" hidden="false" customHeight="true" outlineLevel="0" collapsed="false">
      <c r="A267" s="26" t="s">
        <v>38</v>
      </c>
      <c r="B267" s="26"/>
      <c r="C267" s="14" t="n">
        <f aca="false">IF(A267="","",IFERROR(VLOOKUP(A267,'Recert Status'!$A$8:$C$400,3,FALSE()),""))</f>
        <v>0</v>
      </c>
      <c r="D267" s="18" t="s">
        <v>437</v>
      </c>
      <c r="E267" s="26" t="n">
        <v>29743</v>
      </c>
      <c r="F267" s="27" t="n">
        <v>1</v>
      </c>
      <c r="G267" s="28" t="n">
        <v>45833</v>
      </c>
      <c r="H267" s="28" t="n">
        <v>45833</v>
      </c>
      <c r="I267" s="18" t="s">
        <v>438</v>
      </c>
      <c r="J267" s="26" t="s">
        <v>439</v>
      </c>
      <c r="K267" s="18" t="s">
        <v>440</v>
      </c>
      <c r="L267" s="27" t="n">
        <v>1</v>
      </c>
      <c r="M267" s="35" t="s">
        <v>386</v>
      </c>
      <c r="N267" s="18" t="s">
        <v>387</v>
      </c>
      <c r="O267" s="27" t="n">
        <v>1</v>
      </c>
      <c r="P267" s="15" t="n">
        <f aca="false">IF(A267="","",IF(O267&lt;&gt;"",O267,IF(L267&lt;&gt;"",L267,F267)))</f>
        <v>1</v>
      </c>
    </row>
    <row r="268" customFormat="false" ht="15" hidden="false" customHeight="true" outlineLevel="0" collapsed="false">
      <c r="A268" s="30" t="s">
        <v>38</v>
      </c>
      <c r="B268" s="30"/>
      <c r="C268" s="21" t="n">
        <f aca="false">IF(A268="","",IFERROR(VLOOKUP(A268,'Recert Status'!$A$8:$C$400,3,FALSE()),""))</f>
        <v>0</v>
      </c>
      <c r="D268" s="31" t="s">
        <v>441</v>
      </c>
      <c r="E268" s="30" t="n">
        <v>29743</v>
      </c>
      <c r="F268" s="32" t="n">
        <v>1</v>
      </c>
      <c r="G268" s="33" t="n">
        <v>45833</v>
      </c>
      <c r="H268" s="33" t="n">
        <v>45833</v>
      </c>
      <c r="I268" s="31" t="s">
        <v>442</v>
      </c>
      <c r="J268" s="30" t="s">
        <v>439</v>
      </c>
      <c r="K268" s="31" t="s">
        <v>443</v>
      </c>
      <c r="L268" s="32" t="n">
        <v>1</v>
      </c>
      <c r="M268" s="35" t="s">
        <v>386</v>
      </c>
      <c r="N268" s="31" t="s">
        <v>387</v>
      </c>
      <c r="O268" s="32" t="n">
        <v>1</v>
      </c>
      <c r="P268" s="15" t="n">
        <f aca="false">IF(A268="","",IF(O268&lt;&gt;"",O268,IF(L268&lt;&gt;"",L268,F268)))</f>
        <v>1</v>
      </c>
    </row>
    <row r="269" customFormat="false" ht="15" hidden="false" customHeight="true" outlineLevel="0" collapsed="false">
      <c r="A269" s="26" t="s">
        <v>38</v>
      </c>
      <c r="B269" s="26"/>
      <c r="C269" s="14" t="n">
        <f aca="false">IF(A269="","",IFERROR(VLOOKUP(A269,'Recert Status'!$A$8:$C$400,3,FALSE()),""))</f>
        <v>0</v>
      </c>
      <c r="D269" s="18" t="s">
        <v>767</v>
      </c>
      <c r="E269" s="26" t="s">
        <v>389</v>
      </c>
      <c r="F269" s="27" t="n">
        <v>4</v>
      </c>
      <c r="G269" s="28" t="n">
        <v>45973</v>
      </c>
      <c r="H269" s="28" t="n">
        <v>45973</v>
      </c>
      <c r="I269" s="18" t="s">
        <v>768</v>
      </c>
      <c r="J269" s="26" t="s">
        <v>389</v>
      </c>
      <c r="K269" s="18" t="s">
        <v>769</v>
      </c>
      <c r="L269" s="27" t="n">
        <v>4</v>
      </c>
      <c r="M269" s="35" t="s">
        <v>386</v>
      </c>
      <c r="N269" s="18" t="s">
        <v>387</v>
      </c>
      <c r="O269" s="27" t="n">
        <v>4</v>
      </c>
      <c r="P269" s="15" t="n">
        <f aca="false">IF(A269="","",IF(O269&lt;&gt;"",O269,IF(L269&lt;&gt;"",L269,F269)))</f>
        <v>4</v>
      </c>
    </row>
    <row r="270" customFormat="false" ht="15" hidden="false" customHeight="true" outlineLevel="0" collapsed="false">
      <c r="A270" s="30" t="s">
        <v>38</v>
      </c>
      <c r="B270" s="30"/>
      <c r="C270" s="21" t="n">
        <f aca="false">IF(A270="","",IFERROR(VLOOKUP(A270,'Recert Status'!$A$8:$C$400,3,FALSE()),""))</f>
        <v>0</v>
      </c>
      <c r="D270" s="31" t="s">
        <v>591</v>
      </c>
      <c r="E270" s="30" t="s">
        <v>389</v>
      </c>
      <c r="F270" s="32" t="n">
        <v>1</v>
      </c>
      <c r="G270" s="33" t="n">
        <v>45994</v>
      </c>
      <c r="H270" s="33" t="n">
        <v>45994</v>
      </c>
      <c r="I270" s="31" t="s">
        <v>770</v>
      </c>
      <c r="J270" s="30" t="s">
        <v>389</v>
      </c>
      <c r="K270" s="31" t="s">
        <v>451</v>
      </c>
      <c r="L270" s="32" t="n">
        <v>1</v>
      </c>
      <c r="M270" s="35" t="s">
        <v>386</v>
      </c>
      <c r="N270" s="31" t="s">
        <v>387</v>
      </c>
      <c r="O270" s="32" t="n">
        <v>1</v>
      </c>
      <c r="P270" s="15" t="n">
        <f aca="false">IF(A270="","",IF(O270&lt;&gt;"",O270,IF(L270&lt;&gt;"",L270,F270)))</f>
        <v>1</v>
      </c>
    </row>
    <row r="271" customFormat="false" ht="15" hidden="false" customHeight="true" outlineLevel="0" collapsed="false">
      <c r="A271" s="26" t="s">
        <v>38</v>
      </c>
      <c r="B271" s="26"/>
      <c r="C271" s="14" t="n">
        <f aca="false">IF(A271="","",IFERROR(VLOOKUP(A271,'Recert Status'!$A$8:$C$400,3,FALSE()),""))</f>
        <v>0</v>
      </c>
      <c r="D271" s="18" t="s">
        <v>771</v>
      </c>
      <c r="E271" s="26" t="s">
        <v>389</v>
      </c>
      <c r="F271" s="27" t="n">
        <v>1</v>
      </c>
      <c r="G271" s="28" t="n">
        <v>46132</v>
      </c>
      <c r="H271" s="28" t="n">
        <v>46132</v>
      </c>
      <c r="I271" s="18" t="s">
        <v>772</v>
      </c>
      <c r="J271" s="26" t="s">
        <v>389</v>
      </c>
      <c r="K271" s="18" t="s">
        <v>735</v>
      </c>
      <c r="L271" s="27" t="n">
        <v>1</v>
      </c>
      <c r="M271" s="35" t="s">
        <v>386</v>
      </c>
      <c r="N271" s="18" t="s">
        <v>387</v>
      </c>
      <c r="O271" s="27" t="n">
        <v>1</v>
      </c>
      <c r="P271" s="15" t="n">
        <f aca="false">IF(A271="","",IF(O271&lt;&gt;"",O271,IF(L271&lt;&gt;"",L271,F271)))</f>
        <v>1</v>
      </c>
    </row>
    <row r="272" customFormat="false" ht="15" hidden="false" customHeight="true" outlineLevel="0" collapsed="false">
      <c r="A272" s="30" t="s">
        <v>38</v>
      </c>
      <c r="B272" s="30"/>
      <c r="C272" s="21" t="n">
        <f aca="false">IF(A272="","",IFERROR(VLOOKUP(A272,'Recert Status'!$A$8:$C$400,3,FALSE()),""))</f>
        <v>0</v>
      </c>
      <c r="D272" s="31" t="s">
        <v>773</v>
      </c>
      <c r="E272" s="30" t="s">
        <v>389</v>
      </c>
      <c r="F272" s="32" t="n">
        <v>1</v>
      </c>
      <c r="G272" s="33" t="n">
        <v>46165</v>
      </c>
      <c r="H272" s="33" t="n">
        <v>46165</v>
      </c>
      <c r="I272" s="31" t="s">
        <v>774</v>
      </c>
      <c r="J272" s="30" t="s">
        <v>389</v>
      </c>
      <c r="K272" s="31" t="s">
        <v>395</v>
      </c>
      <c r="L272" s="32" t="n">
        <v>1</v>
      </c>
      <c r="M272" s="35" t="s">
        <v>386</v>
      </c>
      <c r="N272" s="31" t="s">
        <v>387</v>
      </c>
      <c r="O272" s="32" t="n">
        <v>1</v>
      </c>
      <c r="P272" s="15" t="n">
        <f aca="false">IF(A272="","",IF(O272&lt;&gt;"",O272,IF(L272&lt;&gt;"",L272,F272)))</f>
        <v>1</v>
      </c>
    </row>
    <row r="273" customFormat="false" ht="15" hidden="false" customHeight="true" outlineLevel="0" collapsed="false">
      <c r="A273" s="26" t="s">
        <v>38</v>
      </c>
      <c r="B273" s="26"/>
      <c r="C273" s="14" t="n">
        <f aca="false">IF(A273="","",IFERROR(VLOOKUP(A273,'Recert Status'!$A$8:$C$400,3,FALSE()),""))</f>
        <v>0</v>
      </c>
      <c r="D273" s="18" t="s">
        <v>474</v>
      </c>
      <c r="E273" s="26" t="s">
        <v>389</v>
      </c>
      <c r="F273" s="27" t="n">
        <v>1</v>
      </c>
      <c r="G273" s="28" t="n">
        <v>46204</v>
      </c>
      <c r="H273" s="28" t="n">
        <v>46204</v>
      </c>
      <c r="I273" s="18" t="s">
        <v>475</v>
      </c>
      <c r="J273" s="26" t="s">
        <v>389</v>
      </c>
      <c r="K273" s="18" t="s">
        <v>476</v>
      </c>
      <c r="L273" s="27" t="n">
        <v>1</v>
      </c>
      <c r="M273" s="35" t="s">
        <v>386</v>
      </c>
      <c r="N273" s="18" t="s">
        <v>387</v>
      </c>
      <c r="O273" s="27" t="n">
        <v>1</v>
      </c>
      <c r="P273" s="15" t="n">
        <f aca="false">IF(A273="","",IF(O273&lt;&gt;"",O273,IF(L273&lt;&gt;"",L273,F273)))</f>
        <v>1</v>
      </c>
    </row>
    <row r="274" customFormat="false" ht="15" hidden="false" customHeight="true" outlineLevel="0" collapsed="false">
      <c r="A274" s="30" t="s">
        <v>38</v>
      </c>
      <c r="B274" s="30"/>
      <c r="C274" s="21" t="n">
        <f aca="false">IF(A274="","",IFERROR(VLOOKUP(A274,'Recert Status'!$A$8:$C$400,3,FALSE()),""))</f>
        <v>0</v>
      </c>
      <c r="D274" s="31" t="s">
        <v>775</v>
      </c>
      <c r="E274" s="30" t="s">
        <v>452</v>
      </c>
      <c r="F274" s="32" t="n">
        <v>0.5</v>
      </c>
      <c r="G274" s="33" t="n">
        <v>45694</v>
      </c>
      <c r="H274" s="33" t="n">
        <v>45694</v>
      </c>
      <c r="I274" s="31" t="s">
        <v>776</v>
      </c>
      <c r="J274" s="30" t="s">
        <v>452</v>
      </c>
      <c r="K274" s="31" t="s">
        <v>385</v>
      </c>
      <c r="L274" s="32" t="n">
        <v>0.5</v>
      </c>
      <c r="M274" s="36" t="s">
        <v>396</v>
      </c>
      <c r="N274" s="31" t="s">
        <v>397</v>
      </c>
      <c r="O274" s="32" t="n">
        <v>0.5</v>
      </c>
      <c r="P274" s="15" t="n">
        <f aca="false">IF(A274="","",IF(O274&lt;&gt;"",O274,IF(L274&lt;&gt;"",L274,F274)))</f>
        <v>0.5</v>
      </c>
    </row>
    <row r="275" customFormat="false" ht="15" hidden="false" customHeight="true" outlineLevel="0" collapsed="false">
      <c r="A275" s="26" t="s">
        <v>38</v>
      </c>
      <c r="B275" s="26"/>
      <c r="C275" s="14" t="n">
        <f aca="false">IF(A275="","",IFERROR(VLOOKUP(A275,'Recert Status'!$A$8:$C$400,3,FALSE()),""))</f>
        <v>0</v>
      </c>
      <c r="D275" s="18" t="s">
        <v>662</v>
      </c>
      <c r="E275" s="26" t="n">
        <v>35513</v>
      </c>
      <c r="F275" s="27" t="n">
        <v>3</v>
      </c>
      <c r="G275" s="28" t="n">
        <v>45973</v>
      </c>
      <c r="H275" s="28" t="n">
        <v>45973</v>
      </c>
      <c r="I275" s="18" t="s">
        <v>777</v>
      </c>
      <c r="J275" s="26" t="s">
        <v>384</v>
      </c>
      <c r="K275" s="18" t="s">
        <v>385</v>
      </c>
      <c r="L275" s="27" t="n">
        <v>3</v>
      </c>
      <c r="M275" s="36" t="s">
        <v>396</v>
      </c>
      <c r="N275" s="18" t="s">
        <v>397</v>
      </c>
      <c r="O275" s="27" t="n">
        <v>3</v>
      </c>
      <c r="P275" s="15" t="n">
        <f aca="false">IF(A275="","",IF(O275&lt;&gt;"",O275,IF(L275&lt;&gt;"",L275,F275)))</f>
        <v>3</v>
      </c>
    </row>
    <row r="276" customFormat="false" ht="15" hidden="false" customHeight="true" outlineLevel="0" collapsed="false">
      <c r="A276" s="30" t="s">
        <v>38</v>
      </c>
      <c r="B276" s="30"/>
      <c r="C276" s="21" t="n">
        <f aca="false">IF(A276="","",IFERROR(VLOOKUP(A276,'Recert Status'!$A$8:$C$400,3,FALSE()),""))</f>
        <v>0</v>
      </c>
      <c r="D276" s="31" t="s">
        <v>778</v>
      </c>
      <c r="E276" s="30" t="s">
        <v>452</v>
      </c>
      <c r="F276" s="32" t="n">
        <v>1</v>
      </c>
      <c r="G276" s="33" t="n">
        <v>46141</v>
      </c>
      <c r="H276" s="33" t="n">
        <v>46141</v>
      </c>
      <c r="I276" s="31" t="s">
        <v>779</v>
      </c>
      <c r="J276" s="30" t="s">
        <v>452</v>
      </c>
      <c r="K276" s="31" t="s">
        <v>385</v>
      </c>
      <c r="L276" s="32" t="n">
        <v>1</v>
      </c>
      <c r="M276" s="36" t="s">
        <v>396</v>
      </c>
      <c r="N276" s="31" t="s">
        <v>397</v>
      </c>
      <c r="O276" s="32" t="n">
        <v>1</v>
      </c>
      <c r="P276" s="15" t="n">
        <f aca="false">IF(A276="","",IF(O276&lt;&gt;"",O276,IF(L276&lt;&gt;"",L276,F276)))</f>
        <v>1</v>
      </c>
    </row>
    <row r="277" customFormat="false" ht="15" hidden="false" customHeight="true" outlineLevel="0" collapsed="false">
      <c r="A277" s="26" t="s">
        <v>38</v>
      </c>
      <c r="B277" s="26"/>
      <c r="C277" s="14" t="n">
        <f aca="false">IF(A277="","",IFERROR(VLOOKUP(A277,'Recert Status'!$A$8:$C$400,3,FALSE()),""))</f>
        <v>0</v>
      </c>
      <c r="D277" s="18" t="s">
        <v>457</v>
      </c>
      <c r="E277" s="26" t="s">
        <v>416</v>
      </c>
      <c r="F277" s="27" t="n">
        <v>2</v>
      </c>
      <c r="G277" s="28" t="n">
        <v>45859</v>
      </c>
      <c r="H277" s="28" t="n">
        <v>45859</v>
      </c>
      <c r="I277" s="18" t="s">
        <v>780</v>
      </c>
      <c r="J277" s="26" t="s">
        <v>416</v>
      </c>
      <c r="K277" s="18" t="s">
        <v>781</v>
      </c>
      <c r="L277" s="27" t="n">
        <v>2</v>
      </c>
      <c r="M277" s="39" t="s">
        <v>413</v>
      </c>
      <c r="N277" s="18" t="s">
        <v>414</v>
      </c>
      <c r="O277" s="27" t="n">
        <v>2</v>
      </c>
      <c r="P277" s="15" t="n">
        <f aca="false">IF(A277="","",IF(O277&lt;&gt;"",O277,IF(L277&lt;&gt;"",L277,F277)))</f>
        <v>2</v>
      </c>
    </row>
    <row r="278" customFormat="false" ht="15" hidden="false" customHeight="true" outlineLevel="0" collapsed="false">
      <c r="A278" s="30" t="s">
        <v>38</v>
      </c>
      <c r="B278" s="30"/>
      <c r="C278" s="21" t="n">
        <f aca="false">IF(A278="","",IFERROR(VLOOKUP(A278,'Recert Status'!$A$8:$C$400,3,FALSE()),""))</f>
        <v>0</v>
      </c>
      <c r="D278" s="31" t="s">
        <v>782</v>
      </c>
      <c r="E278" s="30" t="s">
        <v>416</v>
      </c>
      <c r="F278" s="32" t="n">
        <v>0.5</v>
      </c>
      <c r="G278" s="33" t="n">
        <v>45937</v>
      </c>
      <c r="H278" s="33" t="n">
        <v>45937</v>
      </c>
      <c r="I278" s="31" t="s">
        <v>783</v>
      </c>
      <c r="J278" s="30" t="s">
        <v>416</v>
      </c>
      <c r="K278" s="31" t="s">
        <v>784</v>
      </c>
      <c r="L278" s="32" t="n">
        <v>0.5</v>
      </c>
      <c r="M278" s="39" t="s">
        <v>413</v>
      </c>
      <c r="N278" s="31" t="s">
        <v>414</v>
      </c>
      <c r="O278" s="32" t="n">
        <v>0.5</v>
      </c>
      <c r="P278" s="15" t="n">
        <f aca="false">IF(A278="","",IF(O278&lt;&gt;"",O278,IF(L278&lt;&gt;"",L278,F278)))</f>
        <v>0.5</v>
      </c>
    </row>
    <row r="279" customFormat="false" ht="15" hidden="false" customHeight="true" outlineLevel="0" collapsed="false">
      <c r="A279" s="26" t="s">
        <v>39</v>
      </c>
      <c r="B279" s="26" t="s">
        <v>40</v>
      </c>
      <c r="C279" s="14" t="n">
        <f aca="false">IF(A279="","",IFERROR(VLOOKUP(A279,'Recert Status'!$A$8:$C$400,3,FALSE()),""))</f>
        <v>46387</v>
      </c>
      <c r="D279" s="18" t="s">
        <v>785</v>
      </c>
      <c r="E279" s="26" t="s">
        <v>363</v>
      </c>
      <c r="F279" s="27" t="n">
        <v>4</v>
      </c>
      <c r="G279" s="28" t="n">
        <v>46076</v>
      </c>
      <c r="H279" s="28" t="n">
        <v>46076</v>
      </c>
      <c r="I279" s="18" t="s">
        <v>786</v>
      </c>
      <c r="J279" s="26" t="s">
        <v>363</v>
      </c>
      <c r="K279" s="18" t="s">
        <v>630</v>
      </c>
      <c r="L279" s="27" t="n">
        <v>4</v>
      </c>
      <c r="M279" s="29" t="s">
        <v>366</v>
      </c>
      <c r="N279" s="18" t="s">
        <v>367</v>
      </c>
      <c r="O279" s="27" t="n">
        <v>4</v>
      </c>
      <c r="P279" s="15" t="n">
        <f aca="false">IF(A279="","",IF(O279&lt;&gt;"",O279,IF(L279&lt;&gt;"",L279,F279)))</f>
        <v>4</v>
      </c>
    </row>
    <row r="280" customFormat="false" ht="15" hidden="false" customHeight="true" outlineLevel="0" collapsed="false">
      <c r="A280" s="30" t="s">
        <v>39</v>
      </c>
      <c r="B280" s="30" t="s">
        <v>40</v>
      </c>
      <c r="C280" s="21" t="n">
        <f aca="false">IF(A280="","",IFERROR(VLOOKUP(A280,'Recert Status'!$A$8:$C$400,3,FALSE()),""))</f>
        <v>46387</v>
      </c>
      <c r="D280" s="31" t="s">
        <v>787</v>
      </c>
      <c r="E280" s="30" t="n">
        <v>29784</v>
      </c>
      <c r="F280" s="32" t="n">
        <v>1</v>
      </c>
      <c r="G280" s="33" t="n">
        <v>45738</v>
      </c>
      <c r="H280" s="33" t="n">
        <v>45738</v>
      </c>
      <c r="I280" s="31" t="s">
        <v>788</v>
      </c>
      <c r="J280" s="30" t="s">
        <v>435</v>
      </c>
      <c r="K280" s="31" t="s">
        <v>468</v>
      </c>
      <c r="L280" s="32" t="n">
        <v>1</v>
      </c>
      <c r="M280" s="35" t="s">
        <v>386</v>
      </c>
      <c r="N280" s="31" t="s">
        <v>387</v>
      </c>
      <c r="O280" s="32" t="n">
        <v>1</v>
      </c>
      <c r="P280" s="15" t="n">
        <f aca="false">IF(A280="","",IF(O280&lt;&gt;"",O280,IF(L280&lt;&gt;"",L280,F280)))</f>
        <v>1</v>
      </c>
    </row>
    <row r="281" customFormat="false" ht="15" hidden="false" customHeight="true" outlineLevel="0" collapsed="false">
      <c r="A281" s="26" t="s">
        <v>39</v>
      </c>
      <c r="B281" s="26" t="s">
        <v>40</v>
      </c>
      <c r="C281" s="14" t="n">
        <f aca="false">IF(A281="","",IFERROR(VLOOKUP(A281,'Recert Status'!$A$8:$C$400,3,FALSE()),""))</f>
        <v>46387</v>
      </c>
      <c r="D281" s="18" t="s">
        <v>437</v>
      </c>
      <c r="E281" s="26" t="n">
        <v>29743</v>
      </c>
      <c r="F281" s="27" t="n">
        <v>1</v>
      </c>
      <c r="G281" s="28" t="n">
        <v>45833</v>
      </c>
      <c r="H281" s="28" t="n">
        <v>45833</v>
      </c>
      <c r="I281" s="18" t="s">
        <v>438</v>
      </c>
      <c r="J281" s="26" t="s">
        <v>439</v>
      </c>
      <c r="K281" s="18" t="s">
        <v>440</v>
      </c>
      <c r="L281" s="27" t="n">
        <v>1</v>
      </c>
      <c r="M281" s="35" t="s">
        <v>386</v>
      </c>
      <c r="N281" s="18" t="s">
        <v>387</v>
      </c>
      <c r="O281" s="27" t="n">
        <v>1</v>
      </c>
      <c r="P281" s="15" t="n">
        <f aca="false">IF(A281="","",IF(O281&lt;&gt;"",O281,IF(L281&lt;&gt;"",L281,F281)))</f>
        <v>1</v>
      </c>
    </row>
    <row r="282" customFormat="false" ht="15" hidden="false" customHeight="true" outlineLevel="0" collapsed="false">
      <c r="A282" s="30" t="s">
        <v>39</v>
      </c>
      <c r="B282" s="30" t="s">
        <v>40</v>
      </c>
      <c r="C282" s="21" t="n">
        <f aca="false">IF(A282="","",IFERROR(VLOOKUP(A282,'Recert Status'!$A$8:$C$400,3,FALSE()),""))</f>
        <v>46387</v>
      </c>
      <c r="D282" s="31" t="s">
        <v>441</v>
      </c>
      <c r="E282" s="30" t="n">
        <v>29743</v>
      </c>
      <c r="F282" s="32" t="n">
        <v>1</v>
      </c>
      <c r="G282" s="33" t="n">
        <v>45833</v>
      </c>
      <c r="H282" s="33" t="n">
        <v>45833</v>
      </c>
      <c r="I282" s="31" t="s">
        <v>442</v>
      </c>
      <c r="J282" s="30" t="s">
        <v>439</v>
      </c>
      <c r="K282" s="31" t="s">
        <v>443</v>
      </c>
      <c r="L282" s="32" t="n">
        <v>1</v>
      </c>
      <c r="M282" s="35" t="s">
        <v>386</v>
      </c>
      <c r="N282" s="31" t="s">
        <v>387</v>
      </c>
      <c r="O282" s="32" t="n">
        <v>1</v>
      </c>
      <c r="P282" s="15" t="n">
        <f aca="false">IF(A282="","",IF(O282&lt;&gt;"",O282,IF(L282&lt;&gt;"",L282,F282)))</f>
        <v>1</v>
      </c>
    </row>
    <row r="283" customFormat="false" ht="15" hidden="false" customHeight="true" outlineLevel="0" collapsed="false">
      <c r="A283" s="26" t="s">
        <v>39</v>
      </c>
      <c r="B283" s="26" t="s">
        <v>40</v>
      </c>
      <c r="C283" s="14" t="n">
        <f aca="false">IF(A283="","",IFERROR(VLOOKUP(A283,'Recert Status'!$A$8:$C$400,3,FALSE()),""))</f>
        <v>46387</v>
      </c>
      <c r="D283" s="18" t="s">
        <v>615</v>
      </c>
      <c r="E283" s="26" t="n">
        <v>29740</v>
      </c>
      <c r="F283" s="27" t="n">
        <v>2</v>
      </c>
      <c r="G283" s="28" t="n">
        <v>45884</v>
      </c>
      <c r="H283" s="28" t="n">
        <v>45884</v>
      </c>
      <c r="I283" s="18" t="s">
        <v>616</v>
      </c>
      <c r="J283" s="26" t="s">
        <v>394</v>
      </c>
      <c r="K283" s="18" t="s">
        <v>385</v>
      </c>
      <c r="L283" s="27" t="n">
        <v>2</v>
      </c>
      <c r="M283" s="35" t="s">
        <v>386</v>
      </c>
      <c r="N283" s="18" t="s">
        <v>397</v>
      </c>
      <c r="O283" s="27" t="n">
        <v>2</v>
      </c>
      <c r="P283" s="15" t="n">
        <f aca="false">IF(A283="","",IF(O283&lt;&gt;"",O283,IF(L283&lt;&gt;"",L283,F283)))</f>
        <v>2</v>
      </c>
    </row>
    <row r="284" customFormat="false" ht="15" hidden="false" customHeight="true" outlineLevel="0" collapsed="false">
      <c r="A284" s="30" t="s">
        <v>39</v>
      </c>
      <c r="B284" s="30" t="s">
        <v>40</v>
      </c>
      <c r="C284" s="21" t="n">
        <f aca="false">IF(A284="","",IFERROR(VLOOKUP(A284,'Recert Status'!$A$8:$C$400,3,FALSE()),""))</f>
        <v>46387</v>
      </c>
      <c r="D284" s="31" t="s">
        <v>789</v>
      </c>
      <c r="E284" s="30" t="n">
        <v>29743</v>
      </c>
      <c r="F284" s="32" t="n">
        <v>1</v>
      </c>
      <c r="G284" s="33" t="n">
        <v>45911</v>
      </c>
      <c r="H284" s="33" t="n">
        <v>45911</v>
      </c>
      <c r="I284" s="31" t="s">
        <v>790</v>
      </c>
      <c r="J284" s="30" t="s">
        <v>439</v>
      </c>
      <c r="K284" s="31" t="s">
        <v>791</v>
      </c>
      <c r="L284" s="32" t="n">
        <v>1</v>
      </c>
      <c r="M284" s="35" t="s">
        <v>386</v>
      </c>
      <c r="N284" s="31" t="s">
        <v>387</v>
      </c>
      <c r="O284" s="32" t="n">
        <v>1</v>
      </c>
      <c r="P284" s="15" t="n">
        <f aca="false">IF(A284="","",IF(O284&lt;&gt;"",O284,IF(L284&lt;&gt;"",L284,F284)))</f>
        <v>1</v>
      </c>
    </row>
    <row r="285" customFormat="false" ht="15" hidden="false" customHeight="true" outlineLevel="0" collapsed="false">
      <c r="A285" s="26" t="s">
        <v>39</v>
      </c>
      <c r="B285" s="26" t="s">
        <v>40</v>
      </c>
      <c r="C285" s="14" t="n">
        <f aca="false">IF(A285="","",IFERROR(VLOOKUP(A285,'Recert Status'!$A$8:$C$400,3,FALSE()),""))</f>
        <v>46387</v>
      </c>
      <c r="D285" s="18" t="s">
        <v>792</v>
      </c>
      <c r="E285" s="26" t="n">
        <v>29743</v>
      </c>
      <c r="F285" s="27" t="n">
        <v>1</v>
      </c>
      <c r="G285" s="28" t="n">
        <v>45911</v>
      </c>
      <c r="H285" s="28" t="n">
        <v>45911</v>
      </c>
      <c r="I285" s="18" t="s">
        <v>790</v>
      </c>
      <c r="J285" s="26" t="s">
        <v>439</v>
      </c>
      <c r="K285" s="18" t="s">
        <v>791</v>
      </c>
      <c r="L285" s="27" t="n">
        <v>1</v>
      </c>
      <c r="M285" s="35" t="s">
        <v>386</v>
      </c>
      <c r="N285" s="18" t="s">
        <v>387</v>
      </c>
      <c r="O285" s="27" t="n">
        <v>1</v>
      </c>
      <c r="P285" s="15" t="n">
        <f aca="false">IF(A285="","",IF(O285&lt;&gt;"",O285,IF(L285&lt;&gt;"",L285,F285)))</f>
        <v>1</v>
      </c>
    </row>
    <row r="286" customFormat="false" ht="15" hidden="false" customHeight="true" outlineLevel="0" collapsed="false">
      <c r="A286" s="30" t="s">
        <v>39</v>
      </c>
      <c r="B286" s="30" t="s">
        <v>40</v>
      </c>
      <c r="C286" s="21" t="n">
        <f aca="false">IF(A286="","",IFERROR(VLOOKUP(A286,'Recert Status'!$A$8:$C$400,3,FALSE()),""))</f>
        <v>46387</v>
      </c>
      <c r="D286" s="31" t="s">
        <v>682</v>
      </c>
      <c r="E286" s="30" t="n">
        <v>29675</v>
      </c>
      <c r="F286" s="32" t="n">
        <v>1</v>
      </c>
      <c r="G286" s="33" t="n">
        <v>45986</v>
      </c>
      <c r="H286" s="33" t="n">
        <v>45986</v>
      </c>
      <c r="I286" s="31" t="s">
        <v>793</v>
      </c>
      <c r="J286" s="30" t="s">
        <v>406</v>
      </c>
      <c r="K286" s="31" t="s">
        <v>446</v>
      </c>
      <c r="L286" s="32" t="n">
        <v>1</v>
      </c>
      <c r="M286" s="35" t="s">
        <v>386</v>
      </c>
      <c r="N286" s="31" t="s">
        <v>387</v>
      </c>
      <c r="O286" s="32" t="n">
        <v>1</v>
      </c>
      <c r="P286" s="15" t="n">
        <f aca="false">IF(A286="","",IF(O286&lt;&gt;"",O286,IF(L286&lt;&gt;"",L286,F286)))</f>
        <v>1</v>
      </c>
    </row>
    <row r="287" customFormat="false" ht="15" hidden="false" customHeight="true" outlineLevel="0" collapsed="false">
      <c r="A287" s="26" t="s">
        <v>39</v>
      </c>
      <c r="B287" s="26" t="s">
        <v>40</v>
      </c>
      <c r="C287" s="14" t="n">
        <f aca="false">IF(A287="","",IFERROR(VLOOKUP(A287,'Recert Status'!$A$8:$C$400,3,FALSE()),""))</f>
        <v>46387</v>
      </c>
      <c r="D287" s="18" t="s">
        <v>794</v>
      </c>
      <c r="E287" s="26" t="s">
        <v>389</v>
      </c>
      <c r="F287" s="27" t="n">
        <v>2</v>
      </c>
      <c r="G287" s="28" t="n">
        <v>46079</v>
      </c>
      <c r="H287" s="28" t="n">
        <v>46079</v>
      </c>
      <c r="I287" s="18" t="s">
        <v>795</v>
      </c>
      <c r="J287" s="26" t="s">
        <v>389</v>
      </c>
      <c r="K287" s="18" t="s">
        <v>446</v>
      </c>
      <c r="L287" s="27" t="n">
        <v>2</v>
      </c>
      <c r="M287" s="35" t="s">
        <v>386</v>
      </c>
      <c r="N287" s="18" t="s">
        <v>387</v>
      </c>
      <c r="O287" s="27" t="n">
        <v>2</v>
      </c>
      <c r="P287" s="15" t="n">
        <f aca="false">IF(A287="","",IF(O287&lt;&gt;"",O287,IF(L287&lt;&gt;"",L287,F287)))</f>
        <v>2</v>
      </c>
    </row>
    <row r="288" customFormat="false" ht="15" hidden="false" customHeight="true" outlineLevel="0" collapsed="false">
      <c r="A288" s="30" t="s">
        <v>39</v>
      </c>
      <c r="B288" s="30" t="s">
        <v>40</v>
      </c>
      <c r="C288" s="21" t="n">
        <f aca="false">IF(A288="","",IFERROR(VLOOKUP(A288,'Recert Status'!$A$8:$C$400,3,FALSE()),""))</f>
        <v>46387</v>
      </c>
      <c r="D288" s="31" t="s">
        <v>796</v>
      </c>
      <c r="E288" s="30" t="n">
        <v>57394</v>
      </c>
      <c r="F288" s="32" t="n">
        <v>1</v>
      </c>
      <c r="G288" s="33" t="n">
        <v>45959</v>
      </c>
      <c r="H288" s="33" t="n">
        <v>45959</v>
      </c>
      <c r="I288" s="31" t="s">
        <v>797</v>
      </c>
      <c r="J288" s="30" t="s">
        <v>503</v>
      </c>
      <c r="K288" s="31" t="s">
        <v>401</v>
      </c>
      <c r="L288" s="32" t="n">
        <v>1</v>
      </c>
      <c r="M288" s="37" t="s">
        <v>402</v>
      </c>
      <c r="N288" s="31" t="s">
        <v>403</v>
      </c>
      <c r="O288" s="32" t="n">
        <v>1</v>
      </c>
      <c r="P288" s="15" t="n">
        <f aca="false">IF(A288="","",IF(O288&lt;&gt;"",O288,IF(L288&lt;&gt;"",L288,F288)))</f>
        <v>1</v>
      </c>
    </row>
    <row r="289" customFormat="false" ht="15" hidden="false" customHeight="true" outlineLevel="0" collapsed="false">
      <c r="A289" s="26" t="s">
        <v>39</v>
      </c>
      <c r="B289" s="26" t="s">
        <v>40</v>
      </c>
      <c r="C289" s="14" t="n">
        <f aca="false">IF(A289="","",IFERROR(VLOOKUP(A289,'Recert Status'!$A$8:$C$400,3,FALSE()),""))</f>
        <v>46387</v>
      </c>
      <c r="D289" s="18" t="s">
        <v>798</v>
      </c>
      <c r="E289" s="26" t="s">
        <v>416</v>
      </c>
      <c r="F289" s="27" t="n">
        <v>1</v>
      </c>
      <c r="G289" s="28" t="n">
        <v>45710</v>
      </c>
      <c r="H289" s="28" t="n">
        <v>45710</v>
      </c>
      <c r="I289" s="18" t="s">
        <v>799</v>
      </c>
      <c r="J289" s="26" t="s">
        <v>416</v>
      </c>
      <c r="K289" s="18" t="s">
        <v>490</v>
      </c>
      <c r="L289" s="27" t="n">
        <v>1</v>
      </c>
      <c r="M289" s="39" t="s">
        <v>413</v>
      </c>
      <c r="N289" s="18" t="s">
        <v>414</v>
      </c>
      <c r="O289" s="27" t="n">
        <v>1</v>
      </c>
      <c r="P289" s="15" t="n">
        <f aca="false">IF(A289="","",IF(O289&lt;&gt;"",O289,IF(L289&lt;&gt;"",L289,F289)))</f>
        <v>1</v>
      </c>
    </row>
    <row r="290" customFormat="false" ht="15" hidden="false" customHeight="true" outlineLevel="0" collapsed="false">
      <c r="A290" s="30" t="s">
        <v>39</v>
      </c>
      <c r="B290" s="30" t="s">
        <v>40</v>
      </c>
      <c r="C290" s="21" t="n">
        <f aca="false">IF(A290="","",IFERROR(VLOOKUP(A290,'Recert Status'!$A$8:$C$400,3,FALSE()),""))</f>
        <v>46387</v>
      </c>
      <c r="D290" s="31" t="s">
        <v>457</v>
      </c>
      <c r="E290" s="30" t="s">
        <v>416</v>
      </c>
      <c r="F290" s="32" t="n">
        <v>2</v>
      </c>
      <c r="G290" s="33" t="n">
        <v>45860</v>
      </c>
      <c r="H290" s="33" t="n">
        <v>45860</v>
      </c>
      <c r="I290" s="31" t="s">
        <v>533</v>
      </c>
      <c r="J290" s="30" t="s">
        <v>416</v>
      </c>
      <c r="K290" s="31" t="s">
        <v>523</v>
      </c>
      <c r="L290" s="32" t="n">
        <v>2</v>
      </c>
      <c r="M290" s="39" t="s">
        <v>413</v>
      </c>
      <c r="N290" s="31" t="s">
        <v>414</v>
      </c>
      <c r="O290" s="32" t="n">
        <v>2</v>
      </c>
      <c r="P290" s="15" t="n">
        <f aca="false">IF(A290="","",IF(O290&lt;&gt;"",O290,IF(L290&lt;&gt;"",L290,F290)))</f>
        <v>2</v>
      </c>
    </row>
    <row r="291" customFormat="false" ht="15" hidden="false" customHeight="true" outlineLevel="0" collapsed="false">
      <c r="A291" s="26" t="s">
        <v>39</v>
      </c>
      <c r="B291" s="26" t="s">
        <v>40</v>
      </c>
      <c r="C291" s="14" t="n">
        <f aca="false">IF(A291="","",IFERROR(VLOOKUP(A291,'Recert Status'!$A$8:$C$400,3,FALSE()),""))</f>
        <v>46387</v>
      </c>
      <c r="D291" s="18" t="s">
        <v>488</v>
      </c>
      <c r="E291" s="26" t="s">
        <v>416</v>
      </c>
      <c r="F291" s="27" t="n">
        <v>1</v>
      </c>
      <c r="G291" s="28" t="n">
        <v>46127</v>
      </c>
      <c r="H291" s="28" t="n">
        <v>46127</v>
      </c>
      <c r="I291" s="18" t="s">
        <v>534</v>
      </c>
      <c r="J291" s="26" t="s">
        <v>416</v>
      </c>
      <c r="K291" s="18" t="s">
        <v>490</v>
      </c>
      <c r="L291" s="27" t="n">
        <v>1</v>
      </c>
      <c r="M291" s="39" t="s">
        <v>413</v>
      </c>
      <c r="N291" s="18" t="s">
        <v>414</v>
      </c>
      <c r="O291" s="27" t="n">
        <v>1</v>
      </c>
      <c r="P291" s="15" t="n">
        <f aca="false">IF(A291="","",IF(O291&lt;&gt;"",O291,IF(L291&lt;&gt;"",L291,F291)))</f>
        <v>1</v>
      </c>
    </row>
    <row r="292" customFormat="false" ht="15" hidden="false" customHeight="true" outlineLevel="0" collapsed="false">
      <c r="A292" s="30" t="s">
        <v>39</v>
      </c>
      <c r="B292" s="30" t="s">
        <v>40</v>
      </c>
      <c r="C292" s="21" t="n">
        <f aca="false">IF(A292="","",IFERROR(VLOOKUP(A292,'Recert Status'!$A$8:$C$400,3,FALSE()),""))</f>
        <v>46387</v>
      </c>
      <c r="D292" s="31" t="s">
        <v>414</v>
      </c>
      <c r="E292" s="30" t="s">
        <v>416</v>
      </c>
      <c r="F292" s="32" t="n">
        <v>2</v>
      </c>
      <c r="G292" s="33" t="n">
        <v>46217</v>
      </c>
      <c r="H292" s="33" t="n">
        <v>46217</v>
      </c>
      <c r="I292" s="31" t="s">
        <v>460</v>
      </c>
      <c r="J292" s="30" t="s">
        <v>416</v>
      </c>
      <c r="K292" s="31" t="s">
        <v>418</v>
      </c>
      <c r="L292" s="32" t="n">
        <v>2</v>
      </c>
      <c r="M292" s="39" t="s">
        <v>413</v>
      </c>
      <c r="N292" s="31" t="s">
        <v>414</v>
      </c>
      <c r="O292" s="32" t="n">
        <v>2</v>
      </c>
      <c r="P292" s="15" t="n">
        <f aca="false">IF(A292="","",IF(O292&lt;&gt;"",O292,IF(L292&lt;&gt;"",L292,F292)))</f>
        <v>2</v>
      </c>
    </row>
    <row r="293" customFormat="false" ht="15" hidden="false" customHeight="true" outlineLevel="0" collapsed="false">
      <c r="A293" s="26" t="s">
        <v>41</v>
      </c>
      <c r="B293" s="26" t="s">
        <v>42</v>
      </c>
      <c r="C293" s="14" t="n">
        <f aca="false">IF(A293="","",IFERROR(VLOOKUP(A293,'Recert Status'!$A$8:$C$400,3,FALSE()),""))</f>
        <v>46387</v>
      </c>
      <c r="D293" s="18" t="s">
        <v>569</v>
      </c>
      <c r="E293" s="26" t="s">
        <v>542</v>
      </c>
      <c r="F293" s="27" t="n">
        <v>0.5</v>
      </c>
      <c r="G293" s="28" t="n">
        <v>45673</v>
      </c>
      <c r="H293" s="28" t="n">
        <v>45673</v>
      </c>
      <c r="I293" s="18" t="s">
        <v>612</v>
      </c>
      <c r="J293" s="26" t="s">
        <v>542</v>
      </c>
      <c r="K293" s="18" t="s">
        <v>407</v>
      </c>
      <c r="L293" s="27" t="n">
        <v>0.5</v>
      </c>
      <c r="M293" s="40" t="s">
        <v>423</v>
      </c>
      <c r="N293" s="18" t="s">
        <v>424</v>
      </c>
      <c r="O293" s="27" t="n">
        <v>0.5</v>
      </c>
      <c r="P293" s="15" t="n">
        <f aca="false">IF(A293="","",IF(O293&lt;&gt;"",O293,IF(L293&lt;&gt;"",L293,F293)))</f>
        <v>0.5</v>
      </c>
    </row>
    <row r="294" customFormat="false" ht="15" hidden="false" customHeight="true" outlineLevel="0" collapsed="false">
      <c r="A294" s="30" t="s">
        <v>41</v>
      </c>
      <c r="B294" s="30" t="s">
        <v>42</v>
      </c>
      <c r="C294" s="21" t="n">
        <f aca="false">IF(A294="","",IFERROR(VLOOKUP(A294,'Recert Status'!$A$8:$C$400,3,FALSE()),""))</f>
        <v>46387</v>
      </c>
      <c r="D294" s="31" t="s">
        <v>800</v>
      </c>
      <c r="E294" s="30" t="s">
        <v>389</v>
      </c>
      <c r="F294" s="32" t="n">
        <v>0.5</v>
      </c>
      <c r="G294" s="33" t="n">
        <v>45838</v>
      </c>
      <c r="H294" s="33" t="n">
        <v>45838</v>
      </c>
      <c r="I294" s="31" t="s">
        <v>801</v>
      </c>
      <c r="J294" s="30" t="s">
        <v>389</v>
      </c>
      <c r="K294" s="31" t="s">
        <v>451</v>
      </c>
      <c r="L294" s="32" t="n">
        <v>0.5</v>
      </c>
      <c r="M294" s="35" t="s">
        <v>386</v>
      </c>
      <c r="N294" s="31" t="s">
        <v>387</v>
      </c>
      <c r="O294" s="32" t="n">
        <v>0.5</v>
      </c>
      <c r="P294" s="15" t="n">
        <f aca="false">IF(A294="","",IF(O294&lt;&gt;"",O294,IF(L294&lt;&gt;"",L294,F294)))</f>
        <v>0.5</v>
      </c>
    </row>
    <row r="295" customFormat="false" ht="15" hidden="false" customHeight="true" outlineLevel="0" collapsed="false">
      <c r="A295" s="26" t="s">
        <v>41</v>
      </c>
      <c r="B295" s="26" t="s">
        <v>42</v>
      </c>
      <c r="C295" s="14" t="n">
        <f aca="false">IF(A295="","",IFERROR(VLOOKUP(A295,'Recert Status'!$A$8:$C$400,3,FALSE()),""))</f>
        <v>46387</v>
      </c>
      <c r="D295" s="18" t="s">
        <v>591</v>
      </c>
      <c r="E295" s="26" t="s">
        <v>389</v>
      </c>
      <c r="F295" s="27" t="n">
        <v>1</v>
      </c>
      <c r="G295" s="28" t="n">
        <v>45994</v>
      </c>
      <c r="H295" s="28" t="n">
        <v>45994</v>
      </c>
      <c r="I295" s="18" t="s">
        <v>770</v>
      </c>
      <c r="J295" s="26" t="s">
        <v>389</v>
      </c>
      <c r="K295" s="18" t="s">
        <v>451</v>
      </c>
      <c r="L295" s="27" t="n">
        <v>1</v>
      </c>
      <c r="M295" s="35" t="s">
        <v>386</v>
      </c>
      <c r="N295" s="18" t="s">
        <v>387</v>
      </c>
      <c r="O295" s="27" t="n">
        <v>1</v>
      </c>
      <c r="P295" s="15" t="n">
        <f aca="false">IF(A295="","",IF(O295&lt;&gt;"",O295,IF(L295&lt;&gt;"",L295,F295)))</f>
        <v>1</v>
      </c>
    </row>
    <row r="296" customFormat="false" ht="15" hidden="false" customHeight="true" outlineLevel="0" collapsed="false">
      <c r="A296" s="30" t="s">
        <v>41</v>
      </c>
      <c r="B296" s="30" t="s">
        <v>42</v>
      </c>
      <c r="C296" s="21" t="n">
        <f aca="false">IF(A296="","",IFERROR(VLOOKUP(A296,'Recert Status'!$A$8:$C$400,3,FALSE()),""))</f>
        <v>46387</v>
      </c>
      <c r="D296" s="31" t="s">
        <v>474</v>
      </c>
      <c r="E296" s="30" t="s">
        <v>389</v>
      </c>
      <c r="F296" s="32" t="n">
        <v>1</v>
      </c>
      <c r="G296" s="33" t="n">
        <v>46204</v>
      </c>
      <c r="H296" s="33" t="n">
        <v>46204</v>
      </c>
      <c r="I296" s="31" t="s">
        <v>475</v>
      </c>
      <c r="J296" s="30" t="s">
        <v>389</v>
      </c>
      <c r="K296" s="31" t="s">
        <v>476</v>
      </c>
      <c r="L296" s="32" t="n">
        <v>1</v>
      </c>
      <c r="M296" s="35" t="s">
        <v>386</v>
      </c>
      <c r="N296" s="31" t="s">
        <v>387</v>
      </c>
      <c r="O296" s="32" t="n">
        <v>1</v>
      </c>
      <c r="P296" s="15" t="n">
        <f aca="false">IF(A296="","",IF(O296&lt;&gt;"",O296,IF(L296&lt;&gt;"",L296,F296)))</f>
        <v>1</v>
      </c>
    </row>
    <row r="297" customFormat="false" ht="15" hidden="false" customHeight="true" outlineLevel="0" collapsed="false">
      <c r="A297" s="26" t="s">
        <v>41</v>
      </c>
      <c r="B297" s="26" t="s">
        <v>42</v>
      </c>
      <c r="C297" s="14" t="n">
        <f aca="false">IF(A297="","",IFERROR(VLOOKUP(A297,'Recert Status'!$A$8:$C$400,3,FALSE()),""))</f>
        <v>46387</v>
      </c>
      <c r="D297" s="18" t="s">
        <v>802</v>
      </c>
      <c r="E297" s="26" t="n">
        <v>35513</v>
      </c>
      <c r="F297" s="27" t="n">
        <v>1</v>
      </c>
      <c r="G297" s="28" t="n">
        <v>45868</v>
      </c>
      <c r="H297" s="28" t="n">
        <v>45868</v>
      </c>
      <c r="I297" s="18" t="s">
        <v>803</v>
      </c>
      <c r="J297" s="26" t="s">
        <v>384</v>
      </c>
      <c r="K297" s="18" t="s">
        <v>385</v>
      </c>
      <c r="L297" s="27" t="n">
        <v>1</v>
      </c>
      <c r="M297" s="36" t="s">
        <v>396</v>
      </c>
      <c r="N297" s="18" t="s">
        <v>397</v>
      </c>
      <c r="O297" s="27" t="n">
        <v>1</v>
      </c>
      <c r="P297" s="15" t="n">
        <f aca="false">IF(A297="","",IF(O297&lt;&gt;"",O297,IF(L297&lt;&gt;"",L297,F297)))</f>
        <v>1</v>
      </c>
    </row>
    <row r="298" customFormat="false" ht="15" hidden="false" customHeight="true" outlineLevel="0" collapsed="false">
      <c r="A298" s="30" t="s">
        <v>41</v>
      </c>
      <c r="B298" s="30" t="s">
        <v>42</v>
      </c>
      <c r="C298" s="21" t="n">
        <f aca="false">IF(A298="","",IFERROR(VLOOKUP(A298,'Recert Status'!$A$8:$C$400,3,FALSE()),""))</f>
        <v>46387</v>
      </c>
      <c r="D298" s="31" t="s">
        <v>397</v>
      </c>
      <c r="E298" s="30" t="s">
        <v>452</v>
      </c>
      <c r="F298" s="32" t="n">
        <v>1</v>
      </c>
      <c r="G298" s="33" t="n">
        <v>46246</v>
      </c>
      <c r="H298" s="33" t="n">
        <v>46246</v>
      </c>
      <c r="I298" s="31" t="s">
        <v>478</v>
      </c>
      <c r="J298" s="30" t="s">
        <v>452</v>
      </c>
      <c r="K298" s="31" t="s">
        <v>385</v>
      </c>
      <c r="L298" s="32" t="n">
        <v>1</v>
      </c>
      <c r="M298" s="36" t="s">
        <v>396</v>
      </c>
      <c r="N298" s="31" t="s">
        <v>397</v>
      </c>
      <c r="O298" s="32" t="n">
        <v>1</v>
      </c>
      <c r="P298" s="15" t="n">
        <f aca="false">IF(A298="","",IF(O298&lt;&gt;"",O298,IF(L298&lt;&gt;"",L298,F298)))</f>
        <v>1</v>
      </c>
    </row>
    <row r="299" customFormat="false" ht="15" hidden="false" customHeight="true" outlineLevel="0" collapsed="false">
      <c r="A299" s="26" t="s">
        <v>41</v>
      </c>
      <c r="B299" s="26" t="s">
        <v>42</v>
      </c>
      <c r="C299" s="14" t="n">
        <f aca="false">IF(A299="","",IFERROR(VLOOKUP(A299,'Recert Status'!$A$8:$C$400,3,FALSE()),""))</f>
        <v>46387</v>
      </c>
      <c r="D299" s="18" t="s">
        <v>486</v>
      </c>
      <c r="E299" s="26" t="s">
        <v>416</v>
      </c>
      <c r="F299" s="27" t="n">
        <v>2</v>
      </c>
      <c r="G299" s="28" t="n">
        <v>45859</v>
      </c>
      <c r="H299" s="28" t="n">
        <v>45859</v>
      </c>
      <c r="I299" s="18" t="s">
        <v>487</v>
      </c>
      <c r="J299" s="26" t="s">
        <v>416</v>
      </c>
      <c r="K299" s="18" t="s">
        <v>418</v>
      </c>
      <c r="L299" s="27" t="n">
        <v>2</v>
      </c>
      <c r="M299" s="39" t="s">
        <v>413</v>
      </c>
      <c r="N299" s="18" t="s">
        <v>414</v>
      </c>
      <c r="O299" s="27" t="n">
        <v>2</v>
      </c>
      <c r="P299" s="15" t="n">
        <f aca="false">IF(A299="","",IF(O299&lt;&gt;"",O299,IF(L299&lt;&gt;"",L299,F299)))</f>
        <v>2</v>
      </c>
    </row>
    <row r="300" customFormat="false" ht="15" hidden="false" customHeight="true" outlineLevel="0" collapsed="false">
      <c r="A300" s="30" t="s">
        <v>43</v>
      </c>
      <c r="B300" s="30" t="s">
        <v>44</v>
      </c>
      <c r="C300" s="21" t="n">
        <f aca="false">IF(A300="","",IFERROR(VLOOKUP(A300,'Recert Status'!$A$8:$C$400,3,FALSE()),""))</f>
        <v>46387</v>
      </c>
      <c r="D300" s="31" t="s">
        <v>584</v>
      </c>
      <c r="E300" s="30" t="s">
        <v>542</v>
      </c>
      <c r="F300" s="32" t="n">
        <v>3</v>
      </c>
      <c r="G300" s="33" t="n">
        <v>45892</v>
      </c>
      <c r="H300" s="33" t="n">
        <v>45892</v>
      </c>
      <c r="I300" s="31" t="s">
        <v>585</v>
      </c>
      <c r="J300" s="30" t="s">
        <v>542</v>
      </c>
      <c r="K300" s="31" t="s">
        <v>586</v>
      </c>
      <c r="L300" s="32" t="n">
        <v>3</v>
      </c>
      <c r="M300" s="40" t="s">
        <v>423</v>
      </c>
      <c r="N300" s="31" t="s">
        <v>424</v>
      </c>
      <c r="O300" s="32" t="n">
        <v>3</v>
      </c>
      <c r="P300" s="15" t="n">
        <f aca="false">IF(A300="","",IF(O300&lt;&gt;"",O300,IF(L300&lt;&gt;"",L300,F300)))</f>
        <v>3</v>
      </c>
    </row>
    <row r="301" customFormat="false" ht="15" hidden="false" customHeight="true" outlineLevel="0" collapsed="false">
      <c r="A301" s="26" t="s">
        <v>43</v>
      </c>
      <c r="B301" s="26" t="s">
        <v>44</v>
      </c>
      <c r="C301" s="14" t="n">
        <f aca="false">IF(A301="","",IFERROR(VLOOKUP(A301,'Recert Status'!$A$8:$C$400,3,FALSE()),""))</f>
        <v>46387</v>
      </c>
      <c r="D301" s="18" t="s">
        <v>548</v>
      </c>
      <c r="E301" s="26" t="s">
        <v>426</v>
      </c>
      <c r="F301" s="27" t="n">
        <v>2</v>
      </c>
      <c r="G301" s="28" t="n">
        <v>45979</v>
      </c>
      <c r="H301" s="28" t="n">
        <v>45979</v>
      </c>
      <c r="I301" s="18" t="s">
        <v>549</v>
      </c>
      <c r="J301" s="26" t="s">
        <v>426</v>
      </c>
      <c r="K301" s="18" t="s">
        <v>428</v>
      </c>
      <c r="L301" s="27" t="n">
        <v>2</v>
      </c>
      <c r="M301" s="41" t="s">
        <v>429</v>
      </c>
      <c r="N301" s="18" t="s">
        <v>430</v>
      </c>
      <c r="O301" s="27" t="n">
        <v>2</v>
      </c>
      <c r="P301" s="15" t="n">
        <f aca="false">IF(A301="","",IF(O301&lt;&gt;"",O301,IF(L301&lt;&gt;"",L301,F301)))</f>
        <v>2</v>
      </c>
    </row>
    <row r="302" customFormat="false" ht="15" hidden="false" customHeight="true" outlineLevel="0" collapsed="false">
      <c r="A302" s="30" t="s">
        <v>43</v>
      </c>
      <c r="B302" s="30" t="s">
        <v>44</v>
      </c>
      <c r="C302" s="21" t="n">
        <f aca="false">IF(A302="","",IFERROR(VLOOKUP(A302,'Recert Status'!$A$8:$C$400,3,FALSE()),""))</f>
        <v>46387</v>
      </c>
      <c r="D302" s="31" t="s">
        <v>466</v>
      </c>
      <c r="E302" s="30" t="n">
        <v>29784</v>
      </c>
      <c r="F302" s="32" t="n">
        <v>0.5</v>
      </c>
      <c r="G302" s="33" t="n">
        <v>45691</v>
      </c>
      <c r="H302" s="33" t="n">
        <v>45691</v>
      </c>
      <c r="I302" s="31" t="s">
        <v>467</v>
      </c>
      <c r="J302" s="30" t="s">
        <v>435</v>
      </c>
      <c r="K302" s="31" t="s">
        <v>468</v>
      </c>
      <c r="L302" s="32" t="n">
        <v>0.5</v>
      </c>
      <c r="M302" s="35" t="s">
        <v>386</v>
      </c>
      <c r="N302" s="31" t="s">
        <v>387</v>
      </c>
      <c r="O302" s="32" t="n">
        <v>0.5</v>
      </c>
      <c r="P302" s="15" t="n">
        <f aca="false">IF(A302="","",IF(O302&lt;&gt;"",O302,IF(L302&lt;&gt;"",L302,F302)))</f>
        <v>0.5</v>
      </c>
    </row>
    <row r="303" customFormat="false" ht="15" hidden="false" customHeight="true" outlineLevel="0" collapsed="false">
      <c r="A303" s="26" t="s">
        <v>43</v>
      </c>
      <c r="B303" s="26" t="s">
        <v>44</v>
      </c>
      <c r="C303" s="14" t="n">
        <f aca="false">IF(A303="","",IFERROR(VLOOKUP(A303,'Recert Status'!$A$8:$C$400,3,FALSE()),""))</f>
        <v>46387</v>
      </c>
      <c r="D303" s="18" t="s">
        <v>382</v>
      </c>
      <c r="E303" s="26" t="n">
        <v>35513</v>
      </c>
      <c r="F303" s="27" t="n">
        <v>2</v>
      </c>
      <c r="G303" s="28" t="n">
        <v>45883</v>
      </c>
      <c r="H303" s="28" t="n">
        <v>45883</v>
      </c>
      <c r="I303" s="18" t="s">
        <v>383</v>
      </c>
      <c r="J303" s="26" t="s">
        <v>384</v>
      </c>
      <c r="K303" s="18" t="s">
        <v>385</v>
      </c>
      <c r="L303" s="27" t="n">
        <v>2</v>
      </c>
      <c r="M303" s="35" t="s">
        <v>386</v>
      </c>
      <c r="N303" s="18" t="s">
        <v>387</v>
      </c>
      <c r="O303" s="27" t="n">
        <v>2</v>
      </c>
      <c r="P303" s="15" t="n">
        <f aca="false">IF(A303="","",IF(O303&lt;&gt;"",O303,IF(L303&lt;&gt;"",L303,F303)))</f>
        <v>2</v>
      </c>
    </row>
    <row r="304" customFormat="false" ht="15" hidden="false" customHeight="true" outlineLevel="0" collapsed="false">
      <c r="A304" s="30" t="s">
        <v>43</v>
      </c>
      <c r="B304" s="30" t="s">
        <v>44</v>
      </c>
      <c r="C304" s="21" t="n">
        <f aca="false">IF(A304="","",IFERROR(VLOOKUP(A304,'Recert Status'!$A$8:$C$400,3,FALSE()),""))</f>
        <v>46387</v>
      </c>
      <c r="D304" s="31" t="s">
        <v>804</v>
      </c>
      <c r="E304" s="30" t="s">
        <v>389</v>
      </c>
      <c r="F304" s="32" t="n">
        <v>1</v>
      </c>
      <c r="G304" s="33" t="n">
        <v>46039</v>
      </c>
      <c r="H304" s="33" t="n">
        <v>46039</v>
      </c>
      <c r="I304" s="31" t="s">
        <v>805</v>
      </c>
      <c r="J304" s="30" t="s">
        <v>389</v>
      </c>
      <c r="K304" s="31" t="s">
        <v>451</v>
      </c>
      <c r="L304" s="32" t="n">
        <v>1</v>
      </c>
      <c r="M304" s="35" t="s">
        <v>386</v>
      </c>
      <c r="N304" s="31" t="s">
        <v>387</v>
      </c>
      <c r="O304" s="32" t="n">
        <v>1</v>
      </c>
      <c r="P304" s="15" t="n">
        <f aca="false">IF(A304="","",IF(O304&lt;&gt;"",O304,IF(L304&lt;&gt;"",L304,F304)))</f>
        <v>1</v>
      </c>
    </row>
    <row r="305" customFormat="false" ht="15" hidden="false" customHeight="true" outlineLevel="0" collapsed="false">
      <c r="A305" s="26" t="s">
        <v>43</v>
      </c>
      <c r="B305" s="26" t="s">
        <v>44</v>
      </c>
      <c r="C305" s="14" t="n">
        <f aca="false">IF(A305="","",IFERROR(VLOOKUP(A305,'Recert Status'!$A$8:$C$400,3,FALSE()),""))</f>
        <v>46387</v>
      </c>
      <c r="D305" s="18" t="s">
        <v>806</v>
      </c>
      <c r="E305" s="26" t="s">
        <v>452</v>
      </c>
      <c r="F305" s="27" t="n">
        <v>1</v>
      </c>
      <c r="G305" s="28" t="n">
        <v>46039</v>
      </c>
      <c r="H305" s="28" t="n">
        <v>46039</v>
      </c>
      <c r="I305" s="18" t="s">
        <v>807</v>
      </c>
      <c r="J305" s="26" t="s">
        <v>452</v>
      </c>
      <c r="K305" s="18" t="s">
        <v>808</v>
      </c>
      <c r="L305" s="27" t="n">
        <v>1</v>
      </c>
      <c r="M305" s="36" t="s">
        <v>396</v>
      </c>
      <c r="N305" s="18" t="s">
        <v>397</v>
      </c>
      <c r="O305" s="27" t="n">
        <v>1</v>
      </c>
      <c r="P305" s="15" t="n">
        <f aca="false">IF(A305="","",IF(O305&lt;&gt;"",O305,IF(L305&lt;&gt;"",L305,F305)))</f>
        <v>1</v>
      </c>
    </row>
    <row r="306" customFormat="false" ht="15" hidden="false" customHeight="true" outlineLevel="0" collapsed="false">
      <c r="A306" s="30" t="s">
        <v>43</v>
      </c>
      <c r="B306" s="30" t="s">
        <v>44</v>
      </c>
      <c r="C306" s="21" t="n">
        <f aca="false">IF(A306="","",IFERROR(VLOOKUP(A306,'Recert Status'!$A$8:$C$400,3,FALSE()),""))</f>
        <v>46387</v>
      </c>
      <c r="D306" s="31" t="s">
        <v>397</v>
      </c>
      <c r="E306" s="30" t="s">
        <v>452</v>
      </c>
      <c r="F306" s="32" t="n">
        <v>1</v>
      </c>
      <c r="G306" s="33" t="n">
        <v>46246</v>
      </c>
      <c r="H306" s="33" t="n">
        <v>46246</v>
      </c>
      <c r="I306" s="31" t="s">
        <v>478</v>
      </c>
      <c r="J306" s="30" t="s">
        <v>452</v>
      </c>
      <c r="K306" s="31" t="s">
        <v>385</v>
      </c>
      <c r="L306" s="32" t="n">
        <v>1</v>
      </c>
      <c r="M306" s="36" t="s">
        <v>396</v>
      </c>
      <c r="N306" s="31" t="s">
        <v>397</v>
      </c>
      <c r="O306" s="32" t="n">
        <v>1</v>
      </c>
      <c r="P306" s="15" t="n">
        <f aca="false">IF(A306="","",IF(O306&lt;&gt;"",O306,IF(L306&lt;&gt;"",L306,F306)))</f>
        <v>1</v>
      </c>
    </row>
    <row r="307" customFormat="false" ht="15" hidden="false" customHeight="true" outlineLevel="0" collapsed="false">
      <c r="A307" s="26" t="s">
        <v>43</v>
      </c>
      <c r="B307" s="26" t="s">
        <v>44</v>
      </c>
      <c r="C307" s="14" t="n">
        <f aca="false">IF(A307="","",IFERROR(VLOOKUP(A307,'Recert Status'!$A$8:$C$400,3,FALSE()),""))</f>
        <v>46387</v>
      </c>
      <c r="D307" s="18" t="s">
        <v>449</v>
      </c>
      <c r="E307" s="26" t="s">
        <v>416</v>
      </c>
      <c r="F307" s="27" t="n">
        <v>1</v>
      </c>
      <c r="G307" s="28" t="n">
        <v>45775</v>
      </c>
      <c r="H307" s="28" t="n">
        <v>45775</v>
      </c>
      <c r="I307" s="18" t="s">
        <v>809</v>
      </c>
      <c r="J307" s="26" t="s">
        <v>416</v>
      </c>
      <c r="K307" s="18" t="s">
        <v>674</v>
      </c>
      <c r="L307" s="27" t="n">
        <v>1</v>
      </c>
      <c r="M307" s="39" t="s">
        <v>413</v>
      </c>
      <c r="N307" s="18" t="s">
        <v>414</v>
      </c>
      <c r="O307" s="27" t="n">
        <v>1</v>
      </c>
      <c r="P307" s="15" t="n">
        <f aca="false">IF(A307="","",IF(O307&lt;&gt;"",O307,IF(L307&lt;&gt;"",L307,F307)))</f>
        <v>1</v>
      </c>
    </row>
    <row r="308" customFormat="false" ht="15" hidden="false" customHeight="true" outlineLevel="0" collapsed="false">
      <c r="A308" s="30" t="s">
        <v>43</v>
      </c>
      <c r="B308" s="30" t="s">
        <v>44</v>
      </c>
      <c r="C308" s="21" t="n">
        <f aca="false">IF(A308="","",IFERROR(VLOOKUP(A308,'Recert Status'!$A$8:$C$400,3,FALSE()),""))</f>
        <v>46387</v>
      </c>
      <c r="D308" s="31" t="s">
        <v>672</v>
      </c>
      <c r="E308" s="30" t="s">
        <v>416</v>
      </c>
      <c r="F308" s="32" t="n">
        <v>1</v>
      </c>
      <c r="G308" s="33" t="n">
        <v>45826</v>
      </c>
      <c r="H308" s="33" t="n">
        <v>45826</v>
      </c>
      <c r="I308" s="31" t="s">
        <v>810</v>
      </c>
      <c r="J308" s="30" t="s">
        <v>416</v>
      </c>
      <c r="K308" s="31" t="s">
        <v>418</v>
      </c>
      <c r="L308" s="32" t="n">
        <v>1</v>
      </c>
      <c r="M308" s="39" t="s">
        <v>413</v>
      </c>
      <c r="N308" s="31" t="s">
        <v>414</v>
      </c>
      <c r="O308" s="32" t="n">
        <v>1</v>
      </c>
      <c r="P308" s="15" t="n">
        <f aca="false">IF(A308="","",IF(O308&lt;&gt;"",O308,IF(L308&lt;&gt;"",L308,F308)))</f>
        <v>1</v>
      </c>
    </row>
    <row r="309" customFormat="false" ht="15" hidden="false" customHeight="true" outlineLevel="0" collapsed="false">
      <c r="A309" s="26" t="s">
        <v>43</v>
      </c>
      <c r="B309" s="26" t="s">
        <v>44</v>
      </c>
      <c r="C309" s="14" t="n">
        <f aca="false">IF(A309="","",IFERROR(VLOOKUP(A309,'Recert Status'!$A$8:$C$400,3,FALSE()),""))</f>
        <v>46387</v>
      </c>
      <c r="D309" s="18" t="s">
        <v>719</v>
      </c>
      <c r="E309" s="26" t="s">
        <v>416</v>
      </c>
      <c r="F309" s="27" t="n">
        <v>2</v>
      </c>
      <c r="G309" s="28" t="n">
        <v>45859</v>
      </c>
      <c r="H309" s="28" t="n">
        <v>45859</v>
      </c>
      <c r="I309" s="18" t="s">
        <v>486</v>
      </c>
      <c r="J309" s="26" t="s">
        <v>416</v>
      </c>
      <c r="K309" s="18" t="s">
        <v>418</v>
      </c>
      <c r="L309" s="27" t="n">
        <v>2</v>
      </c>
      <c r="M309" s="39" t="s">
        <v>413</v>
      </c>
      <c r="N309" s="18" t="s">
        <v>414</v>
      </c>
      <c r="O309" s="27" t="n">
        <v>2</v>
      </c>
      <c r="P309" s="15" t="n">
        <f aca="false">IF(A309="","",IF(O309&lt;&gt;"",O309,IF(L309&lt;&gt;"",L309,F309)))</f>
        <v>2</v>
      </c>
    </row>
    <row r="310" customFormat="false" ht="15" hidden="false" customHeight="true" outlineLevel="0" collapsed="false">
      <c r="A310" s="30" t="s">
        <v>43</v>
      </c>
      <c r="B310" s="30" t="s">
        <v>44</v>
      </c>
      <c r="C310" s="21" t="n">
        <f aca="false">IF(A310="","",IFERROR(VLOOKUP(A310,'Recert Status'!$A$8:$C$400,3,FALSE()),""))</f>
        <v>46387</v>
      </c>
      <c r="D310" s="31" t="s">
        <v>488</v>
      </c>
      <c r="E310" s="30" t="s">
        <v>416</v>
      </c>
      <c r="F310" s="32" t="n">
        <v>1</v>
      </c>
      <c r="G310" s="33" t="n">
        <v>46132</v>
      </c>
      <c r="H310" s="33" t="n">
        <v>46132</v>
      </c>
      <c r="I310" s="31" t="s">
        <v>609</v>
      </c>
      <c r="J310" s="30" t="s">
        <v>416</v>
      </c>
      <c r="K310" s="31" t="s">
        <v>490</v>
      </c>
      <c r="L310" s="32" t="n">
        <v>1</v>
      </c>
      <c r="M310" s="39" t="s">
        <v>413</v>
      </c>
      <c r="N310" s="31" t="s">
        <v>414</v>
      </c>
      <c r="O310" s="32" t="n">
        <v>1</v>
      </c>
      <c r="P310" s="15" t="n">
        <f aca="false">IF(A310="","",IF(O310&lt;&gt;"",O310,IF(L310&lt;&gt;"",L310,F310)))</f>
        <v>1</v>
      </c>
    </row>
    <row r="311" customFormat="false" ht="15" hidden="false" customHeight="true" outlineLevel="0" collapsed="false">
      <c r="A311" s="26" t="s">
        <v>43</v>
      </c>
      <c r="B311" s="26" t="s">
        <v>44</v>
      </c>
      <c r="C311" s="14" t="n">
        <f aca="false">IF(A311="","",IFERROR(VLOOKUP(A311,'Recert Status'!$A$8:$C$400,3,FALSE()),""))</f>
        <v>46387</v>
      </c>
      <c r="D311" s="18" t="s">
        <v>414</v>
      </c>
      <c r="E311" s="26" t="s">
        <v>416</v>
      </c>
      <c r="F311" s="27" t="n">
        <v>2</v>
      </c>
      <c r="G311" s="28" t="n">
        <v>46219</v>
      </c>
      <c r="H311" s="28" t="n">
        <v>46219</v>
      </c>
      <c r="I311" s="18" t="s">
        <v>567</v>
      </c>
      <c r="J311" s="26" t="s">
        <v>416</v>
      </c>
      <c r="K311" s="18" t="s">
        <v>418</v>
      </c>
      <c r="L311" s="27" t="n">
        <v>2</v>
      </c>
      <c r="M311" s="39" t="s">
        <v>413</v>
      </c>
      <c r="N311" s="18" t="s">
        <v>414</v>
      </c>
      <c r="O311" s="27" t="n">
        <v>2</v>
      </c>
      <c r="P311" s="15" t="n">
        <f aca="false">IF(A311="","",IF(O311&lt;&gt;"",O311,IF(L311&lt;&gt;"",L311,F311)))</f>
        <v>2</v>
      </c>
    </row>
    <row r="312" customFormat="false" ht="15" hidden="false" customHeight="true" outlineLevel="0" collapsed="false">
      <c r="A312" s="30" t="s">
        <v>45</v>
      </c>
      <c r="B312" s="30" t="s">
        <v>46</v>
      </c>
      <c r="C312" s="21" t="n">
        <f aca="false">IF(A312="","",IFERROR(VLOOKUP(A312,'Recert Status'!$A$8:$C$400,3,FALSE()),""))</f>
        <v>46387</v>
      </c>
      <c r="D312" s="31" t="s">
        <v>811</v>
      </c>
      <c r="E312" s="30" t="s">
        <v>363</v>
      </c>
      <c r="F312" s="32" t="n">
        <v>1</v>
      </c>
      <c r="G312" s="33" t="n">
        <v>45783</v>
      </c>
      <c r="H312" s="33" t="n">
        <v>45783</v>
      </c>
      <c r="I312" s="31" t="s">
        <v>812</v>
      </c>
      <c r="J312" s="30" t="s">
        <v>363</v>
      </c>
      <c r="K312" s="31" t="s">
        <v>813</v>
      </c>
      <c r="L312" s="32" t="n">
        <v>1</v>
      </c>
      <c r="M312" s="29" t="s">
        <v>366</v>
      </c>
      <c r="N312" s="31" t="s">
        <v>367</v>
      </c>
      <c r="O312" s="32" t="n">
        <v>1</v>
      </c>
      <c r="P312" s="15" t="n">
        <f aca="false">IF(A312="","",IF(O312&lt;&gt;"",O312,IF(L312&lt;&gt;"",L312,F312)))</f>
        <v>1</v>
      </c>
    </row>
    <row r="313" customFormat="false" ht="15" hidden="false" customHeight="true" outlineLevel="0" collapsed="false">
      <c r="A313" s="26" t="s">
        <v>45</v>
      </c>
      <c r="B313" s="26" t="s">
        <v>46</v>
      </c>
      <c r="C313" s="14" t="n">
        <f aca="false">IF(A313="","",IFERROR(VLOOKUP(A313,'Recert Status'!$A$8:$C$400,3,FALSE()),""))</f>
        <v>46387</v>
      </c>
      <c r="D313" s="18" t="s">
        <v>621</v>
      </c>
      <c r="E313" s="26" t="n">
        <v>29740</v>
      </c>
      <c r="F313" s="27" t="n">
        <v>0.5</v>
      </c>
      <c r="G313" s="28" t="n">
        <v>45783</v>
      </c>
      <c r="H313" s="28" t="n">
        <v>45783</v>
      </c>
      <c r="I313" s="18" t="s">
        <v>622</v>
      </c>
      <c r="J313" s="26" t="s">
        <v>394</v>
      </c>
      <c r="K313" s="18" t="s">
        <v>365</v>
      </c>
      <c r="L313" s="27" t="n">
        <v>0.5</v>
      </c>
      <c r="M313" s="29" t="s">
        <v>366</v>
      </c>
      <c r="N313" s="18" t="s">
        <v>367</v>
      </c>
      <c r="O313" s="27" t="n">
        <v>0.5</v>
      </c>
      <c r="P313" s="15" t="n">
        <f aca="false">IF(A313="","",IF(O313&lt;&gt;"",O313,IF(L313&lt;&gt;"",L313,F313)))</f>
        <v>0.5</v>
      </c>
    </row>
    <row r="314" customFormat="false" ht="15" hidden="false" customHeight="true" outlineLevel="0" collapsed="false">
      <c r="A314" s="30" t="s">
        <v>45</v>
      </c>
      <c r="B314" s="30" t="s">
        <v>46</v>
      </c>
      <c r="C314" s="21" t="n">
        <f aca="false">IF(A314="","",IFERROR(VLOOKUP(A314,'Recert Status'!$A$8:$C$400,3,FALSE()),""))</f>
        <v>46387</v>
      </c>
      <c r="D314" s="31" t="s">
        <v>623</v>
      </c>
      <c r="E314" s="30" t="s">
        <v>363</v>
      </c>
      <c r="F314" s="32" t="n">
        <v>0.5</v>
      </c>
      <c r="G314" s="33" t="n">
        <v>45783</v>
      </c>
      <c r="H314" s="33" t="n">
        <v>45783</v>
      </c>
      <c r="I314" s="31" t="s">
        <v>624</v>
      </c>
      <c r="J314" s="30" t="s">
        <v>363</v>
      </c>
      <c r="K314" s="31" t="s">
        <v>365</v>
      </c>
      <c r="L314" s="32" t="n">
        <v>0.5</v>
      </c>
      <c r="M314" s="29" t="s">
        <v>366</v>
      </c>
      <c r="N314" s="31" t="s">
        <v>367</v>
      </c>
      <c r="O314" s="32" t="n">
        <v>0.5</v>
      </c>
      <c r="P314" s="15" t="n">
        <f aca="false">IF(A314="","",IF(O314&lt;&gt;"",O314,IF(L314&lt;&gt;"",L314,F314)))</f>
        <v>0.5</v>
      </c>
    </row>
    <row r="315" customFormat="false" ht="15" hidden="false" customHeight="true" outlineLevel="0" collapsed="false">
      <c r="A315" s="26" t="s">
        <v>45</v>
      </c>
      <c r="B315" s="26" t="s">
        <v>46</v>
      </c>
      <c r="C315" s="14" t="n">
        <f aca="false">IF(A315="","",IFERROR(VLOOKUP(A315,'Recert Status'!$A$8:$C$400,3,FALSE()),""))</f>
        <v>46387</v>
      </c>
      <c r="D315" s="18" t="s">
        <v>814</v>
      </c>
      <c r="E315" s="26" t="s">
        <v>426</v>
      </c>
      <c r="F315" s="27" t="n">
        <v>2</v>
      </c>
      <c r="G315" s="28" t="n">
        <v>45912</v>
      </c>
      <c r="H315" s="28" t="n">
        <v>45912</v>
      </c>
      <c r="I315" s="18" t="s">
        <v>815</v>
      </c>
      <c r="J315" s="26" t="s">
        <v>426</v>
      </c>
      <c r="K315" s="18" t="s">
        <v>428</v>
      </c>
      <c r="L315" s="27" t="n">
        <v>2</v>
      </c>
      <c r="M315" s="41" t="s">
        <v>429</v>
      </c>
      <c r="N315" s="18" t="s">
        <v>430</v>
      </c>
      <c r="O315" s="27" t="n">
        <v>2</v>
      </c>
      <c r="P315" s="15" t="n">
        <f aca="false">IF(A315="","",IF(O315&lt;&gt;"",O315,IF(L315&lt;&gt;"",L315,F315)))</f>
        <v>2</v>
      </c>
    </row>
    <row r="316" customFormat="false" ht="15" hidden="false" customHeight="true" outlineLevel="0" collapsed="false">
      <c r="A316" s="30" t="s">
        <v>45</v>
      </c>
      <c r="B316" s="30" t="s">
        <v>46</v>
      </c>
      <c r="C316" s="21" t="n">
        <f aca="false">IF(A316="","",IFERROR(VLOOKUP(A316,'Recert Status'!$A$8:$C$400,3,FALSE()),""))</f>
        <v>46387</v>
      </c>
      <c r="D316" s="31" t="s">
        <v>647</v>
      </c>
      <c r="E316" s="30" t="n">
        <v>29675</v>
      </c>
      <c r="F316" s="32" t="n">
        <v>1</v>
      </c>
      <c r="G316" s="33" t="n">
        <v>45840</v>
      </c>
      <c r="H316" s="33" t="n">
        <v>45840</v>
      </c>
      <c r="I316" s="31" t="s">
        <v>648</v>
      </c>
      <c r="J316" s="30" t="s">
        <v>406</v>
      </c>
      <c r="K316" s="31" t="s">
        <v>385</v>
      </c>
      <c r="L316" s="32" t="n">
        <v>1</v>
      </c>
      <c r="M316" s="35" t="s">
        <v>386</v>
      </c>
      <c r="N316" s="31" t="s">
        <v>387</v>
      </c>
      <c r="O316" s="32" t="n">
        <v>1</v>
      </c>
      <c r="P316" s="15" t="n">
        <f aca="false">IF(A316="","",IF(O316&lt;&gt;"",O316,IF(L316&lt;&gt;"",L316,F316)))</f>
        <v>1</v>
      </c>
    </row>
    <row r="317" customFormat="false" ht="15" hidden="false" customHeight="true" outlineLevel="0" collapsed="false">
      <c r="A317" s="26" t="s">
        <v>45</v>
      </c>
      <c r="B317" s="26" t="s">
        <v>46</v>
      </c>
      <c r="C317" s="14" t="n">
        <f aca="false">IF(A317="","",IFERROR(VLOOKUP(A317,'Recert Status'!$A$8:$C$400,3,FALSE()),""))</f>
        <v>46387</v>
      </c>
      <c r="D317" s="18" t="s">
        <v>649</v>
      </c>
      <c r="E317" s="26" t="s">
        <v>363</v>
      </c>
      <c r="F317" s="27" t="n">
        <v>1</v>
      </c>
      <c r="G317" s="28" t="n">
        <v>45867</v>
      </c>
      <c r="H317" s="28" t="n">
        <v>45867</v>
      </c>
      <c r="I317" s="18" t="s">
        <v>650</v>
      </c>
      <c r="J317" s="26" t="s">
        <v>363</v>
      </c>
      <c r="K317" s="18" t="s">
        <v>370</v>
      </c>
      <c r="L317" s="27" t="n">
        <v>1</v>
      </c>
      <c r="M317" s="35" t="s">
        <v>386</v>
      </c>
      <c r="N317" s="18" t="s">
        <v>387</v>
      </c>
      <c r="O317" s="27" t="n">
        <v>1</v>
      </c>
      <c r="P317" s="15" t="n">
        <f aca="false">IF(A317="","",IF(O317&lt;&gt;"",O317,IF(L317&lt;&gt;"",L317,F317)))</f>
        <v>1</v>
      </c>
    </row>
    <row r="318" customFormat="false" ht="15" hidden="false" customHeight="true" outlineLevel="0" collapsed="false">
      <c r="A318" s="30" t="s">
        <v>45</v>
      </c>
      <c r="B318" s="30" t="s">
        <v>46</v>
      </c>
      <c r="C318" s="21" t="n">
        <f aca="false">IF(A318="","",IFERROR(VLOOKUP(A318,'Recert Status'!$A$8:$C$400,3,FALSE()),""))</f>
        <v>46387</v>
      </c>
      <c r="D318" s="31" t="s">
        <v>651</v>
      </c>
      <c r="E318" s="30" t="n">
        <v>29668</v>
      </c>
      <c r="F318" s="32" t="n">
        <v>1</v>
      </c>
      <c r="G318" s="33" t="n">
        <v>45867</v>
      </c>
      <c r="H318" s="33" t="n">
        <v>45867</v>
      </c>
      <c r="I318" s="31" t="s">
        <v>652</v>
      </c>
      <c r="J318" s="30" t="s">
        <v>511</v>
      </c>
      <c r="K318" s="31" t="s">
        <v>509</v>
      </c>
      <c r="L318" s="32" t="n">
        <v>1</v>
      </c>
      <c r="M318" s="35" t="s">
        <v>386</v>
      </c>
      <c r="N318" s="31" t="s">
        <v>387</v>
      </c>
      <c r="O318" s="32" t="n">
        <v>1</v>
      </c>
      <c r="P318" s="15" t="n">
        <f aca="false">IF(A318="","",IF(O318&lt;&gt;"",O318,IF(L318&lt;&gt;"",L318,F318)))</f>
        <v>1</v>
      </c>
    </row>
    <row r="319" customFormat="false" ht="15" hidden="false" customHeight="true" outlineLevel="0" collapsed="false">
      <c r="A319" s="26" t="s">
        <v>45</v>
      </c>
      <c r="B319" s="26" t="s">
        <v>46</v>
      </c>
      <c r="C319" s="14" t="n">
        <f aca="false">IF(A319="","",IFERROR(VLOOKUP(A319,'Recert Status'!$A$8:$C$400,3,FALSE()),""))</f>
        <v>46387</v>
      </c>
      <c r="D319" s="18" t="s">
        <v>816</v>
      </c>
      <c r="E319" s="26" t="s">
        <v>817</v>
      </c>
      <c r="F319" s="27" t="n">
        <v>2</v>
      </c>
      <c r="G319" s="28" t="n">
        <v>45882</v>
      </c>
      <c r="H319" s="28" t="n">
        <v>45882</v>
      </c>
      <c r="I319" s="18" t="s">
        <v>818</v>
      </c>
      <c r="J319" s="26" t="s">
        <v>817</v>
      </c>
      <c r="K319" s="18" t="s">
        <v>819</v>
      </c>
      <c r="L319" s="27" t="n">
        <v>2</v>
      </c>
      <c r="M319" s="35" t="s">
        <v>386</v>
      </c>
      <c r="N319" s="18" t="s">
        <v>387</v>
      </c>
      <c r="O319" s="27" t="n">
        <v>2</v>
      </c>
      <c r="P319" s="15" t="n">
        <f aca="false">IF(A319="","",IF(O319&lt;&gt;"",O319,IF(L319&lt;&gt;"",L319,F319)))</f>
        <v>2</v>
      </c>
    </row>
    <row r="320" customFormat="false" ht="15" hidden="false" customHeight="true" outlineLevel="0" collapsed="false">
      <c r="A320" s="30" t="s">
        <v>45</v>
      </c>
      <c r="B320" s="30" t="s">
        <v>46</v>
      </c>
      <c r="C320" s="21" t="n">
        <f aca="false">IF(A320="","",IFERROR(VLOOKUP(A320,'Recert Status'!$A$8:$C$400,3,FALSE()),""))</f>
        <v>46387</v>
      </c>
      <c r="D320" s="31" t="s">
        <v>415</v>
      </c>
      <c r="E320" s="30" t="s">
        <v>416</v>
      </c>
      <c r="F320" s="32" t="n">
        <v>1</v>
      </c>
      <c r="G320" s="33" t="n">
        <v>45825</v>
      </c>
      <c r="H320" s="33" t="n">
        <v>45825</v>
      </c>
      <c r="I320" s="31" t="s">
        <v>820</v>
      </c>
      <c r="J320" s="30" t="s">
        <v>416</v>
      </c>
      <c r="K320" s="31" t="s">
        <v>412</v>
      </c>
      <c r="L320" s="32" t="n">
        <v>1</v>
      </c>
      <c r="M320" s="39" t="s">
        <v>413</v>
      </c>
      <c r="N320" s="31" t="s">
        <v>414</v>
      </c>
      <c r="O320" s="32" t="n">
        <v>1</v>
      </c>
      <c r="P320" s="15" t="n">
        <f aca="false">IF(A320="","",IF(O320&lt;&gt;"",O320,IF(L320&lt;&gt;"",L320,F320)))</f>
        <v>1</v>
      </c>
    </row>
    <row r="321" customFormat="false" ht="15" hidden="false" customHeight="true" outlineLevel="0" collapsed="false">
      <c r="A321" s="26" t="s">
        <v>45</v>
      </c>
      <c r="B321" s="26" t="s">
        <v>46</v>
      </c>
      <c r="C321" s="14" t="n">
        <f aca="false">IF(A321="","",IFERROR(VLOOKUP(A321,'Recert Status'!$A$8:$C$400,3,FALSE()),""))</f>
        <v>46387</v>
      </c>
      <c r="D321" s="18" t="s">
        <v>717</v>
      </c>
      <c r="E321" s="26" t="s">
        <v>416</v>
      </c>
      <c r="F321" s="27" t="n">
        <v>1</v>
      </c>
      <c r="G321" s="28" t="n">
        <v>45826</v>
      </c>
      <c r="H321" s="28" t="n">
        <v>45826</v>
      </c>
      <c r="I321" s="18" t="s">
        <v>821</v>
      </c>
      <c r="J321" s="26" t="s">
        <v>416</v>
      </c>
      <c r="K321" s="18" t="s">
        <v>418</v>
      </c>
      <c r="L321" s="27" t="n">
        <v>1</v>
      </c>
      <c r="M321" s="39" t="s">
        <v>413</v>
      </c>
      <c r="N321" s="18" t="s">
        <v>414</v>
      </c>
      <c r="O321" s="27" t="n">
        <v>1</v>
      </c>
      <c r="P321" s="15" t="n">
        <f aca="false">IF(A321="","",IF(O321&lt;&gt;"",O321,IF(L321&lt;&gt;"",L321,F321)))</f>
        <v>1</v>
      </c>
    </row>
    <row r="322" customFormat="false" ht="15" hidden="false" customHeight="true" outlineLevel="0" collapsed="false">
      <c r="A322" s="30" t="s">
        <v>45</v>
      </c>
      <c r="B322" s="30" t="s">
        <v>46</v>
      </c>
      <c r="C322" s="21" t="n">
        <f aca="false">IF(A322="","",IFERROR(VLOOKUP(A322,'Recert Status'!$A$8:$C$400,3,FALSE()),""))</f>
        <v>46387</v>
      </c>
      <c r="D322" s="31" t="s">
        <v>670</v>
      </c>
      <c r="E322" s="30" t="s">
        <v>416</v>
      </c>
      <c r="F322" s="32" t="n">
        <v>2</v>
      </c>
      <c r="G322" s="33" t="n">
        <v>45861</v>
      </c>
      <c r="H322" s="33" t="n">
        <v>45861</v>
      </c>
      <c r="I322" s="31" t="s">
        <v>671</v>
      </c>
      <c r="J322" s="30" t="s">
        <v>416</v>
      </c>
      <c r="K322" s="31" t="s">
        <v>418</v>
      </c>
      <c r="L322" s="32" t="n">
        <v>2</v>
      </c>
      <c r="M322" s="39" t="s">
        <v>413</v>
      </c>
      <c r="N322" s="31" t="s">
        <v>514</v>
      </c>
      <c r="O322" s="32" t="n">
        <v>2</v>
      </c>
      <c r="P322" s="15" t="n">
        <f aca="false">IF(A322="","",IF(O322&lt;&gt;"",O322,IF(L322&lt;&gt;"",L322,F322)))</f>
        <v>2</v>
      </c>
    </row>
    <row r="323" customFormat="false" ht="15" hidden="false" customHeight="true" outlineLevel="0" collapsed="false">
      <c r="A323" s="26" t="s">
        <v>45</v>
      </c>
      <c r="B323" s="26" t="s">
        <v>46</v>
      </c>
      <c r="C323" s="14" t="n">
        <f aca="false">IF(A323="","",IFERROR(VLOOKUP(A323,'Recert Status'!$A$8:$C$400,3,FALSE()),""))</f>
        <v>46387</v>
      </c>
      <c r="D323" s="18" t="s">
        <v>822</v>
      </c>
      <c r="E323" s="26" t="s">
        <v>416</v>
      </c>
      <c r="F323" s="27" t="n">
        <v>2</v>
      </c>
      <c r="G323" s="28" t="n">
        <v>45861</v>
      </c>
      <c r="H323" s="28" t="n">
        <v>45861</v>
      </c>
      <c r="I323" s="18" t="s">
        <v>823</v>
      </c>
      <c r="J323" s="26" t="s">
        <v>416</v>
      </c>
      <c r="K323" s="18" t="s">
        <v>523</v>
      </c>
      <c r="L323" s="27" t="n">
        <v>2</v>
      </c>
      <c r="M323" s="39" t="s">
        <v>413</v>
      </c>
      <c r="N323" s="18" t="s">
        <v>414</v>
      </c>
      <c r="O323" s="27" t="n">
        <v>2</v>
      </c>
      <c r="P323" s="15" t="n">
        <f aca="false">IF(A323="","",IF(O323&lt;&gt;"",O323,IF(L323&lt;&gt;"",L323,F323)))</f>
        <v>2</v>
      </c>
    </row>
    <row r="324" customFormat="false" ht="15" hidden="false" customHeight="true" outlineLevel="0" collapsed="false">
      <c r="A324" s="30" t="s">
        <v>45</v>
      </c>
      <c r="B324" s="30" t="s">
        <v>46</v>
      </c>
      <c r="C324" s="21" t="n">
        <f aca="false">IF(A324="","",IFERROR(VLOOKUP(A324,'Recert Status'!$A$8:$C$400,3,FALSE()),""))</f>
        <v>46387</v>
      </c>
      <c r="D324" s="31" t="s">
        <v>672</v>
      </c>
      <c r="E324" s="30" t="s">
        <v>416</v>
      </c>
      <c r="F324" s="32" t="n">
        <v>1</v>
      </c>
      <c r="G324" s="33" t="n">
        <v>45933</v>
      </c>
      <c r="H324" s="33" t="n">
        <v>45933</v>
      </c>
      <c r="I324" s="31" t="s">
        <v>675</v>
      </c>
      <c r="J324" s="30" t="s">
        <v>416</v>
      </c>
      <c r="K324" s="31" t="s">
        <v>674</v>
      </c>
      <c r="L324" s="32" t="n">
        <v>1</v>
      </c>
      <c r="M324" s="39" t="s">
        <v>413</v>
      </c>
      <c r="N324" s="31" t="s">
        <v>414</v>
      </c>
      <c r="O324" s="32" t="n">
        <v>1</v>
      </c>
      <c r="P324" s="15" t="n">
        <f aca="false">IF(A324="","",IF(O324&lt;&gt;"",O324,IF(L324&lt;&gt;"",L324,F324)))</f>
        <v>1</v>
      </c>
    </row>
    <row r="325" customFormat="false" ht="15" hidden="false" customHeight="true" outlineLevel="0" collapsed="false">
      <c r="A325" s="26" t="s">
        <v>45</v>
      </c>
      <c r="B325" s="26" t="s">
        <v>46</v>
      </c>
      <c r="C325" s="14" t="n">
        <f aca="false">IF(A325="","",IFERROR(VLOOKUP(A325,'Recert Status'!$A$8:$C$400,3,FALSE()),""))</f>
        <v>46387</v>
      </c>
      <c r="D325" s="18" t="s">
        <v>672</v>
      </c>
      <c r="E325" s="26" t="s">
        <v>416</v>
      </c>
      <c r="F325" s="27" t="n">
        <v>1</v>
      </c>
      <c r="G325" s="28" t="n">
        <v>45933</v>
      </c>
      <c r="H325" s="28" t="n">
        <v>45933</v>
      </c>
      <c r="I325" s="18" t="s">
        <v>673</v>
      </c>
      <c r="J325" s="26" t="s">
        <v>416</v>
      </c>
      <c r="K325" s="18" t="s">
        <v>674</v>
      </c>
      <c r="L325" s="27" t="n">
        <v>1</v>
      </c>
      <c r="M325" s="39" t="s">
        <v>413</v>
      </c>
      <c r="N325" s="18" t="s">
        <v>414</v>
      </c>
      <c r="O325" s="27" t="n">
        <v>1</v>
      </c>
      <c r="P325" s="15" t="n">
        <f aca="false">IF(A325="","",IF(O325&lt;&gt;"",O325,IF(L325&lt;&gt;"",L325,F325)))</f>
        <v>1</v>
      </c>
    </row>
    <row r="326" customFormat="false" ht="15" hidden="false" customHeight="true" outlineLevel="0" collapsed="false">
      <c r="A326" s="30" t="s">
        <v>47</v>
      </c>
      <c r="B326" s="30" t="s">
        <v>48</v>
      </c>
      <c r="C326" s="21" t="n">
        <f aca="false">IF(A326="","",IFERROR(VLOOKUP(A326,'Recert Status'!$A$8:$C$400,3,FALSE()),""))</f>
        <v>46752</v>
      </c>
      <c r="D326" s="31" t="s">
        <v>623</v>
      </c>
      <c r="E326" s="30" t="s">
        <v>363</v>
      </c>
      <c r="F326" s="32" t="n">
        <v>0.5</v>
      </c>
      <c r="G326" s="33" t="n">
        <v>45783</v>
      </c>
      <c r="H326" s="33" t="n">
        <v>45783</v>
      </c>
      <c r="I326" s="31" t="s">
        <v>624</v>
      </c>
      <c r="J326" s="30" t="s">
        <v>363</v>
      </c>
      <c r="K326" s="31" t="s">
        <v>365</v>
      </c>
      <c r="L326" s="32" t="n">
        <v>0.5</v>
      </c>
      <c r="M326" s="29" t="s">
        <v>366</v>
      </c>
      <c r="N326" s="31" t="s">
        <v>367</v>
      </c>
      <c r="O326" s="32" t="n">
        <v>0.5</v>
      </c>
      <c r="P326" s="15" t="n">
        <f aca="false">IF(A326="","",IF(O326&lt;&gt;"",O326,IF(L326&lt;&gt;"",L326,F326)))</f>
        <v>0.5</v>
      </c>
    </row>
    <row r="327" customFormat="false" ht="15" hidden="false" customHeight="true" outlineLevel="0" collapsed="false">
      <c r="A327" s="26" t="s">
        <v>47</v>
      </c>
      <c r="B327" s="26" t="s">
        <v>48</v>
      </c>
      <c r="C327" s="14" t="n">
        <f aca="false">IF(A327="","",IFERROR(VLOOKUP(A327,'Recert Status'!$A$8:$C$400,3,FALSE()),""))</f>
        <v>46752</v>
      </c>
      <c r="D327" s="18" t="s">
        <v>824</v>
      </c>
      <c r="E327" s="26" t="s">
        <v>363</v>
      </c>
      <c r="F327" s="27" t="n">
        <v>0.5</v>
      </c>
      <c r="G327" s="28" t="n">
        <v>45810</v>
      </c>
      <c r="H327" s="28" t="n">
        <v>45810</v>
      </c>
      <c r="I327" s="18" t="s">
        <v>825</v>
      </c>
      <c r="J327" s="26" t="s">
        <v>363</v>
      </c>
      <c r="K327" s="18" t="s">
        <v>370</v>
      </c>
      <c r="L327" s="27" t="n">
        <v>0.5</v>
      </c>
      <c r="M327" s="29" t="s">
        <v>366</v>
      </c>
      <c r="N327" s="18" t="s">
        <v>367</v>
      </c>
      <c r="O327" s="27" t="n">
        <v>0.5</v>
      </c>
      <c r="P327" s="15" t="n">
        <f aca="false">IF(A327="","",IF(O327&lt;&gt;"",O327,IF(L327&lt;&gt;"",L327,F327)))</f>
        <v>0.5</v>
      </c>
    </row>
    <row r="328" customFormat="false" ht="15" hidden="false" customHeight="true" outlineLevel="0" collapsed="false">
      <c r="A328" s="30" t="s">
        <v>47</v>
      </c>
      <c r="B328" s="30" t="s">
        <v>48</v>
      </c>
      <c r="C328" s="21" t="n">
        <f aca="false">IF(A328="","",IFERROR(VLOOKUP(A328,'Recert Status'!$A$8:$C$400,3,FALSE()),""))</f>
        <v>46752</v>
      </c>
      <c r="D328" s="31" t="s">
        <v>449</v>
      </c>
      <c r="E328" s="30" t="s">
        <v>363</v>
      </c>
      <c r="F328" s="32" t="n">
        <v>1</v>
      </c>
      <c r="G328" s="33" t="n">
        <v>45813</v>
      </c>
      <c r="H328" s="33" t="n">
        <v>45813</v>
      </c>
      <c r="I328" s="31" t="s">
        <v>826</v>
      </c>
      <c r="J328" s="30" t="s">
        <v>363</v>
      </c>
      <c r="K328" s="31" t="s">
        <v>365</v>
      </c>
      <c r="L328" s="32" t="n">
        <v>1</v>
      </c>
      <c r="M328" s="29" t="s">
        <v>366</v>
      </c>
      <c r="N328" s="31" t="s">
        <v>367</v>
      </c>
      <c r="O328" s="32" t="n">
        <v>1</v>
      </c>
      <c r="P328" s="15" t="n">
        <f aca="false">IF(A328="","",IF(O328&lt;&gt;"",O328,IF(L328&lt;&gt;"",L328,F328)))</f>
        <v>1</v>
      </c>
    </row>
    <row r="329" customFormat="false" ht="15" hidden="false" customHeight="true" outlineLevel="0" collapsed="false">
      <c r="A329" s="26" t="s">
        <v>47</v>
      </c>
      <c r="B329" s="26" t="s">
        <v>48</v>
      </c>
      <c r="C329" s="14" t="n">
        <f aca="false">IF(A329="","",IFERROR(VLOOKUP(A329,'Recert Status'!$A$8:$C$400,3,FALSE()),""))</f>
        <v>46752</v>
      </c>
      <c r="D329" s="18" t="s">
        <v>827</v>
      </c>
      <c r="E329" s="26" t="s">
        <v>389</v>
      </c>
      <c r="F329" s="27" t="n">
        <v>2.5</v>
      </c>
      <c r="G329" s="28" t="n">
        <v>45867</v>
      </c>
      <c r="H329" s="28" t="n">
        <v>45867</v>
      </c>
      <c r="I329" s="18" t="s">
        <v>828</v>
      </c>
      <c r="J329" s="26" t="s">
        <v>389</v>
      </c>
      <c r="K329" s="18" t="s">
        <v>829</v>
      </c>
      <c r="L329" s="27" t="n">
        <v>1.5</v>
      </c>
      <c r="M329" s="29" t="s">
        <v>366</v>
      </c>
      <c r="N329" s="18" t="s">
        <v>830</v>
      </c>
      <c r="O329" s="27" t="n">
        <v>2.5</v>
      </c>
      <c r="P329" s="15" t="n">
        <f aca="false">IF(A329="","",IF(O329&lt;&gt;"",O329,IF(L329&lt;&gt;"",L329,F329)))</f>
        <v>2.5</v>
      </c>
    </row>
    <row r="330" customFormat="false" ht="15" hidden="false" customHeight="true" outlineLevel="0" collapsed="false">
      <c r="A330" s="30" t="s">
        <v>47</v>
      </c>
      <c r="B330" s="30" t="s">
        <v>48</v>
      </c>
      <c r="C330" s="21" t="n">
        <f aca="false">IF(A330="","",IFERROR(VLOOKUP(A330,'Recert Status'!$A$8:$C$400,3,FALSE()),""))</f>
        <v>46752</v>
      </c>
      <c r="D330" s="31" t="s">
        <v>831</v>
      </c>
      <c r="E330" s="30" t="s">
        <v>363</v>
      </c>
      <c r="F330" s="32" t="n">
        <v>1</v>
      </c>
      <c r="G330" s="33" t="n">
        <v>45912</v>
      </c>
      <c r="H330" s="33" t="n">
        <v>45912</v>
      </c>
      <c r="I330" s="31" t="s">
        <v>832</v>
      </c>
      <c r="J330" s="30" t="s">
        <v>363</v>
      </c>
      <c r="K330" s="31" t="s">
        <v>495</v>
      </c>
      <c r="L330" s="32" t="n">
        <v>1</v>
      </c>
      <c r="M330" s="29" t="s">
        <v>366</v>
      </c>
      <c r="N330" s="31" t="s">
        <v>367</v>
      </c>
      <c r="O330" s="32" t="n">
        <v>1</v>
      </c>
      <c r="P330" s="15" t="n">
        <f aca="false">IF(A330="","",IF(O330&lt;&gt;"",O330,IF(L330&lt;&gt;"",L330,F330)))</f>
        <v>1</v>
      </c>
    </row>
    <row r="331" customFormat="false" ht="15" hidden="false" customHeight="true" outlineLevel="0" collapsed="false">
      <c r="A331" s="26" t="s">
        <v>47</v>
      </c>
      <c r="B331" s="26" t="s">
        <v>48</v>
      </c>
      <c r="C331" s="14" t="n">
        <f aca="false">IF(A331="","",IFERROR(VLOOKUP(A331,'Recert Status'!$A$8:$C$400,3,FALSE()),""))</f>
        <v>46752</v>
      </c>
      <c r="D331" s="18" t="s">
        <v>569</v>
      </c>
      <c r="E331" s="26" t="n">
        <v>57433</v>
      </c>
      <c r="F331" s="27" t="n">
        <v>1</v>
      </c>
      <c r="G331" s="28" t="n">
        <v>46017</v>
      </c>
      <c r="H331" s="28" t="n">
        <v>46017</v>
      </c>
      <c r="I331" s="18" t="s">
        <v>570</v>
      </c>
      <c r="J331" s="26" t="s">
        <v>421</v>
      </c>
      <c r="K331" s="18" t="s">
        <v>428</v>
      </c>
      <c r="L331" s="27" t="n">
        <v>1</v>
      </c>
      <c r="M331" s="40" t="s">
        <v>423</v>
      </c>
      <c r="N331" s="18" t="s">
        <v>514</v>
      </c>
      <c r="O331" s="27" t="n">
        <v>1</v>
      </c>
      <c r="P331" s="15" t="n">
        <f aca="false">IF(A331="","",IF(O331&lt;&gt;"",O331,IF(L331&lt;&gt;"",L331,F331)))</f>
        <v>1</v>
      </c>
    </row>
    <row r="332" customFormat="false" ht="15" hidden="false" customHeight="true" outlineLevel="0" collapsed="false">
      <c r="A332" s="30" t="s">
        <v>47</v>
      </c>
      <c r="B332" s="30" t="s">
        <v>48</v>
      </c>
      <c r="C332" s="21" t="n">
        <f aca="false">IF(A332="","",IFERROR(VLOOKUP(A332,'Recert Status'!$A$8:$C$400,3,FALSE()),""))</f>
        <v>46752</v>
      </c>
      <c r="D332" s="31" t="s">
        <v>833</v>
      </c>
      <c r="E332" s="30" t="s">
        <v>426</v>
      </c>
      <c r="F332" s="32" t="n">
        <v>0.5</v>
      </c>
      <c r="G332" s="33" t="n">
        <v>45906</v>
      </c>
      <c r="H332" s="33" t="n">
        <v>45906</v>
      </c>
      <c r="I332" s="31" t="s">
        <v>834</v>
      </c>
      <c r="J332" s="30" t="s">
        <v>426</v>
      </c>
      <c r="K332" s="31" t="s">
        <v>428</v>
      </c>
      <c r="L332" s="32" t="n">
        <v>0.5</v>
      </c>
      <c r="M332" s="41" t="s">
        <v>429</v>
      </c>
      <c r="N332" s="31" t="s">
        <v>430</v>
      </c>
      <c r="O332" s="32" t="n">
        <v>0.5</v>
      </c>
      <c r="P332" s="15" t="n">
        <f aca="false">IF(A332="","",IF(O332&lt;&gt;"",O332,IF(L332&lt;&gt;"",L332,F332)))</f>
        <v>0.5</v>
      </c>
    </row>
    <row r="333" customFormat="false" ht="15" hidden="false" customHeight="true" outlineLevel="0" collapsed="false">
      <c r="A333" s="26" t="s">
        <v>47</v>
      </c>
      <c r="B333" s="26" t="s">
        <v>48</v>
      </c>
      <c r="C333" s="14" t="n">
        <f aca="false">IF(A333="","",IFERROR(VLOOKUP(A333,'Recert Status'!$A$8:$C$400,3,FALSE()),""))</f>
        <v>46752</v>
      </c>
      <c r="D333" s="18" t="s">
        <v>831</v>
      </c>
      <c r="E333" s="26" t="s">
        <v>426</v>
      </c>
      <c r="F333" s="27" t="n">
        <v>1</v>
      </c>
      <c r="G333" s="28" t="n">
        <v>45912</v>
      </c>
      <c r="H333" s="28" t="n">
        <v>45912</v>
      </c>
      <c r="I333" s="18" t="s">
        <v>835</v>
      </c>
      <c r="J333" s="26" t="s">
        <v>426</v>
      </c>
      <c r="K333" s="18" t="s">
        <v>495</v>
      </c>
      <c r="L333" s="27" t="n">
        <v>1</v>
      </c>
      <c r="M333" s="41" t="s">
        <v>429</v>
      </c>
      <c r="N333" s="18" t="s">
        <v>430</v>
      </c>
      <c r="O333" s="27" t="n">
        <v>1</v>
      </c>
      <c r="P333" s="15" t="n">
        <f aca="false">IF(A333="","",IF(O333&lt;&gt;"",O333,IF(L333&lt;&gt;"",L333,F333)))</f>
        <v>1</v>
      </c>
    </row>
    <row r="334" customFormat="false" ht="15" hidden="false" customHeight="true" outlineLevel="0" collapsed="false">
      <c r="A334" s="30" t="s">
        <v>47</v>
      </c>
      <c r="B334" s="30" t="s">
        <v>48</v>
      </c>
      <c r="C334" s="21" t="n">
        <f aca="false">IF(A334="","",IFERROR(VLOOKUP(A334,'Recert Status'!$A$8:$C$400,3,FALSE()),""))</f>
        <v>46752</v>
      </c>
      <c r="D334" s="31" t="s">
        <v>569</v>
      </c>
      <c r="E334" s="30" t="s">
        <v>426</v>
      </c>
      <c r="F334" s="32" t="n">
        <v>0.5</v>
      </c>
      <c r="G334" s="33" t="n">
        <v>45918</v>
      </c>
      <c r="H334" s="33" t="n">
        <v>45918</v>
      </c>
      <c r="I334" s="31" t="s">
        <v>836</v>
      </c>
      <c r="J334" s="30" t="s">
        <v>426</v>
      </c>
      <c r="K334" s="31" t="s">
        <v>428</v>
      </c>
      <c r="L334" s="32" t="n">
        <v>0.5</v>
      </c>
      <c r="M334" s="41" t="s">
        <v>429</v>
      </c>
      <c r="N334" s="31" t="s">
        <v>430</v>
      </c>
      <c r="O334" s="32" t="n">
        <v>0.5</v>
      </c>
      <c r="P334" s="15" t="n">
        <f aca="false">IF(A334="","",IF(O334&lt;&gt;"",O334,IF(L334&lt;&gt;"",L334,F334)))</f>
        <v>0.5</v>
      </c>
    </row>
    <row r="335" customFormat="false" ht="15" hidden="false" customHeight="true" outlineLevel="0" collapsed="false">
      <c r="A335" s="26" t="s">
        <v>47</v>
      </c>
      <c r="B335" s="26" t="s">
        <v>48</v>
      </c>
      <c r="C335" s="14" t="n">
        <f aca="false">IF(A335="","",IFERROR(VLOOKUP(A335,'Recert Status'!$A$8:$C$400,3,FALSE()),""))</f>
        <v>46752</v>
      </c>
      <c r="D335" s="18" t="s">
        <v>837</v>
      </c>
      <c r="E335" s="26" t="s">
        <v>426</v>
      </c>
      <c r="F335" s="27" t="n">
        <v>1.5</v>
      </c>
      <c r="G335" s="28" t="n">
        <v>46008</v>
      </c>
      <c r="H335" s="28" t="n">
        <v>46008</v>
      </c>
      <c r="I335" s="18" t="s">
        <v>838</v>
      </c>
      <c r="J335" s="26" t="s">
        <v>426</v>
      </c>
      <c r="K335" s="18" t="s">
        <v>428</v>
      </c>
      <c r="L335" s="27" t="n">
        <v>1.5</v>
      </c>
      <c r="M335" s="41" t="s">
        <v>429</v>
      </c>
      <c r="N335" s="18" t="s">
        <v>430</v>
      </c>
      <c r="O335" s="27" t="n">
        <v>1.5</v>
      </c>
      <c r="P335" s="15" t="n">
        <f aca="false">IF(A335="","",IF(O335&lt;&gt;"",O335,IF(L335&lt;&gt;"",L335,F335)))</f>
        <v>1.5</v>
      </c>
    </row>
    <row r="336" customFormat="false" ht="15" hidden="false" customHeight="true" outlineLevel="0" collapsed="false">
      <c r="A336" s="30" t="s">
        <v>47</v>
      </c>
      <c r="B336" s="30" t="s">
        <v>48</v>
      </c>
      <c r="C336" s="21" t="n">
        <f aca="false">IF(A336="","",IFERROR(VLOOKUP(A336,'Recert Status'!$A$8:$C$400,3,FALSE()),""))</f>
        <v>46752</v>
      </c>
      <c r="D336" s="31" t="s">
        <v>833</v>
      </c>
      <c r="E336" s="30" t="s">
        <v>426</v>
      </c>
      <c r="F336" s="32" t="n">
        <v>0.5</v>
      </c>
      <c r="G336" s="33" t="n">
        <v>46011</v>
      </c>
      <c r="H336" s="33" t="n">
        <v>46011</v>
      </c>
      <c r="I336" s="31" t="s">
        <v>839</v>
      </c>
      <c r="J336" s="30" t="s">
        <v>426</v>
      </c>
      <c r="K336" s="31" t="s">
        <v>428</v>
      </c>
      <c r="L336" s="32" t="n">
        <v>0.5</v>
      </c>
      <c r="M336" s="41" t="s">
        <v>429</v>
      </c>
      <c r="N336" s="31" t="s">
        <v>430</v>
      </c>
      <c r="O336" s="32" t="n">
        <v>0.5</v>
      </c>
      <c r="P336" s="15" t="n">
        <f aca="false">IF(A336="","",IF(O336&lt;&gt;"",O336,IF(L336&lt;&gt;"",L336,F336)))</f>
        <v>0.5</v>
      </c>
    </row>
    <row r="337" customFormat="false" ht="15" hidden="false" customHeight="true" outlineLevel="0" collapsed="false">
      <c r="A337" s="26" t="s">
        <v>47</v>
      </c>
      <c r="B337" s="26" t="s">
        <v>48</v>
      </c>
      <c r="C337" s="14" t="n">
        <f aca="false">IF(A337="","",IFERROR(VLOOKUP(A337,'Recert Status'!$A$8:$C$400,3,FALSE()),""))</f>
        <v>46752</v>
      </c>
      <c r="D337" s="18" t="s">
        <v>840</v>
      </c>
      <c r="E337" s="26" t="s">
        <v>426</v>
      </c>
      <c r="F337" s="27" t="n">
        <v>0.5</v>
      </c>
      <c r="G337" s="28" t="n">
        <v>46083</v>
      </c>
      <c r="H337" s="28" t="n">
        <v>46083</v>
      </c>
      <c r="I337" s="18" t="s">
        <v>841</v>
      </c>
      <c r="J337" s="26" t="s">
        <v>426</v>
      </c>
      <c r="K337" s="18" t="s">
        <v>428</v>
      </c>
      <c r="L337" s="27" t="n">
        <v>0.5</v>
      </c>
      <c r="M337" s="41" t="s">
        <v>429</v>
      </c>
      <c r="N337" s="18" t="s">
        <v>430</v>
      </c>
      <c r="O337" s="27" t="n">
        <v>0.5</v>
      </c>
      <c r="P337" s="15" t="n">
        <f aca="false">IF(A337="","",IF(O337&lt;&gt;"",O337,IF(L337&lt;&gt;"",L337,F337)))</f>
        <v>0.5</v>
      </c>
    </row>
    <row r="338" customFormat="false" ht="15" hidden="false" customHeight="true" outlineLevel="0" collapsed="false">
      <c r="A338" s="30" t="s">
        <v>47</v>
      </c>
      <c r="B338" s="30" t="s">
        <v>48</v>
      </c>
      <c r="C338" s="21" t="n">
        <f aca="false">IF(A338="","",IFERROR(VLOOKUP(A338,'Recert Status'!$A$8:$C$400,3,FALSE()),""))</f>
        <v>46752</v>
      </c>
      <c r="D338" s="31" t="s">
        <v>842</v>
      </c>
      <c r="E338" s="30" t="s">
        <v>389</v>
      </c>
      <c r="F338" s="32" t="n">
        <v>1</v>
      </c>
      <c r="G338" s="33" t="n">
        <v>45780</v>
      </c>
      <c r="H338" s="33" t="n">
        <v>45780</v>
      </c>
      <c r="I338" s="31" t="s">
        <v>843</v>
      </c>
      <c r="J338" s="30" t="s">
        <v>389</v>
      </c>
      <c r="K338" s="31" t="s">
        <v>735</v>
      </c>
      <c r="L338" s="32" t="n">
        <v>1</v>
      </c>
      <c r="M338" s="35" t="s">
        <v>386</v>
      </c>
      <c r="N338" s="31" t="s">
        <v>387</v>
      </c>
      <c r="O338" s="32" t="n">
        <v>1</v>
      </c>
      <c r="P338" s="15" t="n">
        <f aca="false">IF(A338="","",IF(O338&lt;&gt;"",O338,IF(L338&lt;&gt;"",L338,F338)))</f>
        <v>1</v>
      </c>
    </row>
    <row r="339" customFormat="false" ht="15" hidden="false" customHeight="true" outlineLevel="0" collapsed="false">
      <c r="A339" s="26" t="s">
        <v>47</v>
      </c>
      <c r="B339" s="26" t="s">
        <v>48</v>
      </c>
      <c r="C339" s="14" t="n">
        <f aca="false">IF(A339="","",IFERROR(VLOOKUP(A339,'Recert Status'!$A$8:$C$400,3,FALSE()),""))</f>
        <v>46752</v>
      </c>
      <c r="D339" s="18" t="s">
        <v>449</v>
      </c>
      <c r="E339" s="26" t="s">
        <v>389</v>
      </c>
      <c r="F339" s="27" t="n">
        <v>1</v>
      </c>
      <c r="G339" s="28" t="n">
        <v>45813</v>
      </c>
      <c r="H339" s="28" t="n">
        <v>45813</v>
      </c>
      <c r="I339" s="18" t="s">
        <v>844</v>
      </c>
      <c r="J339" s="26" t="s">
        <v>389</v>
      </c>
      <c r="K339" s="18" t="s">
        <v>845</v>
      </c>
      <c r="L339" s="27" t="n">
        <v>1</v>
      </c>
      <c r="M339" s="35" t="s">
        <v>386</v>
      </c>
      <c r="N339" s="18" t="s">
        <v>387</v>
      </c>
      <c r="O339" s="27" t="n">
        <v>1</v>
      </c>
      <c r="P339" s="15" t="n">
        <f aca="false">IF(A339="","",IF(O339&lt;&gt;"",O339,IF(L339&lt;&gt;"",L339,F339)))</f>
        <v>1</v>
      </c>
    </row>
    <row r="340" customFormat="false" ht="15" hidden="false" customHeight="true" outlineLevel="0" collapsed="false">
      <c r="A340" s="30" t="s">
        <v>47</v>
      </c>
      <c r="B340" s="30" t="s">
        <v>48</v>
      </c>
      <c r="C340" s="21" t="n">
        <f aca="false">IF(A340="","",IFERROR(VLOOKUP(A340,'Recert Status'!$A$8:$C$400,3,FALSE()),""))</f>
        <v>46752</v>
      </c>
      <c r="D340" s="31" t="s">
        <v>827</v>
      </c>
      <c r="E340" s="30" t="s">
        <v>389</v>
      </c>
      <c r="F340" s="32" t="n">
        <v>2.5</v>
      </c>
      <c r="G340" s="33" t="n">
        <v>45867</v>
      </c>
      <c r="H340" s="33" t="n">
        <v>45867</v>
      </c>
      <c r="I340" s="31" t="s">
        <v>828</v>
      </c>
      <c r="J340" s="30" t="s">
        <v>389</v>
      </c>
      <c r="K340" s="31" t="s">
        <v>829</v>
      </c>
      <c r="L340" s="32" t="n">
        <v>1</v>
      </c>
      <c r="M340" s="35" t="s">
        <v>386</v>
      </c>
      <c r="N340" s="31" t="s">
        <v>830</v>
      </c>
      <c r="O340" s="32" t="n">
        <v>2.5</v>
      </c>
      <c r="P340" s="15" t="n">
        <f aca="false">IF(A340="","",IF(O340&lt;&gt;"",O340,IF(L340&lt;&gt;"",L340,F340)))</f>
        <v>2.5</v>
      </c>
    </row>
    <row r="341" customFormat="false" ht="15" hidden="false" customHeight="true" outlineLevel="0" collapsed="false">
      <c r="A341" s="26" t="s">
        <v>47</v>
      </c>
      <c r="B341" s="26" t="s">
        <v>48</v>
      </c>
      <c r="C341" s="14" t="n">
        <f aca="false">IF(A341="","",IFERROR(VLOOKUP(A341,'Recert Status'!$A$8:$C$400,3,FALSE()),""))</f>
        <v>46752</v>
      </c>
      <c r="D341" s="18" t="s">
        <v>573</v>
      </c>
      <c r="E341" s="26" t="s">
        <v>389</v>
      </c>
      <c r="F341" s="27" t="n">
        <v>1</v>
      </c>
      <c r="G341" s="28" t="n">
        <v>45987</v>
      </c>
      <c r="H341" s="28" t="n">
        <v>45987</v>
      </c>
      <c r="I341" s="18" t="s">
        <v>574</v>
      </c>
      <c r="J341" s="26" t="s">
        <v>389</v>
      </c>
      <c r="K341" s="18" t="s">
        <v>451</v>
      </c>
      <c r="L341" s="27" t="n">
        <v>1</v>
      </c>
      <c r="M341" s="35" t="s">
        <v>386</v>
      </c>
      <c r="N341" s="18" t="s">
        <v>387</v>
      </c>
      <c r="O341" s="27" t="n">
        <v>1</v>
      </c>
      <c r="P341" s="15" t="n">
        <f aca="false">IF(A341="","",IF(O341&lt;&gt;"",O341,IF(L341&lt;&gt;"",L341,F341)))</f>
        <v>1</v>
      </c>
    </row>
    <row r="342" customFormat="false" ht="15" hidden="false" customHeight="true" outlineLevel="0" collapsed="false">
      <c r="A342" s="30" t="s">
        <v>47</v>
      </c>
      <c r="B342" s="30" t="s">
        <v>48</v>
      </c>
      <c r="C342" s="21" t="n">
        <f aca="false">IF(A342="","",IFERROR(VLOOKUP(A342,'Recert Status'!$A$8:$C$400,3,FALSE()),""))</f>
        <v>46752</v>
      </c>
      <c r="D342" s="31" t="s">
        <v>387</v>
      </c>
      <c r="E342" s="30" t="s">
        <v>389</v>
      </c>
      <c r="F342" s="32" t="n">
        <v>1</v>
      </c>
      <c r="G342" s="33" t="n">
        <v>46230</v>
      </c>
      <c r="H342" s="33" t="n">
        <v>46230</v>
      </c>
      <c r="I342" s="31" t="s">
        <v>846</v>
      </c>
      <c r="J342" s="30" t="s">
        <v>389</v>
      </c>
      <c r="K342" s="31" t="s">
        <v>451</v>
      </c>
      <c r="L342" s="32" t="n">
        <v>1</v>
      </c>
      <c r="M342" s="35" t="s">
        <v>386</v>
      </c>
      <c r="N342" s="31" t="s">
        <v>387</v>
      </c>
      <c r="O342" s="32" t="n">
        <v>1</v>
      </c>
      <c r="P342" s="15" t="n">
        <f aca="false">IF(A342="","",IF(O342&lt;&gt;"",O342,IF(L342&lt;&gt;"",L342,F342)))</f>
        <v>1</v>
      </c>
    </row>
    <row r="343" customFormat="false" ht="15" hidden="false" customHeight="true" outlineLevel="0" collapsed="false">
      <c r="A343" s="26" t="s">
        <v>47</v>
      </c>
      <c r="B343" s="26" t="s">
        <v>48</v>
      </c>
      <c r="C343" s="14" t="n">
        <f aca="false">IF(A343="","",IFERROR(VLOOKUP(A343,'Recert Status'!$A$8:$C$400,3,FALSE()),""))</f>
        <v>46752</v>
      </c>
      <c r="D343" s="18" t="s">
        <v>847</v>
      </c>
      <c r="E343" s="26" t="s">
        <v>452</v>
      </c>
      <c r="F343" s="27" t="n">
        <v>1</v>
      </c>
      <c r="G343" s="28" t="n">
        <v>45801</v>
      </c>
      <c r="H343" s="28" t="n">
        <v>45801</v>
      </c>
      <c r="I343" s="18" t="s">
        <v>848</v>
      </c>
      <c r="J343" s="26" t="s">
        <v>452</v>
      </c>
      <c r="K343" s="18" t="s">
        <v>385</v>
      </c>
      <c r="L343" s="27" t="n">
        <v>1</v>
      </c>
      <c r="M343" s="36" t="s">
        <v>396</v>
      </c>
      <c r="N343" s="18" t="s">
        <v>397</v>
      </c>
      <c r="O343" s="27" t="n">
        <v>1</v>
      </c>
      <c r="P343" s="15" t="n">
        <f aca="false">IF(A343="","",IF(O343&lt;&gt;"",O343,IF(L343&lt;&gt;"",L343,F343)))</f>
        <v>1</v>
      </c>
    </row>
    <row r="344" customFormat="false" ht="15" hidden="false" customHeight="true" outlineLevel="0" collapsed="false">
      <c r="A344" s="30" t="s">
        <v>47</v>
      </c>
      <c r="B344" s="30" t="s">
        <v>48</v>
      </c>
      <c r="C344" s="21" t="n">
        <f aca="false">IF(A344="","",IFERROR(VLOOKUP(A344,'Recert Status'!$A$8:$C$400,3,FALSE()),""))</f>
        <v>46752</v>
      </c>
      <c r="D344" s="31" t="s">
        <v>849</v>
      </c>
      <c r="E344" s="30" t="s">
        <v>452</v>
      </c>
      <c r="F344" s="32" t="n">
        <v>1</v>
      </c>
      <c r="G344" s="33" t="n">
        <v>45942</v>
      </c>
      <c r="H344" s="33" t="n">
        <v>45942</v>
      </c>
      <c r="I344" s="31" t="s">
        <v>850</v>
      </c>
      <c r="J344" s="30" t="s">
        <v>452</v>
      </c>
      <c r="K344" s="31" t="s">
        <v>385</v>
      </c>
      <c r="L344" s="32" t="n">
        <v>1</v>
      </c>
      <c r="M344" s="36" t="s">
        <v>396</v>
      </c>
      <c r="N344" s="31" t="s">
        <v>397</v>
      </c>
      <c r="O344" s="32" t="n">
        <v>1</v>
      </c>
      <c r="P344" s="15" t="n">
        <f aca="false">IF(A344="","",IF(O344&lt;&gt;"",O344,IF(L344&lt;&gt;"",L344,F344)))</f>
        <v>1</v>
      </c>
    </row>
    <row r="345" customFormat="false" ht="15" hidden="false" customHeight="true" outlineLevel="0" collapsed="false">
      <c r="A345" s="26" t="s">
        <v>47</v>
      </c>
      <c r="B345" s="26" t="s">
        <v>48</v>
      </c>
      <c r="C345" s="14" t="n">
        <f aca="false">IF(A345="","",IFERROR(VLOOKUP(A345,'Recert Status'!$A$8:$C$400,3,FALSE()),""))</f>
        <v>46752</v>
      </c>
      <c r="D345" s="18" t="s">
        <v>849</v>
      </c>
      <c r="E345" s="26" t="s">
        <v>452</v>
      </c>
      <c r="F345" s="27" t="n">
        <v>1</v>
      </c>
      <c r="G345" s="28" t="n">
        <v>45942</v>
      </c>
      <c r="H345" s="28" t="n">
        <v>45942</v>
      </c>
      <c r="I345" s="18" t="s">
        <v>851</v>
      </c>
      <c r="J345" s="26" t="s">
        <v>452</v>
      </c>
      <c r="K345" s="18" t="s">
        <v>385</v>
      </c>
      <c r="L345" s="27" t="n">
        <v>1</v>
      </c>
      <c r="M345" s="36" t="s">
        <v>396</v>
      </c>
      <c r="N345" s="18" t="s">
        <v>397</v>
      </c>
      <c r="O345" s="27" t="n">
        <v>1</v>
      </c>
      <c r="P345" s="15" t="n">
        <f aca="false">IF(A345="","",IF(O345&lt;&gt;"",O345,IF(L345&lt;&gt;"",L345,F345)))</f>
        <v>1</v>
      </c>
    </row>
    <row r="346" customFormat="false" ht="15" hidden="false" customHeight="true" outlineLevel="0" collapsed="false">
      <c r="A346" s="30" t="s">
        <v>47</v>
      </c>
      <c r="B346" s="30" t="s">
        <v>48</v>
      </c>
      <c r="C346" s="21" t="n">
        <f aca="false">IF(A346="","",IFERROR(VLOOKUP(A346,'Recert Status'!$A$8:$C$400,3,FALSE()),""))</f>
        <v>46752</v>
      </c>
      <c r="D346" s="31" t="s">
        <v>852</v>
      </c>
      <c r="E346" s="30" t="s">
        <v>452</v>
      </c>
      <c r="F346" s="32" t="n">
        <v>1</v>
      </c>
      <c r="G346" s="33" t="n">
        <v>46068</v>
      </c>
      <c r="H346" s="33" t="n">
        <v>46068</v>
      </c>
      <c r="I346" s="31" t="s">
        <v>853</v>
      </c>
      <c r="J346" s="30" t="s">
        <v>452</v>
      </c>
      <c r="K346" s="31" t="s">
        <v>385</v>
      </c>
      <c r="L346" s="32" t="n">
        <v>1</v>
      </c>
      <c r="M346" s="36" t="s">
        <v>396</v>
      </c>
      <c r="N346" s="31" t="s">
        <v>397</v>
      </c>
      <c r="O346" s="32" t="n">
        <v>1</v>
      </c>
      <c r="P346" s="15" t="n">
        <f aca="false">IF(A346="","",IF(O346&lt;&gt;"",O346,IF(L346&lt;&gt;"",L346,F346)))</f>
        <v>1</v>
      </c>
    </row>
    <row r="347" customFormat="false" ht="15" hidden="false" customHeight="true" outlineLevel="0" collapsed="false">
      <c r="A347" s="26" t="s">
        <v>47</v>
      </c>
      <c r="B347" s="26" t="s">
        <v>48</v>
      </c>
      <c r="C347" s="14" t="n">
        <f aca="false">IF(A347="","",IFERROR(VLOOKUP(A347,'Recert Status'!$A$8:$C$400,3,FALSE()),""))</f>
        <v>46752</v>
      </c>
      <c r="D347" s="18" t="s">
        <v>854</v>
      </c>
      <c r="E347" s="26" t="s">
        <v>452</v>
      </c>
      <c r="F347" s="27" t="n">
        <v>1</v>
      </c>
      <c r="G347" s="28" t="n">
        <v>46137</v>
      </c>
      <c r="H347" s="28" t="n">
        <v>46137</v>
      </c>
      <c r="I347" s="18" t="s">
        <v>855</v>
      </c>
      <c r="J347" s="26" t="s">
        <v>452</v>
      </c>
      <c r="K347" s="18" t="s">
        <v>385</v>
      </c>
      <c r="L347" s="27" t="n">
        <v>1</v>
      </c>
      <c r="M347" s="36" t="s">
        <v>396</v>
      </c>
      <c r="N347" s="18" t="s">
        <v>397</v>
      </c>
      <c r="O347" s="27" t="n">
        <v>1</v>
      </c>
      <c r="P347" s="15" t="n">
        <f aca="false">IF(A347="","",IF(O347&lt;&gt;"",O347,IF(L347&lt;&gt;"",L347,F347)))</f>
        <v>1</v>
      </c>
    </row>
    <row r="348" customFormat="false" ht="15" hidden="false" customHeight="true" outlineLevel="0" collapsed="false">
      <c r="A348" s="30" t="s">
        <v>47</v>
      </c>
      <c r="B348" s="30" t="s">
        <v>48</v>
      </c>
      <c r="C348" s="21" t="n">
        <f aca="false">IF(A348="","",IFERROR(VLOOKUP(A348,'Recert Status'!$A$8:$C$400,3,FALSE()),""))</f>
        <v>46752</v>
      </c>
      <c r="D348" s="31" t="s">
        <v>856</v>
      </c>
      <c r="E348" s="30" t="s">
        <v>452</v>
      </c>
      <c r="F348" s="32" t="n">
        <v>1</v>
      </c>
      <c r="G348" s="33" t="n">
        <v>46137</v>
      </c>
      <c r="H348" s="33" t="n">
        <v>46137</v>
      </c>
      <c r="I348" s="31" t="s">
        <v>857</v>
      </c>
      <c r="J348" s="30" t="s">
        <v>452</v>
      </c>
      <c r="K348" s="31" t="s">
        <v>385</v>
      </c>
      <c r="L348" s="32" t="n">
        <v>1</v>
      </c>
      <c r="M348" s="36" t="s">
        <v>396</v>
      </c>
      <c r="N348" s="31" t="s">
        <v>397</v>
      </c>
      <c r="O348" s="32" t="n">
        <v>1</v>
      </c>
      <c r="P348" s="15" t="n">
        <f aca="false">IF(A348="","",IF(O348&lt;&gt;"",O348,IF(L348&lt;&gt;"",L348,F348)))</f>
        <v>1</v>
      </c>
    </row>
    <row r="349" customFormat="false" ht="15" hidden="false" customHeight="true" outlineLevel="0" collapsed="false">
      <c r="A349" s="26" t="s">
        <v>47</v>
      </c>
      <c r="B349" s="26" t="s">
        <v>48</v>
      </c>
      <c r="C349" s="14" t="n">
        <f aca="false">IF(A349="","",IFERROR(VLOOKUP(A349,'Recert Status'!$A$8:$C$400,3,FALSE()),""))</f>
        <v>46752</v>
      </c>
      <c r="D349" s="18" t="s">
        <v>858</v>
      </c>
      <c r="E349" s="26" t="s">
        <v>452</v>
      </c>
      <c r="F349" s="27" t="n">
        <v>1.5</v>
      </c>
      <c r="G349" s="28" t="n">
        <v>46170</v>
      </c>
      <c r="H349" s="28" t="n">
        <v>46170</v>
      </c>
      <c r="I349" s="18" t="s">
        <v>859</v>
      </c>
      <c r="J349" s="26" t="s">
        <v>452</v>
      </c>
      <c r="K349" s="18" t="s">
        <v>385</v>
      </c>
      <c r="L349" s="27" t="n">
        <v>1.5</v>
      </c>
      <c r="M349" s="36" t="s">
        <v>396</v>
      </c>
      <c r="N349" s="18" t="s">
        <v>397</v>
      </c>
      <c r="O349" s="27" t="n">
        <v>1.5</v>
      </c>
      <c r="P349" s="15" t="n">
        <f aca="false">IF(A349="","",IF(O349&lt;&gt;"",O349,IF(L349&lt;&gt;"",L349,F349)))</f>
        <v>1.5</v>
      </c>
    </row>
    <row r="350" customFormat="false" ht="15" hidden="false" customHeight="true" outlineLevel="0" collapsed="false">
      <c r="A350" s="30" t="s">
        <v>47</v>
      </c>
      <c r="B350" s="30" t="s">
        <v>48</v>
      </c>
      <c r="C350" s="21" t="n">
        <f aca="false">IF(A350="","",IFERROR(VLOOKUP(A350,'Recert Status'!$A$8:$C$400,3,FALSE()),""))</f>
        <v>46752</v>
      </c>
      <c r="D350" s="31" t="s">
        <v>397</v>
      </c>
      <c r="E350" s="30" t="s">
        <v>452</v>
      </c>
      <c r="F350" s="32" t="n">
        <v>1</v>
      </c>
      <c r="G350" s="33" t="n">
        <v>46245</v>
      </c>
      <c r="H350" s="33" t="n">
        <v>46245</v>
      </c>
      <c r="I350" s="31" t="s">
        <v>605</v>
      </c>
      <c r="J350" s="30" t="s">
        <v>452</v>
      </c>
      <c r="K350" s="31" t="s">
        <v>385</v>
      </c>
      <c r="L350" s="32" t="n">
        <v>1</v>
      </c>
      <c r="M350" s="36" t="s">
        <v>396</v>
      </c>
      <c r="N350" s="31" t="s">
        <v>397</v>
      </c>
      <c r="O350" s="32" t="n">
        <v>1</v>
      </c>
      <c r="P350" s="15" t="n">
        <f aca="false">IF(A350="","",IF(O350&lt;&gt;"",O350,IF(L350&lt;&gt;"",L350,F350)))</f>
        <v>1</v>
      </c>
    </row>
    <row r="351" customFormat="false" ht="15" hidden="false" customHeight="true" outlineLevel="0" collapsed="false">
      <c r="A351" s="26" t="s">
        <v>47</v>
      </c>
      <c r="B351" s="26" t="s">
        <v>48</v>
      </c>
      <c r="C351" s="14" t="n">
        <f aca="false">IF(A351="","",IFERROR(VLOOKUP(A351,'Recert Status'!$A$8:$C$400,3,FALSE()),""))</f>
        <v>46752</v>
      </c>
      <c r="D351" s="18" t="s">
        <v>860</v>
      </c>
      <c r="E351" s="26" t="s">
        <v>399</v>
      </c>
      <c r="F351" s="27" t="n">
        <v>1</v>
      </c>
      <c r="G351" s="28" t="n">
        <v>45672</v>
      </c>
      <c r="H351" s="28" t="n">
        <v>45672</v>
      </c>
      <c r="I351" s="18" t="s">
        <v>861</v>
      </c>
      <c r="J351" s="26" t="s">
        <v>399</v>
      </c>
      <c r="K351" s="18" t="s">
        <v>401</v>
      </c>
      <c r="L351" s="27" t="n">
        <v>1</v>
      </c>
      <c r="M351" s="37" t="s">
        <v>402</v>
      </c>
      <c r="N351" s="18" t="s">
        <v>403</v>
      </c>
      <c r="O351" s="27" t="n">
        <v>1</v>
      </c>
      <c r="P351" s="15" t="n">
        <f aca="false">IF(A351="","",IF(O351&lt;&gt;"",O351,IF(L351&lt;&gt;"",L351,F351)))</f>
        <v>1</v>
      </c>
    </row>
    <row r="352" customFormat="false" ht="15" hidden="false" customHeight="true" outlineLevel="0" collapsed="false">
      <c r="A352" s="30" t="s">
        <v>47</v>
      </c>
      <c r="B352" s="30" t="s">
        <v>48</v>
      </c>
      <c r="C352" s="21" t="n">
        <f aca="false">IF(A352="","",IFERROR(VLOOKUP(A352,'Recert Status'!$A$8:$C$400,3,FALSE()),""))</f>
        <v>46752</v>
      </c>
      <c r="D352" s="31" t="s">
        <v>822</v>
      </c>
      <c r="E352" s="30" t="s">
        <v>416</v>
      </c>
      <c r="F352" s="32" t="n">
        <v>2</v>
      </c>
      <c r="G352" s="33" t="n">
        <v>45861</v>
      </c>
      <c r="H352" s="33" t="n">
        <v>45861</v>
      </c>
      <c r="I352" s="31" t="s">
        <v>823</v>
      </c>
      <c r="J352" s="30" t="s">
        <v>416</v>
      </c>
      <c r="K352" s="31" t="s">
        <v>523</v>
      </c>
      <c r="L352" s="32" t="n">
        <v>2</v>
      </c>
      <c r="M352" s="39" t="s">
        <v>413</v>
      </c>
      <c r="N352" s="31" t="s">
        <v>414</v>
      </c>
      <c r="O352" s="32" t="n">
        <v>2</v>
      </c>
      <c r="P352" s="15" t="n">
        <f aca="false">IF(A352="","",IF(O352&lt;&gt;"",O352,IF(L352&lt;&gt;"",L352,F352)))</f>
        <v>2</v>
      </c>
    </row>
    <row r="353" customFormat="false" ht="15" hidden="false" customHeight="true" outlineLevel="0" collapsed="false">
      <c r="A353" s="26" t="s">
        <v>47</v>
      </c>
      <c r="B353" s="26" t="s">
        <v>48</v>
      </c>
      <c r="C353" s="14" t="n">
        <f aca="false">IF(A353="","",IFERROR(VLOOKUP(A353,'Recert Status'!$A$8:$C$400,3,FALSE()),""))</f>
        <v>46752</v>
      </c>
      <c r="D353" s="18" t="s">
        <v>672</v>
      </c>
      <c r="E353" s="26" t="s">
        <v>416</v>
      </c>
      <c r="F353" s="27" t="n">
        <v>1</v>
      </c>
      <c r="G353" s="28" t="n">
        <v>45987</v>
      </c>
      <c r="H353" s="28" t="n">
        <v>45987</v>
      </c>
      <c r="I353" s="18" t="s">
        <v>862</v>
      </c>
      <c r="J353" s="26" t="s">
        <v>416</v>
      </c>
      <c r="K353" s="18" t="s">
        <v>674</v>
      </c>
      <c r="L353" s="27" t="n">
        <v>1</v>
      </c>
      <c r="M353" s="39" t="s">
        <v>413</v>
      </c>
      <c r="N353" s="18" t="s">
        <v>414</v>
      </c>
      <c r="O353" s="27" t="n">
        <v>1</v>
      </c>
      <c r="P353" s="15" t="n">
        <f aca="false">IF(A353="","",IF(O353&lt;&gt;"",O353,IF(L353&lt;&gt;"",L353,F353)))</f>
        <v>1</v>
      </c>
    </row>
    <row r="354" customFormat="false" ht="15" hidden="false" customHeight="true" outlineLevel="0" collapsed="false">
      <c r="A354" s="30" t="s">
        <v>47</v>
      </c>
      <c r="B354" s="30" t="s">
        <v>48</v>
      </c>
      <c r="C354" s="21" t="n">
        <f aca="false">IF(A354="","",IFERROR(VLOOKUP(A354,'Recert Status'!$A$8:$C$400,3,FALSE()),""))</f>
        <v>46752</v>
      </c>
      <c r="D354" s="31" t="s">
        <v>672</v>
      </c>
      <c r="E354" s="30" t="s">
        <v>416</v>
      </c>
      <c r="F354" s="32" t="n">
        <v>0.75</v>
      </c>
      <c r="G354" s="33" t="n">
        <v>45990</v>
      </c>
      <c r="H354" s="33" t="n">
        <v>45990</v>
      </c>
      <c r="I354" s="31" t="s">
        <v>863</v>
      </c>
      <c r="J354" s="30" t="s">
        <v>416</v>
      </c>
      <c r="K354" s="31" t="s">
        <v>674</v>
      </c>
      <c r="L354" s="32" t="n">
        <v>0.75</v>
      </c>
      <c r="M354" s="39" t="s">
        <v>413</v>
      </c>
      <c r="N354" s="31" t="s">
        <v>414</v>
      </c>
      <c r="O354" s="32" t="n">
        <v>0.75</v>
      </c>
      <c r="P354" s="15" t="n">
        <f aca="false">IF(A354="","",IF(O354&lt;&gt;"",O354,IF(L354&lt;&gt;"",L354,F354)))</f>
        <v>0.75</v>
      </c>
    </row>
    <row r="355" customFormat="false" ht="15" hidden="false" customHeight="true" outlineLevel="0" collapsed="false">
      <c r="A355" s="26" t="s">
        <v>47</v>
      </c>
      <c r="B355" s="26" t="s">
        <v>48</v>
      </c>
      <c r="C355" s="14" t="n">
        <f aca="false">IF(A355="","",IFERROR(VLOOKUP(A355,'Recert Status'!$A$8:$C$400,3,FALSE()),""))</f>
        <v>46752</v>
      </c>
      <c r="D355" s="18" t="s">
        <v>717</v>
      </c>
      <c r="E355" s="26" t="s">
        <v>416</v>
      </c>
      <c r="F355" s="27" t="n">
        <v>3</v>
      </c>
      <c r="G355" s="28" t="n">
        <v>46083</v>
      </c>
      <c r="H355" s="28" t="n">
        <v>46083</v>
      </c>
      <c r="I355" s="18" t="s">
        <v>864</v>
      </c>
      <c r="J355" s="26" t="s">
        <v>416</v>
      </c>
      <c r="K355" s="18" t="s">
        <v>523</v>
      </c>
      <c r="L355" s="27" t="n">
        <v>3</v>
      </c>
      <c r="M355" s="39" t="s">
        <v>413</v>
      </c>
      <c r="N355" s="18" t="s">
        <v>414</v>
      </c>
      <c r="O355" s="27" t="n">
        <v>3</v>
      </c>
      <c r="P355" s="15" t="n">
        <f aca="false">IF(A355="","",IF(O355&lt;&gt;"",O355,IF(L355&lt;&gt;"",L355,F355)))</f>
        <v>3</v>
      </c>
    </row>
    <row r="356" customFormat="false" ht="15" hidden="false" customHeight="true" outlineLevel="0" collapsed="false">
      <c r="A356" s="30" t="s">
        <v>47</v>
      </c>
      <c r="B356" s="30" t="s">
        <v>48</v>
      </c>
      <c r="C356" s="21" t="n">
        <f aca="false">IF(A356="","",IFERROR(VLOOKUP(A356,'Recert Status'!$A$8:$C$400,3,FALSE()),""))</f>
        <v>46752</v>
      </c>
      <c r="D356" s="31" t="s">
        <v>488</v>
      </c>
      <c r="E356" s="30" t="s">
        <v>416</v>
      </c>
      <c r="F356" s="32" t="n">
        <v>1</v>
      </c>
      <c r="G356" s="33" t="n">
        <v>46128</v>
      </c>
      <c r="H356" s="33" t="n">
        <v>46128</v>
      </c>
      <c r="I356" s="31" t="s">
        <v>609</v>
      </c>
      <c r="J356" s="30" t="s">
        <v>416</v>
      </c>
      <c r="K356" s="31" t="s">
        <v>490</v>
      </c>
      <c r="L356" s="32" t="n">
        <v>1</v>
      </c>
      <c r="M356" s="39" t="s">
        <v>413</v>
      </c>
      <c r="N356" s="31" t="s">
        <v>414</v>
      </c>
      <c r="O356" s="32" t="n">
        <v>1</v>
      </c>
      <c r="P356" s="15" t="n">
        <f aca="false">IF(A356="","",IF(O356&lt;&gt;"",O356,IF(L356&lt;&gt;"",L356,F356)))</f>
        <v>1</v>
      </c>
    </row>
    <row r="357" customFormat="false" ht="15" hidden="false" customHeight="true" outlineLevel="0" collapsed="false">
      <c r="A357" s="26" t="s">
        <v>47</v>
      </c>
      <c r="B357" s="26" t="s">
        <v>48</v>
      </c>
      <c r="C357" s="14" t="n">
        <f aca="false">IF(A357="","",IFERROR(VLOOKUP(A357,'Recert Status'!$A$8:$C$400,3,FALSE()),""))</f>
        <v>46752</v>
      </c>
      <c r="D357" s="18" t="s">
        <v>414</v>
      </c>
      <c r="E357" s="26" t="s">
        <v>416</v>
      </c>
      <c r="F357" s="27" t="n">
        <v>2</v>
      </c>
      <c r="G357" s="28" t="n">
        <v>46218</v>
      </c>
      <c r="H357" s="28" t="n">
        <v>46218</v>
      </c>
      <c r="I357" s="18" t="s">
        <v>535</v>
      </c>
      <c r="J357" s="26" t="s">
        <v>416</v>
      </c>
      <c r="K357" s="18" t="s">
        <v>418</v>
      </c>
      <c r="L357" s="27" t="n">
        <v>2</v>
      </c>
      <c r="M357" s="39" t="s">
        <v>413</v>
      </c>
      <c r="N357" s="18" t="s">
        <v>414</v>
      </c>
      <c r="O357" s="27" t="n">
        <v>2</v>
      </c>
      <c r="P357" s="15" t="n">
        <f aca="false">IF(A357="","",IF(O357&lt;&gt;"",O357,IF(L357&lt;&gt;"",L357,F357)))</f>
        <v>2</v>
      </c>
    </row>
    <row r="358" customFormat="false" ht="15" hidden="false" customHeight="true" outlineLevel="0" collapsed="false">
      <c r="A358" s="30" t="s">
        <v>49</v>
      </c>
      <c r="B358" s="30" t="s">
        <v>50</v>
      </c>
      <c r="C358" s="21" t="n">
        <f aca="false">IF(A358="","",IFERROR(VLOOKUP(A358,'Recert Status'!$A$8:$C$400,3,FALSE()),""))</f>
        <v>46387</v>
      </c>
      <c r="D358" s="31" t="s">
        <v>623</v>
      </c>
      <c r="E358" s="30" t="s">
        <v>363</v>
      </c>
      <c r="F358" s="32" t="n">
        <v>0.5</v>
      </c>
      <c r="G358" s="33" t="n">
        <v>45783</v>
      </c>
      <c r="H358" s="33" t="n">
        <v>45783</v>
      </c>
      <c r="I358" s="31" t="s">
        <v>624</v>
      </c>
      <c r="J358" s="30" t="s">
        <v>363</v>
      </c>
      <c r="K358" s="31" t="s">
        <v>365</v>
      </c>
      <c r="L358" s="32" t="n">
        <v>0.5</v>
      </c>
      <c r="M358" s="29" t="s">
        <v>366</v>
      </c>
      <c r="N358" s="31" t="s">
        <v>367</v>
      </c>
      <c r="O358" s="32" t="n">
        <v>0.5</v>
      </c>
      <c r="P358" s="15" t="n">
        <f aca="false">IF(A358="","",IF(O358&lt;&gt;"",O358,IF(L358&lt;&gt;"",L358,F358)))</f>
        <v>0.5</v>
      </c>
    </row>
    <row r="359" customFormat="false" ht="15" hidden="false" customHeight="true" outlineLevel="0" collapsed="false">
      <c r="A359" s="26" t="s">
        <v>49</v>
      </c>
      <c r="B359" s="26" t="s">
        <v>50</v>
      </c>
      <c r="C359" s="14" t="n">
        <f aca="false">IF(A359="","",IFERROR(VLOOKUP(A359,'Recert Status'!$A$8:$C$400,3,FALSE()),""))</f>
        <v>46387</v>
      </c>
      <c r="D359" s="18" t="s">
        <v>827</v>
      </c>
      <c r="E359" s="26" t="s">
        <v>389</v>
      </c>
      <c r="F359" s="27" t="n">
        <v>2.5</v>
      </c>
      <c r="G359" s="28" t="n">
        <v>45867</v>
      </c>
      <c r="H359" s="28" t="n">
        <v>45867</v>
      </c>
      <c r="I359" s="18" t="s">
        <v>828</v>
      </c>
      <c r="J359" s="26" t="s">
        <v>389</v>
      </c>
      <c r="K359" s="18" t="s">
        <v>829</v>
      </c>
      <c r="L359" s="27" t="n">
        <v>1.5</v>
      </c>
      <c r="M359" s="29" t="s">
        <v>366</v>
      </c>
      <c r="N359" s="18" t="s">
        <v>830</v>
      </c>
      <c r="O359" s="27" t="n">
        <v>2.5</v>
      </c>
      <c r="P359" s="15" t="n">
        <f aca="false">IF(A359="","",IF(O359&lt;&gt;"",O359,IF(L359&lt;&gt;"",L359,F359)))</f>
        <v>2.5</v>
      </c>
    </row>
    <row r="360" customFormat="false" ht="15" hidden="false" customHeight="true" outlineLevel="0" collapsed="false">
      <c r="A360" s="30" t="s">
        <v>49</v>
      </c>
      <c r="B360" s="30" t="s">
        <v>50</v>
      </c>
      <c r="C360" s="21" t="n">
        <f aca="false">IF(A360="","",IFERROR(VLOOKUP(A360,'Recert Status'!$A$8:$C$400,3,FALSE()),""))</f>
        <v>46387</v>
      </c>
      <c r="D360" s="31" t="s">
        <v>831</v>
      </c>
      <c r="E360" s="30" t="s">
        <v>363</v>
      </c>
      <c r="F360" s="32" t="n">
        <v>1</v>
      </c>
      <c r="G360" s="33" t="n">
        <v>45912</v>
      </c>
      <c r="H360" s="33" t="n">
        <v>45912</v>
      </c>
      <c r="I360" s="31" t="s">
        <v>832</v>
      </c>
      <c r="J360" s="30" t="s">
        <v>363</v>
      </c>
      <c r="K360" s="31" t="s">
        <v>495</v>
      </c>
      <c r="L360" s="32" t="n">
        <v>1</v>
      </c>
      <c r="M360" s="29" t="s">
        <v>366</v>
      </c>
      <c r="N360" s="31" t="s">
        <v>367</v>
      </c>
      <c r="O360" s="32" t="n">
        <v>1</v>
      </c>
      <c r="P360" s="15" t="n">
        <f aca="false">IF(A360="","",IF(O360&lt;&gt;"",O360,IF(L360&lt;&gt;"",L360,F360)))</f>
        <v>1</v>
      </c>
    </row>
    <row r="361" customFormat="false" ht="15" hidden="false" customHeight="true" outlineLevel="0" collapsed="false">
      <c r="A361" s="26" t="s">
        <v>49</v>
      </c>
      <c r="B361" s="26" t="s">
        <v>50</v>
      </c>
      <c r="C361" s="14" t="n">
        <f aca="false">IF(A361="","",IFERROR(VLOOKUP(A361,'Recert Status'!$A$8:$C$400,3,FALSE()),""))</f>
        <v>46387</v>
      </c>
      <c r="D361" s="18" t="s">
        <v>632</v>
      </c>
      <c r="E361" s="26" t="n">
        <v>29675</v>
      </c>
      <c r="F361" s="27" t="n">
        <v>0.5</v>
      </c>
      <c r="G361" s="28" t="n">
        <v>45855</v>
      </c>
      <c r="H361" s="28" t="n">
        <v>45855</v>
      </c>
      <c r="I361" s="18" t="s">
        <v>633</v>
      </c>
      <c r="J361" s="26" t="s">
        <v>406</v>
      </c>
      <c r="K361" s="18" t="s">
        <v>422</v>
      </c>
      <c r="L361" s="27" t="n">
        <v>0.5</v>
      </c>
      <c r="M361" s="40" t="s">
        <v>423</v>
      </c>
      <c r="N361" s="18" t="s">
        <v>424</v>
      </c>
      <c r="O361" s="27" t="n">
        <v>0.5</v>
      </c>
      <c r="P361" s="15" t="n">
        <f aca="false">IF(A361="","",IF(O361&lt;&gt;"",O361,IF(L361&lt;&gt;"",L361,F361)))</f>
        <v>0.5</v>
      </c>
    </row>
    <row r="362" customFormat="false" ht="15" hidden="false" customHeight="true" outlineLevel="0" collapsed="false">
      <c r="A362" s="30" t="s">
        <v>49</v>
      </c>
      <c r="B362" s="30" t="s">
        <v>50</v>
      </c>
      <c r="C362" s="21" t="n">
        <f aca="false">IF(A362="","",IFERROR(VLOOKUP(A362,'Recert Status'!$A$8:$C$400,3,FALSE()),""))</f>
        <v>46387</v>
      </c>
      <c r="D362" s="31" t="s">
        <v>865</v>
      </c>
      <c r="E362" s="30" t="s">
        <v>542</v>
      </c>
      <c r="F362" s="32" t="n">
        <v>1</v>
      </c>
      <c r="G362" s="33" t="n">
        <v>46056</v>
      </c>
      <c r="H362" s="33" t="n">
        <v>46056</v>
      </c>
      <c r="I362" s="31" t="s">
        <v>866</v>
      </c>
      <c r="J362" s="30" t="s">
        <v>542</v>
      </c>
      <c r="K362" s="31" t="s">
        <v>422</v>
      </c>
      <c r="L362" s="32" t="n">
        <v>1</v>
      </c>
      <c r="M362" s="40" t="s">
        <v>423</v>
      </c>
      <c r="N362" s="31" t="s">
        <v>424</v>
      </c>
      <c r="O362" s="32" t="n">
        <v>1</v>
      </c>
      <c r="P362" s="15" t="n">
        <f aca="false">IF(A362="","",IF(O362&lt;&gt;"",O362,IF(L362&lt;&gt;"",L362,F362)))</f>
        <v>1</v>
      </c>
    </row>
    <row r="363" customFormat="false" ht="15" hidden="false" customHeight="true" outlineLevel="0" collapsed="false">
      <c r="A363" s="26" t="s">
        <v>49</v>
      </c>
      <c r="B363" s="26" t="s">
        <v>50</v>
      </c>
      <c r="C363" s="14" t="n">
        <f aca="false">IF(A363="","",IFERROR(VLOOKUP(A363,'Recert Status'!$A$8:$C$400,3,FALSE()),""))</f>
        <v>46387</v>
      </c>
      <c r="D363" s="18" t="s">
        <v>833</v>
      </c>
      <c r="E363" s="26" t="s">
        <v>426</v>
      </c>
      <c r="F363" s="27" t="n">
        <v>0.5</v>
      </c>
      <c r="G363" s="28" t="n">
        <v>45906</v>
      </c>
      <c r="H363" s="28" t="n">
        <v>45906</v>
      </c>
      <c r="I363" s="18" t="s">
        <v>834</v>
      </c>
      <c r="J363" s="26" t="s">
        <v>426</v>
      </c>
      <c r="K363" s="18" t="s">
        <v>428</v>
      </c>
      <c r="L363" s="27" t="n">
        <v>0.5</v>
      </c>
      <c r="M363" s="41" t="s">
        <v>429</v>
      </c>
      <c r="N363" s="18" t="s">
        <v>430</v>
      </c>
      <c r="O363" s="27" t="n">
        <v>0.5</v>
      </c>
      <c r="P363" s="15" t="n">
        <f aca="false">IF(A363="","",IF(O363&lt;&gt;"",O363,IF(L363&lt;&gt;"",L363,F363)))</f>
        <v>0.5</v>
      </c>
    </row>
    <row r="364" customFormat="false" ht="15" hidden="false" customHeight="true" outlineLevel="0" collapsed="false">
      <c r="A364" s="30" t="s">
        <v>49</v>
      </c>
      <c r="B364" s="30" t="s">
        <v>50</v>
      </c>
      <c r="C364" s="21" t="n">
        <f aca="false">IF(A364="","",IFERROR(VLOOKUP(A364,'Recert Status'!$A$8:$C$400,3,FALSE()),""))</f>
        <v>46387</v>
      </c>
      <c r="D364" s="31" t="s">
        <v>831</v>
      </c>
      <c r="E364" s="30" t="s">
        <v>426</v>
      </c>
      <c r="F364" s="32" t="n">
        <v>1</v>
      </c>
      <c r="G364" s="33" t="n">
        <v>45912</v>
      </c>
      <c r="H364" s="33" t="n">
        <v>45912</v>
      </c>
      <c r="I364" s="31" t="s">
        <v>835</v>
      </c>
      <c r="J364" s="30" t="s">
        <v>426</v>
      </c>
      <c r="K364" s="31" t="s">
        <v>495</v>
      </c>
      <c r="L364" s="32" t="n">
        <v>1</v>
      </c>
      <c r="M364" s="41" t="s">
        <v>429</v>
      </c>
      <c r="N364" s="31" t="s">
        <v>430</v>
      </c>
      <c r="O364" s="32" t="n">
        <v>1</v>
      </c>
      <c r="P364" s="15" t="n">
        <f aca="false">IF(A364="","",IF(O364&lt;&gt;"",O364,IF(L364&lt;&gt;"",L364,F364)))</f>
        <v>1</v>
      </c>
    </row>
    <row r="365" customFormat="false" ht="15" hidden="false" customHeight="true" outlineLevel="0" collapsed="false">
      <c r="A365" s="26" t="s">
        <v>49</v>
      </c>
      <c r="B365" s="26" t="s">
        <v>50</v>
      </c>
      <c r="C365" s="14" t="n">
        <f aca="false">IF(A365="","",IFERROR(VLOOKUP(A365,'Recert Status'!$A$8:$C$400,3,FALSE()),""))</f>
        <v>46387</v>
      </c>
      <c r="D365" s="18" t="s">
        <v>569</v>
      </c>
      <c r="E365" s="26" t="s">
        <v>426</v>
      </c>
      <c r="F365" s="27" t="n">
        <v>0.5</v>
      </c>
      <c r="G365" s="28" t="n">
        <v>45918</v>
      </c>
      <c r="H365" s="28" t="n">
        <v>45918</v>
      </c>
      <c r="I365" s="18" t="s">
        <v>836</v>
      </c>
      <c r="J365" s="26" t="s">
        <v>426</v>
      </c>
      <c r="K365" s="18" t="s">
        <v>428</v>
      </c>
      <c r="L365" s="27" t="n">
        <v>0.5</v>
      </c>
      <c r="M365" s="41" t="s">
        <v>429</v>
      </c>
      <c r="N365" s="18" t="s">
        <v>430</v>
      </c>
      <c r="O365" s="27" t="n">
        <v>0.5</v>
      </c>
      <c r="P365" s="15" t="n">
        <f aca="false">IF(A365="","",IF(O365&lt;&gt;"",O365,IF(L365&lt;&gt;"",L365,F365)))</f>
        <v>0.5</v>
      </c>
    </row>
    <row r="366" customFormat="false" ht="15" hidden="false" customHeight="true" outlineLevel="0" collapsed="false">
      <c r="A366" s="30" t="s">
        <v>49</v>
      </c>
      <c r="B366" s="30" t="s">
        <v>50</v>
      </c>
      <c r="C366" s="21" t="n">
        <f aca="false">IF(A366="","",IFERROR(VLOOKUP(A366,'Recert Status'!$A$8:$C$400,3,FALSE()),""))</f>
        <v>46387</v>
      </c>
      <c r="D366" s="31" t="s">
        <v>833</v>
      </c>
      <c r="E366" s="30" t="s">
        <v>426</v>
      </c>
      <c r="F366" s="32" t="n">
        <v>0.5</v>
      </c>
      <c r="G366" s="33" t="n">
        <v>46011</v>
      </c>
      <c r="H366" s="33" t="n">
        <v>46011</v>
      </c>
      <c r="I366" s="31" t="s">
        <v>839</v>
      </c>
      <c r="J366" s="30" t="s">
        <v>426</v>
      </c>
      <c r="K366" s="31" t="s">
        <v>428</v>
      </c>
      <c r="L366" s="32" t="n">
        <v>0.5</v>
      </c>
      <c r="M366" s="41" t="s">
        <v>429</v>
      </c>
      <c r="N366" s="31" t="s">
        <v>430</v>
      </c>
      <c r="O366" s="32" t="n">
        <v>0.5</v>
      </c>
      <c r="P366" s="15" t="n">
        <f aca="false">IF(A366="","",IF(O366&lt;&gt;"",O366,IF(L366&lt;&gt;"",L366,F366)))</f>
        <v>0.5</v>
      </c>
    </row>
    <row r="367" customFormat="false" ht="15" hidden="false" customHeight="true" outlineLevel="0" collapsed="false">
      <c r="A367" s="26" t="s">
        <v>49</v>
      </c>
      <c r="B367" s="26" t="s">
        <v>50</v>
      </c>
      <c r="C367" s="14" t="n">
        <f aca="false">IF(A367="","",IFERROR(VLOOKUP(A367,'Recert Status'!$A$8:$C$400,3,FALSE()),""))</f>
        <v>46387</v>
      </c>
      <c r="D367" s="18" t="s">
        <v>764</v>
      </c>
      <c r="E367" s="26" t="s">
        <v>372</v>
      </c>
      <c r="F367" s="27" t="n">
        <v>1</v>
      </c>
      <c r="G367" s="28" t="n">
        <v>46038</v>
      </c>
      <c r="H367" s="28" t="n">
        <v>46038</v>
      </c>
      <c r="I367" s="18" t="s">
        <v>867</v>
      </c>
      <c r="J367" s="26" t="s">
        <v>372</v>
      </c>
      <c r="K367" s="18" t="s">
        <v>374</v>
      </c>
      <c r="L367" s="27" t="n">
        <v>1</v>
      </c>
      <c r="M367" s="34" t="s">
        <v>375</v>
      </c>
      <c r="N367" s="18" t="s">
        <v>376</v>
      </c>
      <c r="O367" s="27" t="n">
        <v>1</v>
      </c>
      <c r="P367" s="15" t="n">
        <f aca="false">IF(A367="","",IF(O367&lt;&gt;"",O367,IF(L367&lt;&gt;"",L367,F367)))</f>
        <v>1</v>
      </c>
    </row>
    <row r="368" customFormat="false" ht="15" hidden="false" customHeight="true" outlineLevel="0" collapsed="false">
      <c r="A368" s="30" t="s">
        <v>49</v>
      </c>
      <c r="B368" s="30" t="s">
        <v>50</v>
      </c>
      <c r="C368" s="21" t="n">
        <f aca="false">IF(A368="","",IFERROR(VLOOKUP(A368,'Recert Status'!$A$8:$C$400,3,FALSE()),""))</f>
        <v>46387</v>
      </c>
      <c r="D368" s="31" t="s">
        <v>827</v>
      </c>
      <c r="E368" s="30" t="s">
        <v>389</v>
      </c>
      <c r="F368" s="32" t="n">
        <v>2.5</v>
      </c>
      <c r="G368" s="33" t="n">
        <v>45867</v>
      </c>
      <c r="H368" s="33" t="n">
        <v>45867</v>
      </c>
      <c r="I368" s="31" t="s">
        <v>828</v>
      </c>
      <c r="J368" s="30" t="s">
        <v>389</v>
      </c>
      <c r="K368" s="31" t="s">
        <v>829</v>
      </c>
      <c r="L368" s="32" t="n">
        <v>1</v>
      </c>
      <c r="M368" s="35" t="s">
        <v>386</v>
      </c>
      <c r="N368" s="31" t="s">
        <v>830</v>
      </c>
      <c r="O368" s="32" t="n">
        <v>2.5</v>
      </c>
      <c r="P368" s="15" t="n">
        <f aca="false">IF(A368="","",IF(O368&lt;&gt;"",O368,IF(L368&lt;&gt;"",L368,F368)))</f>
        <v>2.5</v>
      </c>
    </row>
    <row r="369" customFormat="false" ht="15" hidden="false" customHeight="true" outlineLevel="0" collapsed="false">
      <c r="A369" s="26" t="s">
        <v>49</v>
      </c>
      <c r="B369" s="26" t="s">
        <v>50</v>
      </c>
      <c r="C369" s="14" t="n">
        <f aca="false">IF(A369="","",IFERROR(VLOOKUP(A369,'Recert Status'!$A$8:$C$400,3,FALSE()),""))</f>
        <v>46387</v>
      </c>
      <c r="D369" s="18" t="s">
        <v>732</v>
      </c>
      <c r="E369" s="26" t="n">
        <v>29740</v>
      </c>
      <c r="F369" s="27" t="n">
        <v>1</v>
      </c>
      <c r="G369" s="28" t="n">
        <v>46140</v>
      </c>
      <c r="H369" s="28" t="n">
        <v>46140</v>
      </c>
      <c r="I369" s="18" t="s">
        <v>868</v>
      </c>
      <c r="J369" s="26" t="s">
        <v>394</v>
      </c>
      <c r="K369" s="18" t="s">
        <v>869</v>
      </c>
      <c r="L369" s="27" t="n">
        <v>1</v>
      </c>
      <c r="M369" s="35" t="s">
        <v>386</v>
      </c>
      <c r="N369" s="18" t="s">
        <v>387</v>
      </c>
      <c r="O369" s="27" t="n">
        <v>1</v>
      </c>
      <c r="P369" s="15" t="n">
        <f aca="false">IF(A369="","",IF(O369&lt;&gt;"",O369,IF(L369&lt;&gt;"",L369,F369)))</f>
        <v>1</v>
      </c>
    </row>
    <row r="370" customFormat="false" ht="15" hidden="false" customHeight="true" outlineLevel="0" collapsed="false">
      <c r="A370" s="30" t="s">
        <v>49</v>
      </c>
      <c r="B370" s="30" t="s">
        <v>50</v>
      </c>
      <c r="C370" s="21" t="n">
        <f aca="false">IF(A370="","",IFERROR(VLOOKUP(A370,'Recert Status'!$A$8:$C$400,3,FALSE()),""))</f>
        <v>46387</v>
      </c>
      <c r="D370" s="31" t="s">
        <v>387</v>
      </c>
      <c r="E370" s="30" t="s">
        <v>389</v>
      </c>
      <c r="F370" s="32" t="n">
        <v>1</v>
      </c>
      <c r="G370" s="33" t="n">
        <v>46230</v>
      </c>
      <c r="H370" s="33" t="n">
        <v>46230</v>
      </c>
      <c r="I370" s="31" t="s">
        <v>846</v>
      </c>
      <c r="J370" s="30" t="s">
        <v>389</v>
      </c>
      <c r="K370" s="31" t="s">
        <v>451</v>
      </c>
      <c r="L370" s="32" t="n">
        <v>1</v>
      </c>
      <c r="M370" s="35" t="s">
        <v>386</v>
      </c>
      <c r="N370" s="31" t="s">
        <v>387</v>
      </c>
      <c r="O370" s="32" t="n">
        <v>1</v>
      </c>
      <c r="P370" s="15" t="n">
        <f aca="false">IF(A370="","",IF(O370&lt;&gt;"",O370,IF(L370&lt;&gt;"",L370,F370)))</f>
        <v>1</v>
      </c>
    </row>
    <row r="371" customFormat="false" ht="15" hidden="false" customHeight="true" outlineLevel="0" collapsed="false">
      <c r="A371" s="26" t="s">
        <v>49</v>
      </c>
      <c r="B371" s="26" t="s">
        <v>50</v>
      </c>
      <c r="C371" s="14" t="n">
        <f aca="false">IF(A371="","",IFERROR(VLOOKUP(A371,'Recert Status'!$A$8:$C$400,3,FALSE()),""))</f>
        <v>46387</v>
      </c>
      <c r="D371" s="18" t="s">
        <v>847</v>
      </c>
      <c r="E371" s="26" t="s">
        <v>452</v>
      </c>
      <c r="F371" s="27" t="n">
        <v>1</v>
      </c>
      <c r="G371" s="28" t="n">
        <v>45801</v>
      </c>
      <c r="H371" s="28" t="n">
        <v>45801</v>
      </c>
      <c r="I371" s="18" t="s">
        <v>848</v>
      </c>
      <c r="J371" s="26" t="s">
        <v>452</v>
      </c>
      <c r="K371" s="18" t="s">
        <v>385</v>
      </c>
      <c r="L371" s="27" t="n">
        <v>1</v>
      </c>
      <c r="M371" s="36" t="s">
        <v>396</v>
      </c>
      <c r="N371" s="18" t="s">
        <v>397</v>
      </c>
      <c r="O371" s="27" t="n">
        <v>1</v>
      </c>
      <c r="P371" s="15" t="n">
        <f aca="false">IF(A371="","",IF(O371&lt;&gt;"",O371,IF(L371&lt;&gt;"",L371,F371)))</f>
        <v>1</v>
      </c>
    </row>
    <row r="372" customFormat="false" ht="15" hidden="false" customHeight="true" outlineLevel="0" collapsed="false">
      <c r="A372" s="30" t="s">
        <v>49</v>
      </c>
      <c r="B372" s="30" t="s">
        <v>50</v>
      </c>
      <c r="C372" s="21" t="n">
        <f aca="false">IF(A372="","",IFERROR(VLOOKUP(A372,'Recert Status'!$A$8:$C$400,3,FALSE()),""))</f>
        <v>46387</v>
      </c>
      <c r="D372" s="31" t="s">
        <v>856</v>
      </c>
      <c r="E372" s="30" t="s">
        <v>452</v>
      </c>
      <c r="F372" s="32" t="n">
        <v>1</v>
      </c>
      <c r="G372" s="33" t="n">
        <v>46137</v>
      </c>
      <c r="H372" s="33" t="n">
        <v>46137</v>
      </c>
      <c r="I372" s="31" t="s">
        <v>857</v>
      </c>
      <c r="J372" s="30" t="s">
        <v>452</v>
      </c>
      <c r="K372" s="31" t="s">
        <v>385</v>
      </c>
      <c r="L372" s="32" t="n">
        <v>1</v>
      </c>
      <c r="M372" s="36" t="s">
        <v>396</v>
      </c>
      <c r="N372" s="31" t="s">
        <v>397</v>
      </c>
      <c r="O372" s="32" t="n">
        <v>1</v>
      </c>
      <c r="P372" s="15" t="n">
        <f aca="false">IF(A372="","",IF(O372&lt;&gt;"",O372,IF(L372&lt;&gt;"",L372,F372)))</f>
        <v>1</v>
      </c>
    </row>
    <row r="373" customFormat="false" ht="15" hidden="false" customHeight="true" outlineLevel="0" collapsed="false">
      <c r="A373" s="26" t="s">
        <v>49</v>
      </c>
      <c r="B373" s="26" t="s">
        <v>50</v>
      </c>
      <c r="C373" s="14" t="n">
        <f aca="false">IF(A373="","",IFERROR(VLOOKUP(A373,'Recert Status'!$A$8:$C$400,3,FALSE()),""))</f>
        <v>46387</v>
      </c>
      <c r="D373" s="18" t="s">
        <v>858</v>
      </c>
      <c r="E373" s="26" t="s">
        <v>452</v>
      </c>
      <c r="F373" s="27" t="n">
        <v>1.5</v>
      </c>
      <c r="G373" s="28" t="n">
        <v>46170</v>
      </c>
      <c r="H373" s="28" t="n">
        <v>46170</v>
      </c>
      <c r="I373" s="18" t="s">
        <v>859</v>
      </c>
      <c r="J373" s="26" t="s">
        <v>452</v>
      </c>
      <c r="K373" s="18" t="s">
        <v>385</v>
      </c>
      <c r="L373" s="27" t="n">
        <v>1.5</v>
      </c>
      <c r="M373" s="36" t="s">
        <v>396</v>
      </c>
      <c r="N373" s="18" t="s">
        <v>397</v>
      </c>
      <c r="O373" s="27" t="n">
        <v>1.5</v>
      </c>
      <c r="P373" s="15" t="n">
        <f aca="false">IF(A373="","",IF(O373&lt;&gt;"",O373,IF(L373&lt;&gt;"",L373,F373)))</f>
        <v>1.5</v>
      </c>
    </row>
    <row r="374" customFormat="false" ht="15" hidden="false" customHeight="true" outlineLevel="0" collapsed="false">
      <c r="A374" s="30" t="s">
        <v>49</v>
      </c>
      <c r="B374" s="30" t="s">
        <v>50</v>
      </c>
      <c r="C374" s="21" t="n">
        <f aca="false">IF(A374="","",IFERROR(VLOOKUP(A374,'Recert Status'!$A$8:$C$400,3,FALSE()),""))</f>
        <v>46387</v>
      </c>
      <c r="D374" s="31" t="s">
        <v>397</v>
      </c>
      <c r="E374" s="30" t="s">
        <v>452</v>
      </c>
      <c r="F374" s="32" t="n">
        <v>1</v>
      </c>
      <c r="G374" s="33" t="n">
        <v>46245</v>
      </c>
      <c r="H374" s="33" t="n">
        <v>46245</v>
      </c>
      <c r="I374" s="31" t="s">
        <v>605</v>
      </c>
      <c r="J374" s="30" t="s">
        <v>452</v>
      </c>
      <c r="K374" s="31" t="s">
        <v>385</v>
      </c>
      <c r="L374" s="32" t="n">
        <v>1</v>
      </c>
      <c r="M374" s="36" t="s">
        <v>396</v>
      </c>
      <c r="N374" s="31" t="s">
        <v>397</v>
      </c>
      <c r="O374" s="32" t="n">
        <v>1</v>
      </c>
      <c r="P374" s="15" t="n">
        <f aca="false">IF(A374="","",IF(O374&lt;&gt;"",O374,IF(L374&lt;&gt;"",L374,F374)))</f>
        <v>1</v>
      </c>
    </row>
    <row r="375" customFormat="false" ht="15" hidden="false" customHeight="true" outlineLevel="0" collapsed="false">
      <c r="A375" s="26" t="s">
        <v>49</v>
      </c>
      <c r="B375" s="26" t="s">
        <v>50</v>
      </c>
      <c r="C375" s="14" t="n">
        <f aca="false">IF(A375="","",IFERROR(VLOOKUP(A375,'Recert Status'!$A$8:$C$400,3,FALSE()),""))</f>
        <v>46387</v>
      </c>
      <c r="D375" s="18" t="s">
        <v>870</v>
      </c>
      <c r="E375" s="26" t="s">
        <v>399</v>
      </c>
      <c r="F375" s="27" t="n">
        <v>1</v>
      </c>
      <c r="G375" s="28" t="n">
        <v>46038</v>
      </c>
      <c r="H375" s="28" t="n">
        <v>46038</v>
      </c>
      <c r="I375" s="18" t="s">
        <v>871</v>
      </c>
      <c r="J375" s="26" t="s">
        <v>399</v>
      </c>
      <c r="K375" s="18" t="s">
        <v>401</v>
      </c>
      <c r="L375" s="27" t="n">
        <v>1</v>
      </c>
      <c r="M375" s="37" t="s">
        <v>402</v>
      </c>
      <c r="N375" s="18" t="s">
        <v>403</v>
      </c>
      <c r="O375" s="27" t="n">
        <v>1</v>
      </c>
      <c r="P375" s="15" t="n">
        <f aca="false">IF(A375="","",IF(O375&lt;&gt;"",O375,IF(L375&lt;&gt;"",L375,F375)))</f>
        <v>1</v>
      </c>
    </row>
    <row r="376" customFormat="false" ht="15" hidden="false" customHeight="true" outlineLevel="0" collapsed="false">
      <c r="A376" s="30" t="s">
        <v>49</v>
      </c>
      <c r="B376" s="30" t="s">
        <v>50</v>
      </c>
      <c r="C376" s="21" t="n">
        <f aca="false">IF(A376="","",IFERROR(VLOOKUP(A376,'Recert Status'!$A$8:$C$400,3,FALSE()),""))</f>
        <v>46387</v>
      </c>
      <c r="D376" s="31" t="s">
        <v>872</v>
      </c>
      <c r="E376" s="30" t="n">
        <v>29696</v>
      </c>
      <c r="F376" s="32" t="n">
        <v>1</v>
      </c>
      <c r="G376" s="33" t="n">
        <v>46038</v>
      </c>
      <c r="H376" s="33" t="n">
        <v>46038</v>
      </c>
      <c r="I376" s="31" t="s">
        <v>873</v>
      </c>
      <c r="J376" s="30" t="s">
        <v>874</v>
      </c>
      <c r="K376" s="31" t="s">
        <v>875</v>
      </c>
      <c r="L376" s="32" t="n">
        <v>1</v>
      </c>
      <c r="M376" s="38" t="s">
        <v>408</v>
      </c>
      <c r="N376" s="31"/>
      <c r="O376" s="32" t="n">
        <v>1</v>
      </c>
      <c r="P376" s="15" t="n">
        <f aca="false">IF(A376="","",IF(O376&lt;&gt;"",O376,IF(L376&lt;&gt;"",L376,F376)))</f>
        <v>1</v>
      </c>
    </row>
    <row r="377" customFormat="false" ht="15" hidden="false" customHeight="true" outlineLevel="0" collapsed="false">
      <c r="A377" s="26" t="s">
        <v>49</v>
      </c>
      <c r="B377" s="26" t="s">
        <v>50</v>
      </c>
      <c r="C377" s="14" t="n">
        <f aca="false">IF(A377="","",IFERROR(VLOOKUP(A377,'Recert Status'!$A$8:$C$400,3,FALSE()),""))</f>
        <v>46387</v>
      </c>
      <c r="D377" s="18" t="s">
        <v>876</v>
      </c>
      <c r="E377" s="26" t="n">
        <v>29740</v>
      </c>
      <c r="F377" s="27" t="n">
        <v>1</v>
      </c>
      <c r="G377" s="28" t="n">
        <v>45825</v>
      </c>
      <c r="H377" s="28" t="n">
        <v>45825</v>
      </c>
      <c r="I377" s="18" t="s">
        <v>877</v>
      </c>
      <c r="J377" s="26" t="s">
        <v>394</v>
      </c>
      <c r="K377" s="18" t="s">
        <v>418</v>
      </c>
      <c r="L377" s="27" t="n">
        <v>1</v>
      </c>
      <c r="M377" s="39" t="s">
        <v>413</v>
      </c>
      <c r="N377" s="18" t="s">
        <v>514</v>
      </c>
      <c r="O377" s="27" t="n">
        <v>1</v>
      </c>
      <c r="P377" s="15" t="n">
        <f aca="false">IF(A377="","",IF(O377&lt;&gt;"",O377,IF(L377&lt;&gt;"",L377,F377)))</f>
        <v>1</v>
      </c>
    </row>
    <row r="378" customFormat="false" ht="15" hidden="false" customHeight="true" outlineLevel="0" collapsed="false">
      <c r="A378" s="30" t="s">
        <v>49</v>
      </c>
      <c r="B378" s="30" t="s">
        <v>50</v>
      </c>
      <c r="C378" s="21" t="n">
        <f aca="false">IF(A378="","",IFERROR(VLOOKUP(A378,'Recert Status'!$A$8:$C$400,3,FALSE()),""))</f>
        <v>46387</v>
      </c>
      <c r="D378" s="31" t="s">
        <v>878</v>
      </c>
      <c r="E378" s="30" t="s">
        <v>416</v>
      </c>
      <c r="F378" s="32" t="n">
        <v>1</v>
      </c>
      <c r="G378" s="33" t="n">
        <v>45849</v>
      </c>
      <c r="H378" s="33" t="n">
        <v>45849</v>
      </c>
      <c r="I378" s="31" t="s">
        <v>879</v>
      </c>
      <c r="J378" s="30" t="s">
        <v>416</v>
      </c>
      <c r="K378" s="31" t="s">
        <v>501</v>
      </c>
      <c r="L378" s="32" t="n">
        <v>1</v>
      </c>
      <c r="M378" s="39" t="s">
        <v>413</v>
      </c>
      <c r="N378" s="31" t="s">
        <v>414</v>
      </c>
      <c r="O378" s="32" t="n">
        <v>1</v>
      </c>
      <c r="P378" s="15" t="n">
        <f aca="false">IF(A378="","",IF(O378&lt;&gt;"",O378,IF(L378&lt;&gt;"",L378,F378)))</f>
        <v>1</v>
      </c>
    </row>
    <row r="379" customFormat="false" ht="15" hidden="false" customHeight="true" outlineLevel="0" collapsed="false">
      <c r="A379" s="26" t="s">
        <v>49</v>
      </c>
      <c r="B379" s="26" t="s">
        <v>50</v>
      </c>
      <c r="C379" s="14" t="n">
        <f aca="false">IF(A379="","",IFERROR(VLOOKUP(A379,'Recert Status'!$A$8:$C$400,3,FALSE()),""))</f>
        <v>46387</v>
      </c>
      <c r="D379" s="18" t="s">
        <v>672</v>
      </c>
      <c r="E379" s="26" t="s">
        <v>416</v>
      </c>
      <c r="F379" s="27" t="n">
        <v>1</v>
      </c>
      <c r="G379" s="28" t="n">
        <v>45933</v>
      </c>
      <c r="H379" s="28" t="n">
        <v>45933</v>
      </c>
      <c r="I379" s="18" t="s">
        <v>673</v>
      </c>
      <c r="J379" s="26" t="s">
        <v>416</v>
      </c>
      <c r="K379" s="18" t="s">
        <v>674</v>
      </c>
      <c r="L379" s="27" t="n">
        <v>1</v>
      </c>
      <c r="M379" s="39" t="s">
        <v>413</v>
      </c>
      <c r="N379" s="18" t="s">
        <v>414</v>
      </c>
      <c r="O379" s="27" t="n">
        <v>1</v>
      </c>
      <c r="P379" s="15" t="n">
        <f aca="false">IF(A379="","",IF(O379&lt;&gt;"",O379,IF(L379&lt;&gt;"",L379,F379)))</f>
        <v>1</v>
      </c>
    </row>
    <row r="380" customFormat="false" ht="15" hidden="false" customHeight="true" outlineLevel="0" collapsed="false">
      <c r="A380" s="30" t="s">
        <v>49</v>
      </c>
      <c r="B380" s="30" t="s">
        <v>50</v>
      </c>
      <c r="C380" s="21" t="n">
        <f aca="false">IF(A380="","",IFERROR(VLOOKUP(A380,'Recert Status'!$A$8:$C$400,3,FALSE()),""))</f>
        <v>46387</v>
      </c>
      <c r="D380" s="31" t="s">
        <v>717</v>
      </c>
      <c r="E380" s="30" t="s">
        <v>416</v>
      </c>
      <c r="F380" s="32" t="n">
        <v>3</v>
      </c>
      <c r="G380" s="33" t="n">
        <v>46083</v>
      </c>
      <c r="H380" s="33" t="n">
        <v>46083</v>
      </c>
      <c r="I380" s="31" t="s">
        <v>864</v>
      </c>
      <c r="J380" s="30" t="s">
        <v>416</v>
      </c>
      <c r="K380" s="31" t="s">
        <v>523</v>
      </c>
      <c r="L380" s="32" t="n">
        <v>3</v>
      </c>
      <c r="M380" s="39" t="s">
        <v>413</v>
      </c>
      <c r="N380" s="31" t="s">
        <v>414</v>
      </c>
      <c r="O380" s="32" t="n">
        <v>3</v>
      </c>
      <c r="P380" s="15" t="n">
        <f aca="false">IF(A380="","",IF(O380&lt;&gt;"",O380,IF(L380&lt;&gt;"",L380,F380)))</f>
        <v>3</v>
      </c>
    </row>
    <row r="381" customFormat="false" ht="15" hidden="false" customHeight="true" outlineLevel="0" collapsed="false">
      <c r="A381" s="26" t="s">
        <v>49</v>
      </c>
      <c r="B381" s="26" t="s">
        <v>50</v>
      </c>
      <c r="C381" s="14" t="n">
        <f aca="false">IF(A381="","",IFERROR(VLOOKUP(A381,'Recert Status'!$A$8:$C$400,3,FALSE()),""))</f>
        <v>46387</v>
      </c>
      <c r="D381" s="18" t="s">
        <v>488</v>
      </c>
      <c r="E381" s="26" t="s">
        <v>416</v>
      </c>
      <c r="F381" s="27" t="n">
        <v>1</v>
      </c>
      <c r="G381" s="28" t="n">
        <v>46128</v>
      </c>
      <c r="H381" s="28" t="n">
        <v>46128</v>
      </c>
      <c r="I381" s="18" t="s">
        <v>609</v>
      </c>
      <c r="J381" s="26" t="s">
        <v>416</v>
      </c>
      <c r="K381" s="18" t="s">
        <v>490</v>
      </c>
      <c r="L381" s="27" t="n">
        <v>1</v>
      </c>
      <c r="M381" s="39" t="s">
        <v>413</v>
      </c>
      <c r="N381" s="18" t="s">
        <v>414</v>
      </c>
      <c r="O381" s="27" t="n">
        <v>1</v>
      </c>
      <c r="P381" s="15" t="n">
        <f aca="false">IF(A381="","",IF(O381&lt;&gt;"",O381,IF(L381&lt;&gt;"",L381,F381)))</f>
        <v>1</v>
      </c>
    </row>
    <row r="382" customFormat="false" ht="15" hidden="false" customHeight="true" outlineLevel="0" collapsed="false">
      <c r="A382" s="30" t="s">
        <v>49</v>
      </c>
      <c r="B382" s="30" t="s">
        <v>50</v>
      </c>
      <c r="C382" s="21" t="n">
        <f aca="false">IF(A382="","",IFERROR(VLOOKUP(A382,'Recert Status'!$A$8:$C$400,3,FALSE()),""))</f>
        <v>46387</v>
      </c>
      <c r="D382" s="31" t="s">
        <v>414</v>
      </c>
      <c r="E382" s="30" t="s">
        <v>416</v>
      </c>
      <c r="F382" s="32" t="n">
        <v>2</v>
      </c>
      <c r="G382" s="33" t="n">
        <v>46218</v>
      </c>
      <c r="H382" s="33" t="n">
        <v>46218</v>
      </c>
      <c r="I382" s="31" t="s">
        <v>535</v>
      </c>
      <c r="J382" s="30" t="s">
        <v>416</v>
      </c>
      <c r="K382" s="31" t="s">
        <v>418</v>
      </c>
      <c r="L382" s="32" t="n">
        <v>2</v>
      </c>
      <c r="M382" s="39" t="s">
        <v>413</v>
      </c>
      <c r="N382" s="31" t="s">
        <v>414</v>
      </c>
      <c r="O382" s="32" t="n">
        <v>2</v>
      </c>
      <c r="P382" s="15" t="n">
        <f aca="false">IF(A382="","",IF(O382&lt;&gt;"",O382,IF(L382&lt;&gt;"",L382,F382)))</f>
        <v>2</v>
      </c>
    </row>
    <row r="383" customFormat="false" ht="15" hidden="false" customHeight="true" outlineLevel="0" collapsed="false">
      <c r="A383" s="26" t="s">
        <v>49</v>
      </c>
      <c r="B383" s="26" t="s">
        <v>50</v>
      </c>
      <c r="C383" s="14" t="n">
        <f aca="false">IF(A383="","",IFERROR(VLOOKUP(A383,'Recert Status'!$A$8:$C$400,3,FALSE()),""))</f>
        <v>46387</v>
      </c>
      <c r="D383" s="18" t="s">
        <v>414</v>
      </c>
      <c r="E383" s="26" t="s">
        <v>416</v>
      </c>
      <c r="F383" s="27" t="n">
        <v>2</v>
      </c>
      <c r="G383" s="28" t="n">
        <v>46219</v>
      </c>
      <c r="H383" s="28" t="n">
        <v>46219</v>
      </c>
      <c r="I383" s="18" t="s">
        <v>567</v>
      </c>
      <c r="J383" s="26" t="s">
        <v>416</v>
      </c>
      <c r="K383" s="18" t="s">
        <v>418</v>
      </c>
      <c r="L383" s="27" t="n">
        <v>2</v>
      </c>
      <c r="M383" s="39" t="s">
        <v>413</v>
      </c>
      <c r="N383" s="18" t="s">
        <v>414</v>
      </c>
      <c r="O383" s="27" t="n">
        <v>2</v>
      </c>
      <c r="P383" s="15" t="n">
        <f aca="false">IF(A383="","",IF(O383&lt;&gt;"",O383,IF(L383&lt;&gt;"",L383,F383)))</f>
        <v>2</v>
      </c>
    </row>
    <row r="384" customFormat="false" ht="15" hidden="false" customHeight="true" outlineLevel="0" collapsed="false">
      <c r="A384" s="30" t="s">
        <v>51</v>
      </c>
      <c r="B384" s="30" t="s">
        <v>52</v>
      </c>
      <c r="C384" s="21" t="n">
        <f aca="false">IF(A384="","",IFERROR(VLOOKUP(A384,'Recert Status'!$A$8:$C$400,3,FALSE()),""))</f>
        <v>46387</v>
      </c>
      <c r="D384" s="31" t="s">
        <v>880</v>
      </c>
      <c r="E384" s="30" t="n">
        <v>29740</v>
      </c>
      <c r="F384" s="32" t="n">
        <v>1</v>
      </c>
      <c r="G384" s="33" t="n">
        <v>45899</v>
      </c>
      <c r="H384" s="33" t="n">
        <v>45899</v>
      </c>
      <c r="I384" s="31" t="s">
        <v>881</v>
      </c>
      <c r="J384" s="30" t="s">
        <v>394</v>
      </c>
      <c r="K384" s="31" t="s">
        <v>882</v>
      </c>
      <c r="L384" s="32" t="n">
        <v>1</v>
      </c>
      <c r="M384" s="29" t="s">
        <v>366</v>
      </c>
      <c r="N384" s="31" t="s">
        <v>367</v>
      </c>
      <c r="O384" s="32" t="n">
        <v>1</v>
      </c>
      <c r="P384" s="15" t="n">
        <f aca="false">IF(A384="","",IF(O384&lt;&gt;"",O384,IF(L384&lt;&gt;"",L384,F384)))</f>
        <v>1</v>
      </c>
    </row>
    <row r="385" customFormat="false" ht="15" hidden="false" customHeight="true" outlineLevel="0" collapsed="false">
      <c r="A385" s="26" t="s">
        <v>51</v>
      </c>
      <c r="B385" s="26" t="s">
        <v>52</v>
      </c>
      <c r="C385" s="14" t="n">
        <f aca="false">IF(A385="","",IFERROR(VLOOKUP(A385,'Recert Status'!$A$8:$C$400,3,FALSE()),""))</f>
        <v>46387</v>
      </c>
      <c r="D385" s="18" t="s">
        <v>367</v>
      </c>
      <c r="E385" s="26" t="s">
        <v>363</v>
      </c>
      <c r="F385" s="27" t="n">
        <v>1</v>
      </c>
      <c r="G385" s="28" t="n">
        <v>46286</v>
      </c>
      <c r="H385" s="28" t="n">
        <v>46286</v>
      </c>
      <c r="I385" s="18" t="s">
        <v>883</v>
      </c>
      <c r="J385" s="26" t="s">
        <v>363</v>
      </c>
      <c r="K385" s="18" t="s">
        <v>365</v>
      </c>
      <c r="L385" s="27" t="n">
        <v>1</v>
      </c>
      <c r="M385" s="29" t="s">
        <v>366</v>
      </c>
      <c r="N385" s="18" t="s">
        <v>367</v>
      </c>
      <c r="O385" s="27" t="n">
        <v>1</v>
      </c>
      <c r="P385" s="15" t="n">
        <f aca="false">IF(A385="","",IF(O385&lt;&gt;"",O385,IF(L385&lt;&gt;"",L385,F385)))</f>
        <v>1</v>
      </c>
    </row>
    <row r="386" customFormat="false" ht="15" hidden="false" customHeight="true" outlineLevel="0" collapsed="false">
      <c r="A386" s="30" t="s">
        <v>51</v>
      </c>
      <c r="B386" s="30" t="s">
        <v>52</v>
      </c>
      <c r="C386" s="21" t="n">
        <f aca="false">IF(A386="","",IFERROR(VLOOKUP(A386,'Recert Status'!$A$8:$C$400,3,FALSE()),""))</f>
        <v>46387</v>
      </c>
      <c r="D386" s="31" t="s">
        <v>884</v>
      </c>
      <c r="E386" s="30" t="s">
        <v>426</v>
      </c>
      <c r="F386" s="32" t="n">
        <v>2</v>
      </c>
      <c r="G386" s="33" t="n">
        <v>45929</v>
      </c>
      <c r="H386" s="33" t="n">
        <v>45929</v>
      </c>
      <c r="I386" s="31" t="s">
        <v>885</v>
      </c>
      <c r="J386" s="30" t="s">
        <v>426</v>
      </c>
      <c r="K386" s="31" t="s">
        <v>428</v>
      </c>
      <c r="L386" s="32" t="n">
        <v>2</v>
      </c>
      <c r="M386" s="41" t="s">
        <v>429</v>
      </c>
      <c r="N386" s="31" t="s">
        <v>430</v>
      </c>
      <c r="O386" s="32" t="n">
        <v>2</v>
      </c>
      <c r="P386" s="15" t="n">
        <f aca="false">IF(A386="","",IF(O386&lt;&gt;"",O386,IF(L386&lt;&gt;"",L386,F386)))</f>
        <v>2</v>
      </c>
    </row>
    <row r="387" customFormat="false" ht="15" hidden="false" customHeight="true" outlineLevel="0" collapsed="false">
      <c r="A387" s="26" t="s">
        <v>51</v>
      </c>
      <c r="B387" s="26" t="s">
        <v>52</v>
      </c>
      <c r="C387" s="14" t="n">
        <f aca="false">IF(A387="","",IFERROR(VLOOKUP(A387,'Recert Status'!$A$8:$C$400,3,FALSE()),""))</f>
        <v>46387</v>
      </c>
      <c r="D387" s="18" t="s">
        <v>886</v>
      </c>
      <c r="E387" s="26" t="s">
        <v>426</v>
      </c>
      <c r="F387" s="27" t="n">
        <v>2</v>
      </c>
      <c r="G387" s="28" t="n">
        <v>45971</v>
      </c>
      <c r="H387" s="28" t="n">
        <v>45971</v>
      </c>
      <c r="I387" s="18" t="s">
        <v>887</v>
      </c>
      <c r="J387" s="26" t="s">
        <v>426</v>
      </c>
      <c r="K387" s="18" t="s">
        <v>428</v>
      </c>
      <c r="L387" s="27" t="n">
        <v>2</v>
      </c>
      <c r="M387" s="41" t="s">
        <v>429</v>
      </c>
      <c r="N387" s="18" t="s">
        <v>430</v>
      </c>
      <c r="O387" s="27" t="n">
        <v>2</v>
      </c>
      <c r="P387" s="15" t="n">
        <f aca="false">IF(A387="","",IF(O387&lt;&gt;"",O387,IF(L387&lt;&gt;"",L387,F387)))</f>
        <v>2</v>
      </c>
    </row>
    <row r="388" customFormat="false" ht="15" hidden="false" customHeight="true" outlineLevel="0" collapsed="false">
      <c r="A388" s="30" t="s">
        <v>51</v>
      </c>
      <c r="B388" s="30" t="s">
        <v>52</v>
      </c>
      <c r="C388" s="21" t="n">
        <f aca="false">IF(A388="","",IFERROR(VLOOKUP(A388,'Recert Status'!$A$8:$C$400,3,FALSE()),""))</f>
        <v>46387</v>
      </c>
      <c r="D388" s="31" t="s">
        <v>888</v>
      </c>
      <c r="E388" s="30" t="s">
        <v>426</v>
      </c>
      <c r="F388" s="32" t="n">
        <v>1</v>
      </c>
      <c r="G388" s="33" t="n">
        <v>46001</v>
      </c>
      <c r="H388" s="33" t="n">
        <v>46001</v>
      </c>
      <c r="I388" s="31" t="s">
        <v>889</v>
      </c>
      <c r="J388" s="30" t="s">
        <v>426</v>
      </c>
      <c r="K388" s="31" t="s">
        <v>428</v>
      </c>
      <c r="L388" s="32" t="n">
        <v>1</v>
      </c>
      <c r="M388" s="41" t="s">
        <v>429</v>
      </c>
      <c r="N388" s="31" t="s">
        <v>430</v>
      </c>
      <c r="O388" s="32" t="n">
        <v>1</v>
      </c>
      <c r="P388" s="15" t="n">
        <f aca="false">IF(A388="","",IF(O388&lt;&gt;"",O388,IF(L388&lt;&gt;"",L388,F388)))</f>
        <v>1</v>
      </c>
    </row>
    <row r="389" customFormat="false" ht="15" hidden="false" customHeight="true" outlineLevel="0" collapsed="false">
      <c r="A389" s="26" t="s">
        <v>51</v>
      </c>
      <c r="B389" s="26" t="s">
        <v>52</v>
      </c>
      <c r="C389" s="14" t="n">
        <f aca="false">IF(A389="","",IFERROR(VLOOKUP(A389,'Recert Status'!$A$8:$C$400,3,FALSE()),""))</f>
        <v>46387</v>
      </c>
      <c r="D389" s="18" t="s">
        <v>430</v>
      </c>
      <c r="E389" s="26" t="s">
        <v>426</v>
      </c>
      <c r="F389" s="27" t="n">
        <v>1</v>
      </c>
      <c r="G389" s="28" t="n">
        <v>46286</v>
      </c>
      <c r="H389" s="28" t="n">
        <v>46286</v>
      </c>
      <c r="I389" s="18" t="s">
        <v>890</v>
      </c>
      <c r="J389" s="26" t="s">
        <v>426</v>
      </c>
      <c r="K389" s="18" t="s">
        <v>428</v>
      </c>
      <c r="L389" s="27" t="n">
        <v>1</v>
      </c>
      <c r="M389" s="41" t="s">
        <v>429</v>
      </c>
      <c r="N389" s="18" t="s">
        <v>430</v>
      </c>
      <c r="O389" s="27" t="n">
        <v>1</v>
      </c>
      <c r="P389" s="15" t="n">
        <f aca="false">IF(A389="","",IF(O389&lt;&gt;"",O389,IF(L389&lt;&gt;"",L389,F389)))</f>
        <v>1</v>
      </c>
    </row>
    <row r="390" customFormat="false" ht="15" hidden="false" customHeight="true" outlineLevel="0" collapsed="false">
      <c r="A390" s="30" t="s">
        <v>51</v>
      </c>
      <c r="B390" s="30" t="s">
        <v>52</v>
      </c>
      <c r="C390" s="21" t="n">
        <f aca="false">IF(A390="","",IFERROR(VLOOKUP(A390,'Recert Status'!$A$8:$C$400,3,FALSE()),""))</f>
        <v>46387</v>
      </c>
      <c r="D390" s="31" t="s">
        <v>449</v>
      </c>
      <c r="E390" s="30" t="s">
        <v>389</v>
      </c>
      <c r="F390" s="32" t="n">
        <v>3</v>
      </c>
      <c r="G390" s="33" t="n">
        <v>45740</v>
      </c>
      <c r="H390" s="33" t="n">
        <v>45740</v>
      </c>
      <c r="I390" s="31" t="s">
        <v>891</v>
      </c>
      <c r="J390" s="30" t="s">
        <v>389</v>
      </c>
      <c r="K390" s="31" t="s">
        <v>892</v>
      </c>
      <c r="L390" s="32" t="n">
        <v>3</v>
      </c>
      <c r="M390" s="35" t="s">
        <v>386</v>
      </c>
      <c r="N390" s="31" t="s">
        <v>387</v>
      </c>
      <c r="O390" s="32" t="n">
        <v>3</v>
      </c>
      <c r="P390" s="15" t="n">
        <f aca="false">IF(A390="","",IF(O390&lt;&gt;"",O390,IF(L390&lt;&gt;"",L390,F390)))</f>
        <v>3</v>
      </c>
    </row>
    <row r="391" customFormat="false" ht="15" hidden="false" customHeight="true" outlineLevel="0" collapsed="false">
      <c r="A391" s="26" t="s">
        <v>51</v>
      </c>
      <c r="B391" s="26" t="s">
        <v>52</v>
      </c>
      <c r="C391" s="14" t="n">
        <f aca="false">IF(A391="","",IFERROR(VLOOKUP(A391,'Recert Status'!$A$8:$C$400,3,FALSE()),""))</f>
        <v>46387</v>
      </c>
      <c r="D391" s="18" t="s">
        <v>437</v>
      </c>
      <c r="E391" s="26" t="n">
        <v>29743</v>
      </c>
      <c r="F391" s="27" t="n">
        <v>1</v>
      </c>
      <c r="G391" s="28" t="n">
        <v>45833</v>
      </c>
      <c r="H391" s="28" t="n">
        <v>45833</v>
      </c>
      <c r="I391" s="18" t="s">
        <v>438</v>
      </c>
      <c r="J391" s="26" t="s">
        <v>439</v>
      </c>
      <c r="K391" s="18" t="s">
        <v>440</v>
      </c>
      <c r="L391" s="27" t="n">
        <v>1</v>
      </c>
      <c r="M391" s="35" t="s">
        <v>386</v>
      </c>
      <c r="N391" s="18" t="s">
        <v>387</v>
      </c>
      <c r="O391" s="27" t="n">
        <v>1</v>
      </c>
      <c r="P391" s="15" t="n">
        <f aca="false">IF(A391="","",IF(O391&lt;&gt;"",O391,IF(L391&lt;&gt;"",L391,F391)))</f>
        <v>1</v>
      </c>
    </row>
    <row r="392" customFormat="false" ht="15" hidden="false" customHeight="true" outlineLevel="0" collapsed="false">
      <c r="A392" s="30" t="s">
        <v>51</v>
      </c>
      <c r="B392" s="30" t="s">
        <v>52</v>
      </c>
      <c r="C392" s="21" t="n">
        <f aca="false">IF(A392="","",IFERROR(VLOOKUP(A392,'Recert Status'!$A$8:$C$400,3,FALSE()),""))</f>
        <v>46387</v>
      </c>
      <c r="D392" s="31" t="s">
        <v>441</v>
      </c>
      <c r="E392" s="30" t="n">
        <v>29743</v>
      </c>
      <c r="F392" s="32" t="n">
        <v>1</v>
      </c>
      <c r="G392" s="33" t="n">
        <v>45833</v>
      </c>
      <c r="H392" s="33" t="n">
        <v>45833</v>
      </c>
      <c r="I392" s="31" t="s">
        <v>442</v>
      </c>
      <c r="J392" s="30" t="s">
        <v>439</v>
      </c>
      <c r="K392" s="31" t="s">
        <v>443</v>
      </c>
      <c r="L392" s="32" t="n">
        <v>1</v>
      </c>
      <c r="M392" s="35" t="s">
        <v>386</v>
      </c>
      <c r="N392" s="31" t="s">
        <v>387</v>
      </c>
      <c r="O392" s="32" t="n">
        <v>1</v>
      </c>
      <c r="P392" s="15" t="n">
        <f aca="false">IF(A392="","",IF(O392&lt;&gt;"",O392,IF(L392&lt;&gt;"",L392,F392)))</f>
        <v>1</v>
      </c>
    </row>
    <row r="393" customFormat="false" ht="15" hidden="false" customHeight="true" outlineLevel="0" collapsed="false">
      <c r="A393" s="26" t="s">
        <v>51</v>
      </c>
      <c r="B393" s="26" t="s">
        <v>52</v>
      </c>
      <c r="C393" s="14" t="n">
        <f aca="false">IF(A393="","",IFERROR(VLOOKUP(A393,'Recert Status'!$A$8:$C$400,3,FALSE()),""))</f>
        <v>46387</v>
      </c>
      <c r="D393" s="18" t="s">
        <v>441</v>
      </c>
      <c r="E393" s="26" t="n">
        <v>29743</v>
      </c>
      <c r="F393" s="27" t="n">
        <v>1</v>
      </c>
      <c r="G393" s="28" t="n">
        <v>45911</v>
      </c>
      <c r="H393" s="28" t="n">
        <v>45911</v>
      </c>
      <c r="I393" s="18" t="s">
        <v>893</v>
      </c>
      <c r="J393" s="26" t="s">
        <v>439</v>
      </c>
      <c r="K393" s="18" t="s">
        <v>791</v>
      </c>
      <c r="L393" s="27" t="n">
        <v>1</v>
      </c>
      <c r="M393" s="35" t="s">
        <v>386</v>
      </c>
      <c r="N393" s="18" t="s">
        <v>387</v>
      </c>
      <c r="O393" s="27" t="n">
        <v>1</v>
      </c>
      <c r="P393" s="15" t="n">
        <f aca="false">IF(A393="","",IF(O393&lt;&gt;"",O393,IF(L393&lt;&gt;"",L393,F393)))</f>
        <v>1</v>
      </c>
    </row>
    <row r="394" customFormat="false" ht="15" hidden="false" customHeight="true" outlineLevel="0" collapsed="false">
      <c r="A394" s="30" t="s">
        <v>51</v>
      </c>
      <c r="B394" s="30" t="s">
        <v>52</v>
      </c>
      <c r="C394" s="21" t="n">
        <f aca="false">IF(A394="","",IFERROR(VLOOKUP(A394,'Recert Status'!$A$8:$C$400,3,FALSE()),""))</f>
        <v>46387</v>
      </c>
      <c r="D394" s="31" t="s">
        <v>894</v>
      </c>
      <c r="E394" s="30" t="s">
        <v>389</v>
      </c>
      <c r="F394" s="32" t="n">
        <v>1</v>
      </c>
      <c r="G394" s="33" t="n">
        <v>45971</v>
      </c>
      <c r="H394" s="33" t="n">
        <v>45971</v>
      </c>
      <c r="I394" s="31" t="s">
        <v>895</v>
      </c>
      <c r="J394" s="30" t="s">
        <v>389</v>
      </c>
      <c r="K394" s="31" t="s">
        <v>446</v>
      </c>
      <c r="L394" s="32" t="n">
        <v>1</v>
      </c>
      <c r="M394" s="35" t="s">
        <v>386</v>
      </c>
      <c r="N394" s="31" t="s">
        <v>387</v>
      </c>
      <c r="O394" s="32" t="n">
        <v>1</v>
      </c>
      <c r="P394" s="15" t="n">
        <f aca="false">IF(A394="","",IF(O394&lt;&gt;"",O394,IF(L394&lt;&gt;"",L394,F394)))</f>
        <v>1</v>
      </c>
    </row>
    <row r="395" customFormat="false" ht="15" hidden="false" customHeight="true" outlineLevel="0" collapsed="false">
      <c r="A395" s="26" t="s">
        <v>51</v>
      </c>
      <c r="B395" s="26" t="s">
        <v>52</v>
      </c>
      <c r="C395" s="14" t="n">
        <f aca="false">IF(A395="","",IFERROR(VLOOKUP(A395,'Recert Status'!$A$8:$C$400,3,FALSE()),""))</f>
        <v>46387</v>
      </c>
      <c r="D395" s="18" t="s">
        <v>896</v>
      </c>
      <c r="E395" s="26" t="s">
        <v>389</v>
      </c>
      <c r="F395" s="27" t="n">
        <v>2</v>
      </c>
      <c r="G395" s="28" t="n">
        <v>45971</v>
      </c>
      <c r="H395" s="28" t="n">
        <v>45971</v>
      </c>
      <c r="I395" s="18" t="s">
        <v>897</v>
      </c>
      <c r="J395" s="26" t="s">
        <v>389</v>
      </c>
      <c r="K395" s="18" t="s">
        <v>898</v>
      </c>
      <c r="L395" s="27" t="n">
        <v>2</v>
      </c>
      <c r="M395" s="35" t="s">
        <v>386</v>
      </c>
      <c r="N395" s="18" t="s">
        <v>387</v>
      </c>
      <c r="O395" s="27" t="n">
        <v>2</v>
      </c>
      <c r="P395" s="15" t="n">
        <f aca="false">IF(A395="","",IF(O395&lt;&gt;"",O395,IF(L395&lt;&gt;"",L395,F395)))</f>
        <v>2</v>
      </c>
    </row>
    <row r="396" customFormat="false" ht="15" hidden="false" customHeight="true" outlineLevel="0" collapsed="false">
      <c r="A396" s="30" t="s">
        <v>51</v>
      </c>
      <c r="B396" s="30" t="s">
        <v>52</v>
      </c>
      <c r="C396" s="21" t="n">
        <f aca="false">IF(A396="","",IFERROR(VLOOKUP(A396,'Recert Status'!$A$8:$C$400,3,FALSE()),""))</f>
        <v>46387</v>
      </c>
      <c r="D396" s="31" t="s">
        <v>899</v>
      </c>
      <c r="E396" s="30" t="n">
        <v>29668</v>
      </c>
      <c r="F396" s="32" t="n">
        <v>1</v>
      </c>
      <c r="G396" s="33" t="n">
        <v>45974</v>
      </c>
      <c r="H396" s="33" t="n">
        <v>45974</v>
      </c>
      <c r="I396" s="31" t="s">
        <v>900</v>
      </c>
      <c r="J396" s="30" t="s">
        <v>511</v>
      </c>
      <c r="K396" s="31" t="s">
        <v>509</v>
      </c>
      <c r="L396" s="32" t="n">
        <v>1</v>
      </c>
      <c r="M396" s="35" t="s">
        <v>386</v>
      </c>
      <c r="N396" s="31" t="s">
        <v>514</v>
      </c>
      <c r="O396" s="32" t="n">
        <v>1</v>
      </c>
      <c r="P396" s="15" t="n">
        <f aca="false">IF(A396="","",IF(O396&lt;&gt;"",O396,IF(L396&lt;&gt;"",L396,F396)))</f>
        <v>1</v>
      </c>
    </row>
    <row r="397" customFormat="false" ht="15" hidden="false" customHeight="true" outlineLevel="0" collapsed="false">
      <c r="A397" s="26" t="s">
        <v>51</v>
      </c>
      <c r="B397" s="26" t="s">
        <v>52</v>
      </c>
      <c r="C397" s="14" t="n">
        <f aca="false">IF(A397="","",IFERROR(VLOOKUP(A397,'Recert Status'!$A$8:$C$400,3,FALSE()),""))</f>
        <v>46387</v>
      </c>
      <c r="D397" s="18" t="s">
        <v>682</v>
      </c>
      <c r="E397" s="26" t="n">
        <v>29675</v>
      </c>
      <c r="F397" s="27" t="n">
        <v>1</v>
      </c>
      <c r="G397" s="28" t="n">
        <v>45986</v>
      </c>
      <c r="H397" s="28" t="n">
        <v>45986</v>
      </c>
      <c r="I397" s="18" t="s">
        <v>793</v>
      </c>
      <c r="J397" s="26" t="s">
        <v>406</v>
      </c>
      <c r="K397" s="18" t="s">
        <v>446</v>
      </c>
      <c r="L397" s="27" t="n">
        <v>1</v>
      </c>
      <c r="M397" s="35" t="s">
        <v>386</v>
      </c>
      <c r="N397" s="18" t="s">
        <v>387</v>
      </c>
      <c r="O397" s="27" t="n">
        <v>1</v>
      </c>
      <c r="P397" s="15" t="n">
        <f aca="false">IF(A397="","",IF(O397&lt;&gt;"",O397,IF(L397&lt;&gt;"",L397,F397)))</f>
        <v>1</v>
      </c>
    </row>
    <row r="398" customFormat="false" ht="15" hidden="false" customHeight="true" outlineLevel="0" collapsed="false">
      <c r="A398" s="30" t="s">
        <v>51</v>
      </c>
      <c r="B398" s="30" t="s">
        <v>52</v>
      </c>
      <c r="C398" s="21" t="n">
        <f aca="false">IF(A398="","",IFERROR(VLOOKUP(A398,'Recert Status'!$A$8:$C$400,3,FALSE()),""))</f>
        <v>46387</v>
      </c>
      <c r="D398" s="31" t="s">
        <v>449</v>
      </c>
      <c r="E398" s="30" t="n">
        <v>29675</v>
      </c>
      <c r="F398" s="32" t="n">
        <v>0.5</v>
      </c>
      <c r="G398" s="33" t="n">
        <v>45995</v>
      </c>
      <c r="H398" s="33" t="n">
        <v>45995</v>
      </c>
      <c r="I398" s="31" t="s">
        <v>450</v>
      </c>
      <c r="J398" s="30" t="s">
        <v>406</v>
      </c>
      <c r="K398" s="31" t="s">
        <v>451</v>
      </c>
      <c r="L398" s="32" t="n">
        <v>0.5</v>
      </c>
      <c r="M398" s="35" t="s">
        <v>386</v>
      </c>
      <c r="N398" s="31" t="s">
        <v>387</v>
      </c>
      <c r="O398" s="32" t="n">
        <v>0.5</v>
      </c>
      <c r="P398" s="15" t="n">
        <f aca="false">IF(A398="","",IF(O398&lt;&gt;"",O398,IF(L398&lt;&gt;"",L398,F398)))</f>
        <v>0.5</v>
      </c>
    </row>
    <row r="399" customFormat="false" ht="15" hidden="false" customHeight="true" outlineLevel="0" collapsed="false">
      <c r="A399" s="26" t="s">
        <v>51</v>
      </c>
      <c r="B399" s="26" t="s">
        <v>52</v>
      </c>
      <c r="C399" s="14" t="n">
        <f aca="false">IF(A399="","",IFERROR(VLOOKUP(A399,'Recert Status'!$A$8:$C$400,3,FALSE()),""))</f>
        <v>46387</v>
      </c>
      <c r="D399" s="18" t="s">
        <v>901</v>
      </c>
      <c r="E399" s="26" t="s">
        <v>389</v>
      </c>
      <c r="F399" s="27" t="n">
        <v>1</v>
      </c>
      <c r="G399" s="28" t="n">
        <v>46019</v>
      </c>
      <c r="H399" s="28" t="n">
        <v>46019</v>
      </c>
      <c r="I399" s="18" t="s">
        <v>902</v>
      </c>
      <c r="J399" s="26" t="s">
        <v>389</v>
      </c>
      <c r="K399" s="18" t="s">
        <v>451</v>
      </c>
      <c r="L399" s="27" t="n">
        <v>1</v>
      </c>
      <c r="M399" s="35" t="s">
        <v>386</v>
      </c>
      <c r="N399" s="18" t="s">
        <v>387</v>
      </c>
      <c r="O399" s="27" t="n">
        <v>1</v>
      </c>
      <c r="P399" s="15" t="n">
        <f aca="false">IF(A399="","",IF(O399&lt;&gt;"",O399,IF(L399&lt;&gt;"",L399,F399)))</f>
        <v>1</v>
      </c>
    </row>
    <row r="400" customFormat="false" ht="15" hidden="false" customHeight="true" outlineLevel="0" collapsed="false">
      <c r="A400" s="30" t="s">
        <v>51</v>
      </c>
      <c r="B400" s="30" t="s">
        <v>52</v>
      </c>
      <c r="C400" s="21" t="n">
        <f aca="false">IF(A400="","",IFERROR(VLOOKUP(A400,'Recert Status'!$A$8:$C$400,3,FALSE()),""))</f>
        <v>46387</v>
      </c>
      <c r="D400" s="31" t="s">
        <v>387</v>
      </c>
      <c r="E400" s="30" t="s">
        <v>389</v>
      </c>
      <c r="F400" s="32" t="n">
        <v>1</v>
      </c>
      <c r="G400" s="33" t="n">
        <v>46274</v>
      </c>
      <c r="H400" s="33" t="n">
        <v>46274</v>
      </c>
      <c r="I400" s="31" t="s">
        <v>530</v>
      </c>
      <c r="J400" s="30" t="s">
        <v>389</v>
      </c>
      <c r="K400" s="31" t="s">
        <v>451</v>
      </c>
      <c r="L400" s="32" t="n">
        <v>1</v>
      </c>
      <c r="M400" s="35" t="s">
        <v>386</v>
      </c>
      <c r="N400" s="31" t="s">
        <v>387</v>
      </c>
      <c r="O400" s="32" t="n">
        <v>1</v>
      </c>
      <c r="P400" s="15" t="n">
        <f aca="false">IF(A400="","",IF(O400&lt;&gt;"",O400,IF(L400&lt;&gt;"",L400,F400)))</f>
        <v>1</v>
      </c>
    </row>
    <row r="401" customFormat="false" ht="15" hidden="false" customHeight="true" outlineLevel="0" collapsed="false">
      <c r="A401" s="26" t="s">
        <v>51</v>
      </c>
      <c r="B401" s="26" t="s">
        <v>52</v>
      </c>
      <c r="C401" s="14" t="n">
        <f aca="false">IF(A401="","",IFERROR(VLOOKUP(A401,'Recert Status'!$A$8:$C$400,3,FALSE()),""))</f>
        <v>46387</v>
      </c>
      <c r="D401" s="18" t="s">
        <v>387</v>
      </c>
      <c r="E401" s="26" t="s">
        <v>389</v>
      </c>
      <c r="F401" s="27" t="n">
        <v>1</v>
      </c>
      <c r="G401" s="28" t="n">
        <v>46286</v>
      </c>
      <c r="H401" s="28" t="n">
        <v>46286</v>
      </c>
      <c r="I401" s="18" t="s">
        <v>903</v>
      </c>
      <c r="J401" s="26" t="s">
        <v>389</v>
      </c>
      <c r="K401" s="18" t="s">
        <v>904</v>
      </c>
      <c r="L401" s="27" t="n">
        <v>1</v>
      </c>
      <c r="M401" s="35" t="s">
        <v>386</v>
      </c>
      <c r="N401" s="18" t="s">
        <v>387</v>
      </c>
      <c r="O401" s="27" t="n">
        <v>1</v>
      </c>
      <c r="P401" s="15" t="n">
        <f aca="false">IF(A401="","",IF(O401&lt;&gt;"",O401,IF(L401&lt;&gt;"",L401,F401)))</f>
        <v>1</v>
      </c>
    </row>
    <row r="402" customFormat="false" ht="15" hidden="false" customHeight="true" outlineLevel="0" collapsed="false">
      <c r="A402" s="30" t="s">
        <v>51</v>
      </c>
      <c r="B402" s="30" t="s">
        <v>52</v>
      </c>
      <c r="C402" s="21" t="n">
        <f aca="false">IF(A402="","",IFERROR(VLOOKUP(A402,'Recert Status'!$A$8:$C$400,3,FALSE()),""))</f>
        <v>46387</v>
      </c>
      <c r="D402" s="31" t="s">
        <v>531</v>
      </c>
      <c r="E402" s="30" t="s">
        <v>452</v>
      </c>
      <c r="F402" s="32" t="n">
        <v>1</v>
      </c>
      <c r="G402" s="33" t="n">
        <v>45983</v>
      </c>
      <c r="H402" s="33" t="n">
        <v>45983</v>
      </c>
      <c r="I402" s="31" t="s">
        <v>532</v>
      </c>
      <c r="J402" s="30" t="s">
        <v>452</v>
      </c>
      <c r="K402" s="31" t="s">
        <v>385</v>
      </c>
      <c r="L402" s="32" t="n">
        <v>1</v>
      </c>
      <c r="M402" s="36" t="s">
        <v>396</v>
      </c>
      <c r="N402" s="31" t="s">
        <v>397</v>
      </c>
      <c r="O402" s="32" t="n">
        <v>1</v>
      </c>
      <c r="P402" s="15" t="n">
        <f aca="false">IF(A402="","",IF(O402&lt;&gt;"",O402,IF(L402&lt;&gt;"",L402,F402)))</f>
        <v>1</v>
      </c>
    </row>
    <row r="403" customFormat="false" ht="15" hidden="false" customHeight="true" outlineLevel="0" collapsed="false">
      <c r="A403" s="26" t="s">
        <v>51</v>
      </c>
      <c r="B403" s="26" t="s">
        <v>52</v>
      </c>
      <c r="C403" s="14" t="n">
        <f aca="false">IF(A403="","",IFERROR(VLOOKUP(A403,'Recert Status'!$A$8:$C$400,3,FALSE()),""))</f>
        <v>46387</v>
      </c>
      <c r="D403" s="18" t="s">
        <v>397</v>
      </c>
      <c r="E403" s="26" t="s">
        <v>452</v>
      </c>
      <c r="F403" s="27" t="n">
        <v>1</v>
      </c>
      <c r="G403" s="28" t="n">
        <v>46244</v>
      </c>
      <c r="H403" s="28" t="n">
        <v>46244</v>
      </c>
      <c r="I403" s="18" t="s">
        <v>453</v>
      </c>
      <c r="J403" s="26" t="s">
        <v>452</v>
      </c>
      <c r="K403" s="18" t="s">
        <v>385</v>
      </c>
      <c r="L403" s="27" t="n">
        <v>1</v>
      </c>
      <c r="M403" s="36" t="s">
        <v>396</v>
      </c>
      <c r="N403" s="18" t="s">
        <v>397</v>
      </c>
      <c r="O403" s="27" t="n">
        <v>1</v>
      </c>
      <c r="P403" s="15" t="n">
        <f aca="false">IF(A403="","",IF(O403&lt;&gt;"",O403,IF(L403&lt;&gt;"",L403,F403)))</f>
        <v>1</v>
      </c>
    </row>
    <row r="404" customFormat="false" ht="15" hidden="false" customHeight="true" outlineLevel="0" collapsed="false">
      <c r="A404" s="30" t="s">
        <v>51</v>
      </c>
      <c r="B404" s="30" t="s">
        <v>52</v>
      </c>
      <c r="C404" s="21" t="n">
        <f aca="false">IF(A404="","",IFERROR(VLOOKUP(A404,'Recert Status'!$A$8:$C$400,3,FALSE()),""))</f>
        <v>46387</v>
      </c>
      <c r="D404" s="31" t="s">
        <v>692</v>
      </c>
      <c r="E404" s="30" t="s">
        <v>416</v>
      </c>
      <c r="F404" s="32" t="n">
        <v>0.5</v>
      </c>
      <c r="G404" s="33" t="n">
        <v>45780</v>
      </c>
      <c r="H404" s="33" t="n">
        <v>45780</v>
      </c>
      <c r="I404" s="31" t="s">
        <v>693</v>
      </c>
      <c r="J404" s="30" t="s">
        <v>416</v>
      </c>
      <c r="K404" s="31" t="s">
        <v>490</v>
      </c>
      <c r="L404" s="32" t="n">
        <v>0.5</v>
      </c>
      <c r="M404" s="39" t="s">
        <v>413</v>
      </c>
      <c r="N404" s="31" t="s">
        <v>414</v>
      </c>
      <c r="O404" s="32" t="n">
        <v>0.5</v>
      </c>
      <c r="P404" s="15" t="n">
        <f aca="false">IF(A404="","",IF(O404&lt;&gt;"",O404,IF(L404&lt;&gt;"",L404,F404)))</f>
        <v>0.5</v>
      </c>
    </row>
    <row r="405" customFormat="false" ht="15" hidden="false" customHeight="true" outlineLevel="0" collapsed="false">
      <c r="A405" s="26" t="s">
        <v>51</v>
      </c>
      <c r="B405" s="26" t="s">
        <v>52</v>
      </c>
      <c r="C405" s="14" t="n">
        <f aca="false">IF(A405="","",IFERROR(VLOOKUP(A405,'Recert Status'!$A$8:$C$400,3,FALSE()),""))</f>
        <v>46387</v>
      </c>
      <c r="D405" s="18" t="s">
        <v>415</v>
      </c>
      <c r="E405" s="26" t="s">
        <v>416</v>
      </c>
      <c r="F405" s="27" t="n">
        <v>2</v>
      </c>
      <c r="G405" s="28" t="n">
        <v>45860</v>
      </c>
      <c r="H405" s="28" t="n">
        <v>45860</v>
      </c>
      <c r="I405" s="18" t="s">
        <v>721</v>
      </c>
      <c r="J405" s="26" t="s">
        <v>416</v>
      </c>
      <c r="K405" s="18" t="s">
        <v>418</v>
      </c>
      <c r="L405" s="27" t="n">
        <v>2</v>
      </c>
      <c r="M405" s="39" t="s">
        <v>413</v>
      </c>
      <c r="N405" s="18" t="s">
        <v>414</v>
      </c>
      <c r="O405" s="27" t="n">
        <v>2</v>
      </c>
      <c r="P405" s="15" t="n">
        <f aca="false">IF(A405="","",IF(O405&lt;&gt;"",O405,IF(L405&lt;&gt;"",L405,F405)))</f>
        <v>2</v>
      </c>
    </row>
    <row r="406" customFormat="false" ht="15" hidden="false" customHeight="true" outlineLevel="0" collapsed="false">
      <c r="A406" s="30" t="s">
        <v>51</v>
      </c>
      <c r="B406" s="30" t="s">
        <v>52</v>
      </c>
      <c r="C406" s="21" t="n">
        <f aca="false">IF(A406="","",IFERROR(VLOOKUP(A406,'Recert Status'!$A$8:$C$400,3,FALSE()),""))</f>
        <v>46387</v>
      </c>
      <c r="D406" s="31" t="s">
        <v>705</v>
      </c>
      <c r="E406" s="30" t="s">
        <v>416</v>
      </c>
      <c r="F406" s="32" t="n">
        <v>1.5</v>
      </c>
      <c r="G406" s="33" t="n">
        <v>45896</v>
      </c>
      <c r="H406" s="33" t="n">
        <v>45896</v>
      </c>
      <c r="I406" s="31" t="s">
        <v>722</v>
      </c>
      <c r="J406" s="30" t="s">
        <v>416</v>
      </c>
      <c r="K406" s="31" t="s">
        <v>723</v>
      </c>
      <c r="L406" s="32" t="n">
        <v>1.5</v>
      </c>
      <c r="M406" s="39" t="s">
        <v>413</v>
      </c>
      <c r="N406" s="31" t="s">
        <v>414</v>
      </c>
      <c r="O406" s="32" t="n">
        <v>1.5</v>
      </c>
      <c r="P406" s="15" t="n">
        <f aca="false">IF(A406="","",IF(O406&lt;&gt;"",O406,IF(L406&lt;&gt;"",L406,F406)))</f>
        <v>1.5</v>
      </c>
    </row>
    <row r="407" customFormat="false" ht="15" hidden="false" customHeight="true" outlineLevel="0" collapsed="false">
      <c r="A407" s="26" t="s">
        <v>51</v>
      </c>
      <c r="B407" s="26" t="s">
        <v>52</v>
      </c>
      <c r="C407" s="14" t="n">
        <f aca="false">IF(A407="","",IFERROR(VLOOKUP(A407,'Recert Status'!$A$8:$C$400,3,FALSE()),""))</f>
        <v>46387</v>
      </c>
      <c r="D407" s="18" t="s">
        <v>905</v>
      </c>
      <c r="E407" s="26" t="s">
        <v>416</v>
      </c>
      <c r="F407" s="27" t="n">
        <v>1</v>
      </c>
      <c r="G407" s="28" t="n">
        <v>45935</v>
      </c>
      <c r="H407" s="28" t="n">
        <v>45935</v>
      </c>
      <c r="I407" s="18" t="s">
        <v>906</v>
      </c>
      <c r="J407" s="26" t="s">
        <v>416</v>
      </c>
      <c r="K407" s="18" t="s">
        <v>418</v>
      </c>
      <c r="L407" s="27" t="n">
        <v>1</v>
      </c>
      <c r="M407" s="39" t="s">
        <v>413</v>
      </c>
      <c r="N407" s="18" t="s">
        <v>414</v>
      </c>
      <c r="O407" s="27" t="n">
        <v>1</v>
      </c>
      <c r="P407" s="15" t="n">
        <f aca="false">IF(A407="","",IF(O407&lt;&gt;"",O407,IF(L407&lt;&gt;"",L407,F407)))</f>
        <v>1</v>
      </c>
    </row>
    <row r="408" customFormat="false" ht="15" hidden="false" customHeight="true" outlineLevel="0" collapsed="false">
      <c r="A408" s="30" t="s">
        <v>51</v>
      </c>
      <c r="B408" s="30" t="s">
        <v>52</v>
      </c>
      <c r="C408" s="21" t="n">
        <f aca="false">IF(A408="","",IFERROR(VLOOKUP(A408,'Recert Status'!$A$8:$C$400,3,FALSE()),""))</f>
        <v>46387</v>
      </c>
      <c r="D408" s="31" t="s">
        <v>750</v>
      </c>
      <c r="E408" s="30" t="s">
        <v>416</v>
      </c>
      <c r="F408" s="32" t="n">
        <v>3</v>
      </c>
      <c r="G408" s="33" t="n">
        <v>46001</v>
      </c>
      <c r="H408" s="33" t="n">
        <v>46001</v>
      </c>
      <c r="I408" s="31" t="s">
        <v>751</v>
      </c>
      <c r="J408" s="30" t="s">
        <v>416</v>
      </c>
      <c r="K408" s="31" t="s">
        <v>456</v>
      </c>
      <c r="L408" s="32" t="n">
        <v>3</v>
      </c>
      <c r="M408" s="39" t="s">
        <v>413</v>
      </c>
      <c r="N408" s="31" t="s">
        <v>414</v>
      </c>
      <c r="O408" s="32" t="n">
        <v>3</v>
      </c>
      <c r="P408" s="15" t="n">
        <f aca="false">IF(A408="","",IF(O408&lt;&gt;"",O408,IF(L408&lt;&gt;"",L408,F408)))</f>
        <v>3</v>
      </c>
    </row>
    <row r="409" customFormat="false" ht="15" hidden="false" customHeight="true" outlineLevel="0" collapsed="false">
      <c r="A409" s="26" t="s">
        <v>51</v>
      </c>
      <c r="B409" s="26" t="s">
        <v>52</v>
      </c>
      <c r="C409" s="14" t="n">
        <f aca="false">IF(A409="","",IFERROR(VLOOKUP(A409,'Recert Status'!$A$8:$C$400,3,FALSE()),""))</f>
        <v>46387</v>
      </c>
      <c r="D409" s="18" t="s">
        <v>488</v>
      </c>
      <c r="E409" s="26" t="s">
        <v>416</v>
      </c>
      <c r="F409" s="27" t="n">
        <v>1</v>
      </c>
      <c r="G409" s="28" t="n">
        <v>46139</v>
      </c>
      <c r="H409" s="28" t="n">
        <v>46139</v>
      </c>
      <c r="I409" s="18" t="s">
        <v>610</v>
      </c>
      <c r="J409" s="26" t="s">
        <v>416</v>
      </c>
      <c r="K409" s="18" t="s">
        <v>490</v>
      </c>
      <c r="L409" s="27" t="n">
        <v>1</v>
      </c>
      <c r="M409" s="39" t="s">
        <v>413</v>
      </c>
      <c r="N409" s="18" t="s">
        <v>414</v>
      </c>
      <c r="O409" s="27" t="n">
        <v>1</v>
      </c>
      <c r="P409" s="15" t="n">
        <f aca="false">IF(A409="","",IF(O409&lt;&gt;"",O409,IF(L409&lt;&gt;"",L409,F409)))</f>
        <v>1</v>
      </c>
    </row>
    <row r="410" customFormat="false" ht="15" hidden="false" customHeight="true" outlineLevel="0" collapsed="false">
      <c r="A410" s="30" t="s">
        <v>51</v>
      </c>
      <c r="B410" s="30" t="s">
        <v>52</v>
      </c>
      <c r="C410" s="21" t="n">
        <f aca="false">IF(A410="","",IFERROR(VLOOKUP(A410,'Recert Status'!$A$8:$C$400,3,FALSE()),""))</f>
        <v>46387</v>
      </c>
      <c r="D410" s="31" t="s">
        <v>414</v>
      </c>
      <c r="E410" s="30" t="s">
        <v>416</v>
      </c>
      <c r="F410" s="32" t="n">
        <v>2</v>
      </c>
      <c r="G410" s="33" t="n">
        <v>46217</v>
      </c>
      <c r="H410" s="33" t="n">
        <v>46217</v>
      </c>
      <c r="I410" s="31" t="s">
        <v>460</v>
      </c>
      <c r="J410" s="30" t="s">
        <v>416</v>
      </c>
      <c r="K410" s="31" t="s">
        <v>418</v>
      </c>
      <c r="L410" s="32" t="n">
        <v>2</v>
      </c>
      <c r="M410" s="39" t="s">
        <v>413</v>
      </c>
      <c r="N410" s="31" t="s">
        <v>414</v>
      </c>
      <c r="O410" s="32" t="n">
        <v>2</v>
      </c>
      <c r="P410" s="15" t="n">
        <f aca="false">IF(A410="","",IF(O410&lt;&gt;"",O410,IF(L410&lt;&gt;"",L410,F410)))</f>
        <v>2</v>
      </c>
    </row>
    <row r="411" customFormat="false" ht="15" hidden="false" customHeight="true" outlineLevel="0" collapsed="false">
      <c r="A411" s="26" t="s">
        <v>51</v>
      </c>
      <c r="B411" s="26" t="s">
        <v>52</v>
      </c>
      <c r="C411" s="14" t="n">
        <f aca="false">IF(A411="","",IFERROR(VLOOKUP(A411,'Recert Status'!$A$8:$C$400,3,FALSE()),""))</f>
        <v>46387</v>
      </c>
      <c r="D411" s="18" t="s">
        <v>414</v>
      </c>
      <c r="E411" s="26" t="s">
        <v>416</v>
      </c>
      <c r="F411" s="27" t="n">
        <v>2</v>
      </c>
      <c r="G411" s="28" t="n">
        <v>46286</v>
      </c>
      <c r="H411" s="28" t="n">
        <v>46286</v>
      </c>
      <c r="I411" s="18" t="s">
        <v>907</v>
      </c>
      <c r="J411" s="26" t="s">
        <v>416</v>
      </c>
      <c r="K411" s="18" t="s">
        <v>490</v>
      </c>
      <c r="L411" s="27" t="n">
        <v>2</v>
      </c>
      <c r="M411" s="39" t="s">
        <v>413</v>
      </c>
      <c r="N411" s="18" t="s">
        <v>414</v>
      </c>
      <c r="O411" s="27" t="n">
        <v>2</v>
      </c>
      <c r="P411" s="15" t="n">
        <f aca="false">IF(A411="","",IF(O411&lt;&gt;"",O411,IF(L411&lt;&gt;"",L411,F411)))</f>
        <v>2</v>
      </c>
    </row>
    <row r="412" customFormat="false" ht="15" hidden="false" customHeight="true" outlineLevel="0" collapsed="false">
      <c r="A412" s="30" t="s">
        <v>53</v>
      </c>
      <c r="B412" s="30" t="s">
        <v>54</v>
      </c>
      <c r="C412" s="21" t="n">
        <f aca="false">IF(A412="","",IFERROR(VLOOKUP(A412,'Recert Status'!$A$8:$C$400,3,FALSE()),""))</f>
        <v>46387</v>
      </c>
      <c r="D412" s="31" t="s">
        <v>362</v>
      </c>
      <c r="E412" s="30" t="s">
        <v>363</v>
      </c>
      <c r="F412" s="32" t="n">
        <v>0.5</v>
      </c>
      <c r="G412" s="33" t="n">
        <v>45783</v>
      </c>
      <c r="H412" s="33" t="n">
        <v>45783</v>
      </c>
      <c r="I412" s="31" t="s">
        <v>364</v>
      </c>
      <c r="J412" s="30" t="s">
        <v>363</v>
      </c>
      <c r="K412" s="31" t="s">
        <v>365</v>
      </c>
      <c r="L412" s="32" t="n">
        <v>0.5</v>
      </c>
      <c r="M412" s="29" t="s">
        <v>366</v>
      </c>
      <c r="N412" s="31" t="s">
        <v>367</v>
      </c>
      <c r="O412" s="32" t="n">
        <v>0.5</v>
      </c>
      <c r="P412" s="15" t="n">
        <f aca="false">IF(A412="","",IF(O412&lt;&gt;"",O412,IF(L412&lt;&gt;"",L412,F412)))</f>
        <v>0.5</v>
      </c>
    </row>
    <row r="413" customFormat="false" ht="15" hidden="false" customHeight="true" outlineLevel="0" collapsed="false">
      <c r="A413" s="26" t="s">
        <v>53</v>
      </c>
      <c r="B413" s="26" t="s">
        <v>54</v>
      </c>
      <c r="C413" s="14" t="n">
        <f aca="false">IF(A413="","",IFERROR(VLOOKUP(A413,'Recert Status'!$A$8:$C$400,3,FALSE()),""))</f>
        <v>46387</v>
      </c>
      <c r="D413" s="18" t="s">
        <v>908</v>
      </c>
      <c r="E413" s="26" t="s">
        <v>363</v>
      </c>
      <c r="F413" s="27" t="n">
        <v>1.5</v>
      </c>
      <c r="G413" s="28" t="n">
        <v>45867</v>
      </c>
      <c r="H413" s="28" t="n">
        <v>45867</v>
      </c>
      <c r="I413" s="18" t="s">
        <v>909</v>
      </c>
      <c r="J413" s="26" t="s">
        <v>363</v>
      </c>
      <c r="K413" s="18" t="s">
        <v>370</v>
      </c>
      <c r="L413" s="27" t="n">
        <v>1.5</v>
      </c>
      <c r="M413" s="29" t="s">
        <v>366</v>
      </c>
      <c r="N413" s="18" t="s">
        <v>367</v>
      </c>
      <c r="O413" s="27" t="n">
        <v>1.5</v>
      </c>
      <c r="P413" s="15" t="n">
        <f aca="false">IF(A413="","",IF(O413&lt;&gt;"",O413,IF(L413&lt;&gt;"",L413,F413)))</f>
        <v>1.5</v>
      </c>
    </row>
    <row r="414" customFormat="false" ht="15" hidden="false" customHeight="true" outlineLevel="0" collapsed="false">
      <c r="A414" s="30" t="s">
        <v>53</v>
      </c>
      <c r="B414" s="30" t="s">
        <v>54</v>
      </c>
      <c r="C414" s="21" t="n">
        <f aca="false">IF(A414="","",IFERROR(VLOOKUP(A414,'Recert Status'!$A$8:$C$400,3,FALSE()),""))</f>
        <v>46387</v>
      </c>
      <c r="D414" s="31" t="s">
        <v>884</v>
      </c>
      <c r="E414" s="30" t="s">
        <v>426</v>
      </c>
      <c r="F414" s="32" t="n">
        <v>2</v>
      </c>
      <c r="G414" s="33" t="n">
        <v>45929</v>
      </c>
      <c r="H414" s="33" t="n">
        <v>45929</v>
      </c>
      <c r="I414" s="31" t="s">
        <v>885</v>
      </c>
      <c r="J414" s="30" t="s">
        <v>426</v>
      </c>
      <c r="K414" s="31" t="s">
        <v>428</v>
      </c>
      <c r="L414" s="32" t="n">
        <v>2</v>
      </c>
      <c r="M414" s="41" t="s">
        <v>429</v>
      </c>
      <c r="N414" s="31" t="s">
        <v>430</v>
      </c>
      <c r="O414" s="32" t="n">
        <v>2</v>
      </c>
      <c r="P414" s="15" t="n">
        <f aca="false">IF(A414="","",IF(O414&lt;&gt;"",O414,IF(L414&lt;&gt;"",L414,F414)))</f>
        <v>2</v>
      </c>
    </row>
    <row r="415" customFormat="false" ht="15" hidden="false" customHeight="true" outlineLevel="0" collapsed="false">
      <c r="A415" s="26" t="s">
        <v>53</v>
      </c>
      <c r="B415" s="26" t="s">
        <v>54</v>
      </c>
      <c r="C415" s="14" t="n">
        <f aca="false">IF(A415="","",IFERROR(VLOOKUP(A415,'Recert Status'!$A$8:$C$400,3,FALSE()),""))</f>
        <v>46387</v>
      </c>
      <c r="D415" s="18" t="s">
        <v>910</v>
      </c>
      <c r="E415" s="26" t="s">
        <v>372</v>
      </c>
      <c r="F415" s="27" t="n">
        <v>1</v>
      </c>
      <c r="G415" s="28" t="n">
        <v>45768</v>
      </c>
      <c r="H415" s="28" t="n">
        <v>45768</v>
      </c>
      <c r="I415" s="18" t="s">
        <v>911</v>
      </c>
      <c r="J415" s="26" t="s">
        <v>372</v>
      </c>
      <c r="K415" s="18" t="s">
        <v>374</v>
      </c>
      <c r="L415" s="27" t="n">
        <v>1</v>
      </c>
      <c r="M415" s="34" t="s">
        <v>375</v>
      </c>
      <c r="N415" s="18" t="s">
        <v>376</v>
      </c>
      <c r="O415" s="27" t="n">
        <v>1</v>
      </c>
      <c r="P415" s="15" t="n">
        <f aca="false">IF(A415="","",IF(O415&lt;&gt;"",O415,IF(L415&lt;&gt;"",L415,F415)))</f>
        <v>1</v>
      </c>
    </row>
    <row r="416" customFormat="false" ht="15" hidden="false" customHeight="true" outlineLevel="0" collapsed="false">
      <c r="A416" s="30" t="s">
        <v>53</v>
      </c>
      <c r="B416" s="30" t="s">
        <v>54</v>
      </c>
      <c r="C416" s="21" t="n">
        <f aca="false">IF(A416="","",IFERROR(VLOOKUP(A416,'Recert Status'!$A$8:$C$400,3,FALSE()),""))</f>
        <v>46387</v>
      </c>
      <c r="D416" s="31" t="s">
        <v>908</v>
      </c>
      <c r="E416" s="30" t="n">
        <v>29668</v>
      </c>
      <c r="F416" s="32" t="n">
        <v>1</v>
      </c>
      <c r="G416" s="33" t="n">
        <v>45867</v>
      </c>
      <c r="H416" s="33" t="n">
        <v>45867</v>
      </c>
      <c r="I416" s="31" t="s">
        <v>912</v>
      </c>
      <c r="J416" s="30" t="s">
        <v>511</v>
      </c>
      <c r="K416" s="31" t="s">
        <v>509</v>
      </c>
      <c r="L416" s="32" t="n">
        <v>1</v>
      </c>
      <c r="M416" s="35" t="s">
        <v>386</v>
      </c>
      <c r="N416" s="31" t="s">
        <v>387</v>
      </c>
      <c r="O416" s="32" t="n">
        <v>1</v>
      </c>
      <c r="P416" s="15" t="n">
        <f aca="false">IF(A416="","",IF(O416&lt;&gt;"",O416,IF(L416&lt;&gt;"",L416,F416)))</f>
        <v>1</v>
      </c>
    </row>
    <row r="417" customFormat="false" ht="15" hidden="false" customHeight="true" outlineLevel="0" collapsed="false">
      <c r="A417" s="26" t="s">
        <v>53</v>
      </c>
      <c r="B417" s="26" t="s">
        <v>54</v>
      </c>
      <c r="C417" s="14" t="n">
        <f aca="false">IF(A417="","",IFERROR(VLOOKUP(A417,'Recert Status'!$A$8:$C$400,3,FALSE()),""))</f>
        <v>46387</v>
      </c>
      <c r="D417" s="18" t="s">
        <v>913</v>
      </c>
      <c r="E417" s="26" t="s">
        <v>389</v>
      </c>
      <c r="F417" s="27" t="n">
        <v>1</v>
      </c>
      <c r="G417" s="28" t="n">
        <v>45971</v>
      </c>
      <c r="H417" s="28" t="n">
        <v>45971</v>
      </c>
      <c r="I417" s="18" t="s">
        <v>445</v>
      </c>
      <c r="J417" s="26" t="s">
        <v>389</v>
      </c>
      <c r="K417" s="18" t="s">
        <v>446</v>
      </c>
      <c r="L417" s="27" t="n">
        <v>1</v>
      </c>
      <c r="M417" s="35" t="s">
        <v>386</v>
      </c>
      <c r="N417" s="18" t="s">
        <v>387</v>
      </c>
      <c r="O417" s="27" t="n">
        <v>1</v>
      </c>
      <c r="P417" s="15" t="n">
        <f aca="false">IF(A417="","",IF(O417&lt;&gt;"",O417,IF(L417&lt;&gt;"",L417,F417)))</f>
        <v>1</v>
      </c>
    </row>
    <row r="418" customFormat="false" ht="15" hidden="false" customHeight="true" outlineLevel="0" collapsed="false">
      <c r="A418" s="30" t="s">
        <v>53</v>
      </c>
      <c r="B418" s="30" t="s">
        <v>54</v>
      </c>
      <c r="C418" s="21" t="n">
        <f aca="false">IF(A418="","",IFERROR(VLOOKUP(A418,'Recert Status'!$A$8:$C$400,3,FALSE()),""))</f>
        <v>46387</v>
      </c>
      <c r="D418" s="31" t="s">
        <v>914</v>
      </c>
      <c r="E418" s="30" t="n">
        <v>29675</v>
      </c>
      <c r="F418" s="32" t="n">
        <v>2</v>
      </c>
      <c r="G418" s="33" t="n">
        <v>45971</v>
      </c>
      <c r="H418" s="33" t="n">
        <v>45971</v>
      </c>
      <c r="I418" s="31" t="s">
        <v>915</v>
      </c>
      <c r="J418" s="30" t="s">
        <v>406</v>
      </c>
      <c r="K418" s="31" t="s">
        <v>630</v>
      </c>
      <c r="L418" s="32" t="n">
        <v>2</v>
      </c>
      <c r="M418" s="35" t="s">
        <v>386</v>
      </c>
      <c r="N418" s="31" t="s">
        <v>387</v>
      </c>
      <c r="O418" s="32" t="n">
        <v>2</v>
      </c>
      <c r="P418" s="15" t="n">
        <f aca="false">IF(A418="","",IF(O418&lt;&gt;"",O418,IF(L418&lt;&gt;"",L418,F418)))</f>
        <v>2</v>
      </c>
    </row>
    <row r="419" customFormat="false" ht="15" hidden="false" customHeight="true" outlineLevel="0" collapsed="false">
      <c r="A419" s="26" t="s">
        <v>53</v>
      </c>
      <c r="B419" s="26" t="s">
        <v>54</v>
      </c>
      <c r="C419" s="14" t="n">
        <f aca="false">IF(A419="","",IFERROR(VLOOKUP(A419,'Recert Status'!$A$8:$C$400,3,FALSE()),""))</f>
        <v>46387</v>
      </c>
      <c r="D419" s="18" t="s">
        <v>916</v>
      </c>
      <c r="E419" s="26" t="n">
        <v>29675</v>
      </c>
      <c r="F419" s="27" t="n">
        <v>10</v>
      </c>
      <c r="G419" s="28" t="n">
        <v>46179</v>
      </c>
      <c r="H419" s="28" t="n">
        <v>46179</v>
      </c>
      <c r="I419" s="18" t="s">
        <v>917</v>
      </c>
      <c r="J419" s="26" t="s">
        <v>406</v>
      </c>
      <c r="K419" s="18" t="s">
        <v>735</v>
      </c>
      <c r="L419" s="27" t="n">
        <v>2</v>
      </c>
      <c r="M419" s="35" t="s">
        <v>386</v>
      </c>
      <c r="N419" s="18" t="s">
        <v>387</v>
      </c>
      <c r="O419" s="27" t="n">
        <v>2</v>
      </c>
      <c r="P419" s="15" t="n">
        <f aca="false">IF(A419="","",IF(O419&lt;&gt;"",O419,IF(L419&lt;&gt;"",L419,F419)))</f>
        <v>2</v>
      </c>
    </row>
    <row r="420" customFormat="false" ht="15" hidden="false" customHeight="true" outlineLevel="0" collapsed="false">
      <c r="A420" s="30" t="s">
        <v>53</v>
      </c>
      <c r="B420" s="30" t="s">
        <v>54</v>
      </c>
      <c r="C420" s="21" t="n">
        <f aca="false">IF(A420="","",IFERROR(VLOOKUP(A420,'Recert Status'!$A$8:$C$400,3,FALSE()),""))</f>
        <v>46387</v>
      </c>
      <c r="D420" s="31" t="s">
        <v>387</v>
      </c>
      <c r="E420" s="30" t="s">
        <v>389</v>
      </c>
      <c r="F420" s="32" t="n">
        <v>1</v>
      </c>
      <c r="G420" s="33" t="n">
        <v>46233</v>
      </c>
      <c r="H420" s="33" t="n">
        <v>46233</v>
      </c>
      <c r="I420" s="31" t="s">
        <v>918</v>
      </c>
      <c r="J420" s="30" t="s">
        <v>389</v>
      </c>
      <c r="K420" s="31" t="s">
        <v>451</v>
      </c>
      <c r="L420" s="32" t="n">
        <v>1</v>
      </c>
      <c r="M420" s="35" t="s">
        <v>386</v>
      </c>
      <c r="N420" s="31" t="s">
        <v>387</v>
      </c>
      <c r="O420" s="32" t="n">
        <v>1</v>
      </c>
      <c r="P420" s="15" t="n">
        <f aca="false">IF(A420="","",IF(O420&lt;&gt;"",O420,IF(L420&lt;&gt;"",L420,F420)))</f>
        <v>1</v>
      </c>
    </row>
    <row r="421" customFormat="false" ht="15" hidden="false" customHeight="true" outlineLevel="0" collapsed="false">
      <c r="A421" s="26" t="s">
        <v>53</v>
      </c>
      <c r="B421" s="26" t="s">
        <v>54</v>
      </c>
      <c r="C421" s="14" t="n">
        <f aca="false">IF(A421="","",IFERROR(VLOOKUP(A421,'Recert Status'!$A$8:$C$400,3,FALSE()),""))</f>
        <v>46387</v>
      </c>
      <c r="D421" s="18" t="s">
        <v>387</v>
      </c>
      <c r="E421" s="26" t="s">
        <v>389</v>
      </c>
      <c r="F421" s="27" t="n">
        <v>1</v>
      </c>
      <c r="G421" s="28" t="n">
        <v>46235</v>
      </c>
      <c r="H421" s="28" t="n">
        <v>46235</v>
      </c>
      <c r="I421" s="18" t="s">
        <v>919</v>
      </c>
      <c r="J421" s="26" t="s">
        <v>389</v>
      </c>
      <c r="K421" s="18" t="s">
        <v>451</v>
      </c>
      <c r="L421" s="27" t="n">
        <v>1</v>
      </c>
      <c r="M421" s="35" t="s">
        <v>386</v>
      </c>
      <c r="N421" s="18" t="s">
        <v>387</v>
      </c>
      <c r="O421" s="27" t="n">
        <v>1</v>
      </c>
      <c r="P421" s="15" t="n">
        <f aca="false">IF(A421="","",IF(O421&lt;&gt;"",O421,IF(L421&lt;&gt;"",L421,F421)))</f>
        <v>1</v>
      </c>
    </row>
    <row r="422" customFormat="false" ht="15" hidden="false" customHeight="true" outlineLevel="0" collapsed="false">
      <c r="A422" s="30" t="s">
        <v>53</v>
      </c>
      <c r="B422" s="30" t="s">
        <v>54</v>
      </c>
      <c r="C422" s="21" t="n">
        <f aca="false">IF(A422="","",IFERROR(VLOOKUP(A422,'Recert Status'!$A$8:$C$400,3,FALSE()),""))</f>
        <v>46387</v>
      </c>
      <c r="D422" s="31" t="s">
        <v>415</v>
      </c>
      <c r="E422" s="30" t="s">
        <v>416</v>
      </c>
      <c r="F422" s="32" t="n">
        <v>1</v>
      </c>
      <c r="G422" s="33" t="n">
        <v>45825</v>
      </c>
      <c r="H422" s="33" t="n">
        <v>45825</v>
      </c>
      <c r="I422" s="31" t="s">
        <v>920</v>
      </c>
      <c r="J422" s="30" t="s">
        <v>416</v>
      </c>
      <c r="K422" s="31" t="s">
        <v>418</v>
      </c>
      <c r="L422" s="32" t="n">
        <v>1</v>
      </c>
      <c r="M422" s="39" t="s">
        <v>413</v>
      </c>
      <c r="N422" s="31" t="s">
        <v>414</v>
      </c>
      <c r="O422" s="32" t="n">
        <v>1</v>
      </c>
      <c r="P422" s="15" t="n">
        <f aca="false">IF(A422="","",IF(O422&lt;&gt;"",O422,IF(L422&lt;&gt;"",L422,F422)))</f>
        <v>1</v>
      </c>
    </row>
    <row r="423" customFormat="false" ht="15" hidden="false" customHeight="true" outlineLevel="0" collapsed="false">
      <c r="A423" s="26" t="s">
        <v>53</v>
      </c>
      <c r="B423" s="26" t="s">
        <v>54</v>
      </c>
      <c r="C423" s="14" t="n">
        <f aca="false">IF(A423="","",IFERROR(VLOOKUP(A423,'Recert Status'!$A$8:$C$400,3,FALSE()),""))</f>
        <v>46387</v>
      </c>
      <c r="D423" s="18" t="s">
        <v>457</v>
      </c>
      <c r="E423" s="26" t="s">
        <v>416</v>
      </c>
      <c r="F423" s="27" t="n">
        <v>2</v>
      </c>
      <c r="G423" s="28" t="n">
        <v>45861</v>
      </c>
      <c r="H423" s="28" t="n">
        <v>45861</v>
      </c>
      <c r="I423" s="18" t="s">
        <v>921</v>
      </c>
      <c r="J423" s="26" t="s">
        <v>416</v>
      </c>
      <c r="K423" s="18" t="s">
        <v>418</v>
      </c>
      <c r="L423" s="27" t="n">
        <v>2</v>
      </c>
      <c r="M423" s="39" t="s">
        <v>413</v>
      </c>
      <c r="N423" s="18" t="s">
        <v>414</v>
      </c>
      <c r="O423" s="27" t="n">
        <v>2</v>
      </c>
      <c r="P423" s="15" t="n">
        <f aca="false">IF(A423="","",IF(O423&lt;&gt;"",O423,IF(L423&lt;&gt;"",L423,F423)))</f>
        <v>2</v>
      </c>
    </row>
    <row r="424" customFormat="false" ht="15" hidden="false" customHeight="true" outlineLevel="0" collapsed="false">
      <c r="A424" s="30" t="s">
        <v>53</v>
      </c>
      <c r="B424" s="30" t="s">
        <v>54</v>
      </c>
      <c r="C424" s="21" t="n">
        <f aca="false">IF(A424="","",IFERROR(VLOOKUP(A424,'Recert Status'!$A$8:$C$400,3,FALSE()),""))</f>
        <v>46387</v>
      </c>
      <c r="D424" s="31" t="s">
        <v>488</v>
      </c>
      <c r="E424" s="30" t="s">
        <v>416</v>
      </c>
      <c r="F424" s="32" t="n">
        <v>1</v>
      </c>
      <c r="G424" s="33" t="n">
        <v>46139</v>
      </c>
      <c r="H424" s="33" t="n">
        <v>46139</v>
      </c>
      <c r="I424" s="31" t="s">
        <v>610</v>
      </c>
      <c r="J424" s="30" t="s">
        <v>416</v>
      </c>
      <c r="K424" s="31" t="s">
        <v>490</v>
      </c>
      <c r="L424" s="32" t="n">
        <v>1</v>
      </c>
      <c r="M424" s="39" t="s">
        <v>413</v>
      </c>
      <c r="N424" s="31" t="s">
        <v>414</v>
      </c>
      <c r="O424" s="32" t="n">
        <v>1</v>
      </c>
      <c r="P424" s="15" t="n">
        <f aca="false">IF(A424="","",IF(O424&lt;&gt;"",O424,IF(L424&lt;&gt;"",L424,F424)))</f>
        <v>1</v>
      </c>
    </row>
    <row r="425" customFormat="false" ht="15" hidden="false" customHeight="true" outlineLevel="0" collapsed="false">
      <c r="A425" s="26" t="s">
        <v>55</v>
      </c>
      <c r="B425" s="26" t="s">
        <v>56</v>
      </c>
      <c r="C425" s="14" t="n">
        <f aca="false">IF(A425="","",IFERROR(VLOOKUP(A425,'Recert Status'!$A$8:$C$400,3,FALSE()),""))</f>
        <v>46387</v>
      </c>
      <c r="D425" s="18" t="s">
        <v>362</v>
      </c>
      <c r="E425" s="26" t="n">
        <v>57394</v>
      </c>
      <c r="F425" s="27" t="n">
        <v>3</v>
      </c>
      <c r="G425" s="28" t="n">
        <v>45971</v>
      </c>
      <c r="H425" s="28" t="n">
        <v>45971</v>
      </c>
      <c r="I425" s="18" t="s">
        <v>922</v>
      </c>
      <c r="J425" s="26" t="s">
        <v>503</v>
      </c>
      <c r="K425" s="18" t="s">
        <v>365</v>
      </c>
      <c r="L425" s="27" t="n">
        <v>1.5</v>
      </c>
      <c r="M425" s="29" t="s">
        <v>366</v>
      </c>
      <c r="N425" s="18" t="s">
        <v>923</v>
      </c>
      <c r="O425" s="27" t="n">
        <v>3</v>
      </c>
      <c r="P425" s="15" t="n">
        <f aca="false">IF(A425="","",IF(O425&lt;&gt;"",O425,IF(L425&lt;&gt;"",L425,F425)))</f>
        <v>3</v>
      </c>
    </row>
    <row r="426" customFormat="false" ht="15" hidden="false" customHeight="true" outlineLevel="0" collapsed="false">
      <c r="A426" s="30" t="s">
        <v>55</v>
      </c>
      <c r="B426" s="30" t="s">
        <v>56</v>
      </c>
      <c r="C426" s="21" t="n">
        <f aca="false">IF(A426="","",IFERROR(VLOOKUP(A426,'Recert Status'!$A$8:$C$400,3,FALSE()),""))</f>
        <v>46387</v>
      </c>
      <c r="D426" s="31" t="s">
        <v>419</v>
      </c>
      <c r="E426" s="30" t="n">
        <v>57433</v>
      </c>
      <c r="F426" s="32" t="n">
        <v>1</v>
      </c>
      <c r="G426" s="33" t="n">
        <v>45956</v>
      </c>
      <c r="H426" s="33" t="n">
        <v>45956</v>
      </c>
      <c r="I426" s="31" t="s">
        <v>420</v>
      </c>
      <c r="J426" s="30" t="s">
        <v>421</v>
      </c>
      <c r="K426" s="31" t="s">
        <v>422</v>
      </c>
      <c r="L426" s="32" t="n">
        <v>1</v>
      </c>
      <c r="M426" s="40" t="s">
        <v>423</v>
      </c>
      <c r="N426" s="31" t="s">
        <v>424</v>
      </c>
      <c r="O426" s="32" t="n">
        <v>1</v>
      </c>
      <c r="P426" s="15" t="n">
        <f aca="false">IF(A426="","",IF(O426&lt;&gt;"",O426,IF(L426&lt;&gt;"",L426,F426)))</f>
        <v>1</v>
      </c>
    </row>
    <row r="427" customFormat="false" ht="15" hidden="false" customHeight="true" outlineLevel="0" collapsed="false">
      <c r="A427" s="26" t="s">
        <v>55</v>
      </c>
      <c r="B427" s="26" t="s">
        <v>56</v>
      </c>
      <c r="C427" s="14" t="n">
        <f aca="false">IF(A427="","",IFERROR(VLOOKUP(A427,'Recert Status'!$A$8:$C$400,3,FALSE()),""))</f>
        <v>46387</v>
      </c>
      <c r="D427" s="18" t="s">
        <v>362</v>
      </c>
      <c r="E427" s="26" t="n">
        <v>57394</v>
      </c>
      <c r="F427" s="27" t="n">
        <v>3</v>
      </c>
      <c r="G427" s="28" t="n">
        <v>45971</v>
      </c>
      <c r="H427" s="28" t="n">
        <v>45971</v>
      </c>
      <c r="I427" s="18" t="s">
        <v>922</v>
      </c>
      <c r="J427" s="26" t="s">
        <v>503</v>
      </c>
      <c r="K427" s="18" t="s">
        <v>365</v>
      </c>
      <c r="L427" s="27" t="n">
        <v>1.5</v>
      </c>
      <c r="M427" s="41" t="s">
        <v>429</v>
      </c>
      <c r="N427" s="18" t="s">
        <v>923</v>
      </c>
      <c r="O427" s="27" t="n">
        <v>3</v>
      </c>
      <c r="P427" s="15" t="n">
        <f aca="false">IF(A427="","",IF(O427&lt;&gt;"",O427,IF(L427&lt;&gt;"",L427,F427)))</f>
        <v>3</v>
      </c>
    </row>
    <row r="428" customFormat="false" ht="15" hidden="false" customHeight="true" outlineLevel="0" collapsed="false">
      <c r="A428" s="30" t="s">
        <v>55</v>
      </c>
      <c r="B428" s="30" t="s">
        <v>56</v>
      </c>
      <c r="C428" s="21" t="n">
        <f aca="false">IF(A428="","",IFERROR(VLOOKUP(A428,'Recert Status'!$A$8:$C$400,3,FALSE()),""))</f>
        <v>46387</v>
      </c>
      <c r="D428" s="31" t="s">
        <v>437</v>
      </c>
      <c r="E428" s="30" t="n">
        <v>29743</v>
      </c>
      <c r="F428" s="32" t="n">
        <v>1</v>
      </c>
      <c r="G428" s="33" t="n">
        <v>45833</v>
      </c>
      <c r="H428" s="33" t="n">
        <v>45833</v>
      </c>
      <c r="I428" s="31" t="s">
        <v>438</v>
      </c>
      <c r="J428" s="30" t="s">
        <v>439</v>
      </c>
      <c r="K428" s="31" t="s">
        <v>440</v>
      </c>
      <c r="L428" s="32" t="n">
        <v>1</v>
      </c>
      <c r="M428" s="35" t="s">
        <v>386</v>
      </c>
      <c r="N428" s="31" t="s">
        <v>387</v>
      </c>
      <c r="O428" s="32" t="n">
        <v>1</v>
      </c>
      <c r="P428" s="15" t="n">
        <f aca="false">IF(A428="","",IF(O428&lt;&gt;"",O428,IF(L428&lt;&gt;"",L428,F428)))</f>
        <v>1</v>
      </c>
    </row>
    <row r="429" customFormat="false" ht="15" hidden="false" customHeight="true" outlineLevel="0" collapsed="false">
      <c r="A429" s="26" t="s">
        <v>55</v>
      </c>
      <c r="B429" s="26" t="s">
        <v>56</v>
      </c>
      <c r="C429" s="14" t="n">
        <f aca="false">IF(A429="","",IFERROR(VLOOKUP(A429,'Recert Status'!$A$8:$C$400,3,FALSE()),""))</f>
        <v>46387</v>
      </c>
      <c r="D429" s="18" t="s">
        <v>441</v>
      </c>
      <c r="E429" s="26" t="n">
        <v>29743</v>
      </c>
      <c r="F429" s="27" t="n">
        <v>1</v>
      </c>
      <c r="G429" s="28" t="n">
        <v>45833</v>
      </c>
      <c r="H429" s="28" t="n">
        <v>45833</v>
      </c>
      <c r="I429" s="18" t="s">
        <v>442</v>
      </c>
      <c r="J429" s="26" t="s">
        <v>439</v>
      </c>
      <c r="K429" s="18" t="s">
        <v>443</v>
      </c>
      <c r="L429" s="27" t="n">
        <v>1</v>
      </c>
      <c r="M429" s="35" t="s">
        <v>386</v>
      </c>
      <c r="N429" s="18" t="s">
        <v>387</v>
      </c>
      <c r="O429" s="27" t="n">
        <v>1</v>
      </c>
      <c r="P429" s="15" t="n">
        <f aca="false">IF(A429="","",IF(O429&lt;&gt;"",O429,IF(L429&lt;&gt;"",L429,F429)))</f>
        <v>1</v>
      </c>
    </row>
    <row r="430" customFormat="false" ht="15" hidden="false" customHeight="true" outlineLevel="0" collapsed="false">
      <c r="A430" s="30" t="s">
        <v>55</v>
      </c>
      <c r="B430" s="30" t="s">
        <v>56</v>
      </c>
      <c r="C430" s="21" t="n">
        <f aca="false">IF(A430="","",IFERROR(VLOOKUP(A430,'Recert Status'!$A$8:$C$400,3,FALSE()),""))</f>
        <v>46387</v>
      </c>
      <c r="D430" s="31" t="s">
        <v>447</v>
      </c>
      <c r="E430" s="30" t="n">
        <v>29675</v>
      </c>
      <c r="F430" s="32" t="n">
        <v>1</v>
      </c>
      <c r="G430" s="33" t="n">
        <v>45986</v>
      </c>
      <c r="H430" s="33" t="n">
        <v>45986</v>
      </c>
      <c r="I430" s="31" t="s">
        <v>448</v>
      </c>
      <c r="J430" s="30" t="s">
        <v>406</v>
      </c>
      <c r="K430" s="31" t="s">
        <v>446</v>
      </c>
      <c r="L430" s="32" t="n">
        <v>1</v>
      </c>
      <c r="M430" s="35" t="s">
        <v>386</v>
      </c>
      <c r="N430" s="31" t="s">
        <v>387</v>
      </c>
      <c r="O430" s="32" t="n">
        <v>1</v>
      </c>
      <c r="P430" s="15" t="n">
        <f aca="false">IF(A430="","",IF(O430&lt;&gt;"",O430,IF(L430&lt;&gt;"",L430,F430)))</f>
        <v>1</v>
      </c>
    </row>
    <row r="431" customFormat="false" ht="15" hidden="false" customHeight="true" outlineLevel="0" collapsed="false">
      <c r="A431" s="26" t="s">
        <v>55</v>
      </c>
      <c r="B431" s="26" t="s">
        <v>56</v>
      </c>
      <c r="C431" s="14" t="n">
        <f aca="false">IF(A431="","",IFERROR(VLOOKUP(A431,'Recert Status'!$A$8:$C$400,3,FALSE()),""))</f>
        <v>46387</v>
      </c>
      <c r="D431" s="18" t="s">
        <v>388</v>
      </c>
      <c r="E431" s="26" t="s">
        <v>389</v>
      </c>
      <c r="F431" s="27" t="n">
        <v>3</v>
      </c>
      <c r="G431" s="28" t="n">
        <v>46083</v>
      </c>
      <c r="H431" s="28" t="n">
        <v>46083</v>
      </c>
      <c r="I431" s="18" t="s">
        <v>390</v>
      </c>
      <c r="J431" s="26" t="s">
        <v>389</v>
      </c>
      <c r="K431" s="18" t="s">
        <v>391</v>
      </c>
      <c r="L431" s="27" t="n">
        <v>3</v>
      </c>
      <c r="M431" s="35" t="s">
        <v>386</v>
      </c>
      <c r="N431" s="18" t="s">
        <v>387</v>
      </c>
      <c r="O431" s="27" t="n">
        <v>3</v>
      </c>
      <c r="P431" s="15" t="n">
        <f aca="false">IF(A431="","",IF(O431&lt;&gt;"",O431,IF(L431&lt;&gt;"",L431,F431)))</f>
        <v>3</v>
      </c>
    </row>
    <row r="432" customFormat="false" ht="15" hidden="false" customHeight="true" outlineLevel="0" collapsed="false">
      <c r="A432" s="30" t="s">
        <v>55</v>
      </c>
      <c r="B432" s="30" t="s">
        <v>56</v>
      </c>
      <c r="C432" s="21" t="n">
        <f aca="false">IF(A432="","",IFERROR(VLOOKUP(A432,'Recert Status'!$A$8:$C$400,3,FALSE()),""))</f>
        <v>46387</v>
      </c>
      <c r="D432" s="31" t="s">
        <v>397</v>
      </c>
      <c r="E432" s="30" t="s">
        <v>452</v>
      </c>
      <c r="F432" s="32" t="n">
        <v>1</v>
      </c>
      <c r="G432" s="33" t="n">
        <v>46245</v>
      </c>
      <c r="H432" s="33" t="n">
        <v>46245</v>
      </c>
      <c r="I432" s="31" t="s">
        <v>605</v>
      </c>
      <c r="J432" s="30" t="s">
        <v>452</v>
      </c>
      <c r="K432" s="31" t="s">
        <v>385</v>
      </c>
      <c r="L432" s="32" t="n">
        <v>1</v>
      </c>
      <c r="M432" s="36" t="s">
        <v>396</v>
      </c>
      <c r="N432" s="31" t="s">
        <v>397</v>
      </c>
      <c r="O432" s="32" t="n">
        <v>1</v>
      </c>
      <c r="P432" s="15" t="n">
        <f aca="false">IF(A432="","",IF(O432&lt;&gt;"",O432,IF(L432&lt;&gt;"",L432,F432)))</f>
        <v>1</v>
      </c>
    </row>
    <row r="433" customFormat="false" ht="15" hidden="false" customHeight="true" outlineLevel="0" collapsed="false">
      <c r="A433" s="26" t="s">
        <v>55</v>
      </c>
      <c r="B433" s="26" t="s">
        <v>56</v>
      </c>
      <c r="C433" s="14" t="n">
        <f aca="false">IF(A433="","",IFERROR(VLOOKUP(A433,'Recert Status'!$A$8:$C$400,3,FALSE()),""))</f>
        <v>46387</v>
      </c>
      <c r="D433" s="18" t="s">
        <v>750</v>
      </c>
      <c r="E433" s="26" t="s">
        <v>416</v>
      </c>
      <c r="F433" s="27" t="n">
        <v>3</v>
      </c>
      <c r="G433" s="28" t="n">
        <v>46001</v>
      </c>
      <c r="H433" s="28" t="n">
        <v>46001</v>
      </c>
      <c r="I433" s="18" t="s">
        <v>751</v>
      </c>
      <c r="J433" s="26" t="s">
        <v>416</v>
      </c>
      <c r="K433" s="18" t="s">
        <v>456</v>
      </c>
      <c r="L433" s="27" t="n">
        <v>3</v>
      </c>
      <c r="M433" s="39" t="s">
        <v>413</v>
      </c>
      <c r="N433" s="18" t="s">
        <v>414</v>
      </c>
      <c r="O433" s="27" t="n">
        <v>3</v>
      </c>
      <c r="P433" s="15" t="n">
        <f aca="false">IF(A433="","",IF(O433&lt;&gt;"",O433,IF(L433&lt;&gt;"",L433,F433)))</f>
        <v>3</v>
      </c>
    </row>
    <row r="434" customFormat="false" ht="15" hidden="false" customHeight="true" outlineLevel="0" collapsed="false">
      <c r="A434" s="30" t="s">
        <v>55</v>
      </c>
      <c r="B434" s="30" t="s">
        <v>56</v>
      </c>
      <c r="C434" s="21" t="n">
        <f aca="false">IF(A434="","",IFERROR(VLOOKUP(A434,'Recert Status'!$A$8:$C$400,3,FALSE()),""))</f>
        <v>46387</v>
      </c>
      <c r="D434" s="31" t="s">
        <v>488</v>
      </c>
      <c r="E434" s="30" t="s">
        <v>416</v>
      </c>
      <c r="F434" s="32" t="n">
        <v>1</v>
      </c>
      <c r="G434" s="33" t="n">
        <v>46125</v>
      </c>
      <c r="H434" s="33" t="n">
        <v>46125</v>
      </c>
      <c r="I434" s="31" t="s">
        <v>608</v>
      </c>
      <c r="J434" s="30" t="s">
        <v>416</v>
      </c>
      <c r="K434" s="31" t="s">
        <v>490</v>
      </c>
      <c r="L434" s="32" t="n">
        <v>1</v>
      </c>
      <c r="M434" s="39" t="s">
        <v>413</v>
      </c>
      <c r="N434" s="31" t="s">
        <v>414</v>
      </c>
      <c r="O434" s="32" t="n">
        <v>1</v>
      </c>
      <c r="P434" s="15" t="n">
        <f aca="false">IF(A434="","",IF(O434&lt;&gt;"",O434,IF(L434&lt;&gt;"",L434,F434)))</f>
        <v>1</v>
      </c>
    </row>
    <row r="435" customFormat="false" ht="15" hidden="false" customHeight="true" outlineLevel="0" collapsed="false">
      <c r="A435" s="26" t="s">
        <v>55</v>
      </c>
      <c r="B435" s="26" t="s">
        <v>56</v>
      </c>
      <c r="C435" s="14" t="n">
        <f aca="false">IF(A435="","",IFERROR(VLOOKUP(A435,'Recert Status'!$A$8:$C$400,3,FALSE()),""))</f>
        <v>46387</v>
      </c>
      <c r="D435" s="18" t="s">
        <v>414</v>
      </c>
      <c r="E435" s="26" t="s">
        <v>416</v>
      </c>
      <c r="F435" s="27" t="n">
        <v>2</v>
      </c>
      <c r="G435" s="28" t="n">
        <v>46218</v>
      </c>
      <c r="H435" s="28" t="n">
        <v>46218</v>
      </c>
      <c r="I435" s="18" t="s">
        <v>535</v>
      </c>
      <c r="J435" s="26" t="s">
        <v>416</v>
      </c>
      <c r="K435" s="18" t="s">
        <v>418</v>
      </c>
      <c r="L435" s="27" t="n">
        <v>2</v>
      </c>
      <c r="M435" s="39" t="s">
        <v>413</v>
      </c>
      <c r="N435" s="18" t="s">
        <v>414</v>
      </c>
      <c r="O435" s="27" t="n">
        <v>2</v>
      </c>
      <c r="P435" s="15" t="n">
        <f aca="false">IF(A435="","",IF(O435&lt;&gt;"",O435,IF(L435&lt;&gt;"",L435,F435)))</f>
        <v>2</v>
      </c>
    </row>
    <row r="436" customFormat="false" ht="15" hidden="false" customHeight="true" outlineLevel="0" collapsed="false">
      <c r="A436" s="30" t="s">
        <v>55</v>
      </c>
      <c r="B436" s="30" t="s">
        <v>56</v>
      </c>
      <c r="C436" s="21" t="n">
        <f aca="false">IF(A436="","",IFERROR(VLOOKUP(A436,'Recert Status'!$A$8:$C$400,3,FALSE()),""))</f>
        <v>46387</v>
      </c>
      <c r="D436" s="31" t="s">
        <v>414</v>
      </c>
      <c r="E436" s="30" t="s">
        <v>416</v>
      </c>
      <c r="F436" s="32" t="n">
        <v>2</v>
      </c>
      <c r="G436" s="33" t="n">
        <v>46219</v>
      </c>
      <c r="H436" s="33" t="n">
        <v>46219</v>
      </c>
      <c r="I436" s="31" t="s">
        <v>567</v>
      </c>
      <c r="J436" s="30" t="s">
        <v>416</v>
      </c>
      <c r="K436" s="31" t="s">
        <v>418</v>
      </c>
      <c r="L436" s="32" t="n">
        <v>2</v>
      </c>
      <c r="M436" s="39" t="s">
        <v>413</v>
      </c>
      <c r="N436" s="31" t="s">
        <v>414</v>
      </c>
      <c r="O436" s="32" t="n">
        <v>2</v>
      </c>
      <c r="P436" s="15" t="n">
        <f aca="false">IF(A436="","",IF(O436&lt;&gt;"",O436,IF(L436&lt;&gt;"",L436,F436)))</f>
        <v>2</v>
      </c>
    </row>
    <row r="437" customFormat="false" ht="15" hidden="false" customHeight="true" outlineLevel="0" collapsed="false">
      <c r="A437" s="26" t="s">
        <v>57</v>
      </c>
      <c r="B437" s="26" t="s">
        <v>58</v>
      </c>
      <c r="C437" s="14" t="n">
        <f aca="false">IF(A437="","",IFERROR(VLOOKUP(A437,'Recert Status'!$A$8:$C$400,3,FALSE()),""))</f>
        <v>46752</v>
      </c>
      <c r="D437" s="18" t="s">
        <v>924</v>
      </c>
      <c r="E437" s="26" t="s">
        <v>363</v>
      </c>
      <c r="F437" s="27" t="n">
        <v>0.5</v>
      </c>
      <c r="G437" s="28" t="n">
        <v>45824</v>
      </c>
      <c r="H437" s="28" t="n">
        <v>45824</v>
      </c>
      <c r="I437" s="18" t="s">
        <v>925</v>
      </c>
      <c r="J437" s="26" t="s">
        <v>363</v>
      </c>
      <c r="K437" s="18" t="s">
        <v>365</v>
      </c>
      <c r="L437" s="27" t="n">
        <v>0.5</v>
      </c>
      <c r="M437" s="29" t="s">
        <v>366</v>
      </c>
      <c r="N437" s="18" t="s">
        <v>367</v>
      </c>
      <c r="O437" s="27" t="n">
        <v>0.5</v>
      </c>
      <c r="P437" s="15" t="n">
        <f aca="false">IF(A437="","",IF(O437&lt;&gt;"",O437,IF(L437&lt;&gt;"",L437,F437)))</f>
        <v>0.5</v>
      </c>
    </row>
    <row r="438" customFormat="false" ht="15" hidden="false" customHeight="true" outlineLevel="0" collapsed="false">
      <c r="A438" s="30" t="s">
        <v>57</v>
      </c>
      <c r="B438" s="30" t="s">
        <v>58</v>
      </c>
      <c r="C438" s="21" t="n">
        <f aca="false">IF(A438="","",IFERROR(VLOOKUP(A438,'Recert Status'!$A$8:$C$400,3,FALSE()),""))</f>
        <v>46752</v>
      </c>
      <c r="D438" s="31" t="s">
        <v>884</v>
      </c>
      <c r="E438" s="30" t="s">
        <v>426</v>
      </c>
      <c r="F438" s="32" t="n">
        <v>2</v>
      </c>
      <c r="G438" s="33" t="n">
        <v>45929</v>
      </c>
      <c r="H438" s="33" t="n">
        <v>45929</v>
      </c>
      <c r="I438" s="31" t="s">
        <v>885</v>
      </c>
      <c r="J438" s="30" t="s">
        <v>426</v>
      </c>
      <c r="K438" s="31" t="s">
        <v>428</v>
      </c>
      <c r="L438" s="32" t="n">
        <v>2</v>
      </c>
      <c r="M438" s="41" t="s">
        <v>429</v>
      </c>
      <c r="N438" s="31" t="s">
        <v>430</v>
      </c>
      <c r="O438" s="32" t="n">
        <v>2</v>
      </c>
      <c r="P438" s="15" t="n">
        <f aca="false">IF(A438="","",IF(O438&lt;&gt;"",O438,IF(L438&lt;&gt;"",L438,F438)))</f>
        <v>2</v>
      </c>
    </row>
    <row r="439" customFormat="false" ht="15" hidden="false" customHeight="true" outlineLevel="0" collapsed="false">
      <c r="A439" s="26" t="s">
        <v>57</v>
      </c>
      <c r="B439" s="26" t="s">
        <v>58</v>
      </c>
      <c r="C439" s="14" t="n">
        <f aca="false">IF(A439="","",IFERROR(VLOOKUP(A439,'Recert Status'!$A$8:$C$400,3,FALSE()),""))</f>
        <v>46752</v>
      </c>
      <c r="D439" s="18" t="s">
        <v>431</v>
      </c>
      <c r="E439" s="26" t="s">
        <v>426</v>
      </c>
      <c r="F439" s="27" t="n">
        <v>2</v>
      </c>
      <c r="G439" s="28" t="n">
        <v>45971</v>
      </c>
      <c r="H439" s="28" t="n">
        <v>45971</v>
      </c>
      <c r="I439" s="18" t="s">
        <v>432</v>
      </c>
      <c r="J439" s="26" t="s">
        <v>426</v>
      </c>
      <c r="K439" s="18" t="s">
        <v>428</v>
      </c>
      <c r="L439" s="27" t="n">
        <v>2</v>
      </c>
      <c r="M439" s="41" t="s">
        <v>429</v>
      </c>
      <c r="N439" s="18" t="s">
        <v>430</v>
      </c>
      <c r="O439" s="27" t="n">
        <v>2</v>
      </c>
      <c r="P439" s="15" t="n">
        <f aca="false">IF(A439="","",IF(O439&lt;&gt;"",O439,IF(L439&lt;&gt;"",L439,F439)))</f>
        <v>2</v>
      </c>
    </row>
    <row r="440" customFormat="false" ht="15" hidden="false" customHeight="true" outlineLevel="0" collapsed="false">
      <c r="A440" s="30" t="s">
        <v>57</v>
      </c>
      <c r="B440" s="30" t="s">
        <v>58</v>
      </c>
      <c r="C440" s="21" t="n">
        <f aca="false">IF(A440="","",IFERROR(VLOOKUP(A440,'Recert Status'!$A$8:$C$400,3,FALSE()),""))</f>
        <v>46752</v>
      </c>
      <c r="D440" s="31" t="s">
        <v>569</v>
      </c>
      <c r="E440" s="30" t="s">
        <v>426</v>
      </c>
      <c r="F440" s="32" t="n">
        <v>1</v>
      </c>
      <c r="G440" s="33" t="n">
        <v>46076</v>
      </c>
      <c r="H440" s="33" t="n">
        <v>46076</v>
      </c>
      <c r="I440" s="31" t="s">
        <v>926</v>
      </c>
      <c r="J440" s="30" t="s">
        <v>426</v>
      </c>
      <c r="K440" s="31" t="s">
        <v>526</v>
      </c>
      <c r="L440" s="32" t="n">
        <v>1</v>
      </c>
      <c r="M440" s="41" t="s">
        <v>429</v>
      </c>
      <c r="N440" s="31" t="s">
        <v>430</v>
      </c>
      <c r="O440" s="32" t="n">
        <v>1</v>
      </c>
      <c r="P440" s="15" t="n">
        <f aca="false">IF(A440="","",IF(O440&lt;&gt;"",O440,IF(L440&lt;&gt;"",L440,F440)))</f>
        <v>1</v>
      </c>
    </row>
    <row r="441" customFormat="false" ht="15" hidden="false" customHeight="true" outlineLevel="0" collapsed="false">
      <c r="A441" s="26" t="s">
        <v>57</v>
      </c>
      <c r="B441" s="26" t="s">
        <v>58</v>
      </c>
      <c r="C441" s="14" t="n">
        <f aca="false">IF(A441="","",IFERROR(VLOOKUP(A441,'Recert Status'!$A$8:$C$400,3,FALSE()),""))</f>
        <v>46752</v>
      </c>
      <c r="D441" s="18" t="s">
        <v>927</v>
      </c>
      <c r="E441" s="26" t="s">
        <v>426</v>
      </c>
      <c r="F441" s="27" t="n">
        <v>2</v>
      </c>
      <c r="G441" s="28" t="n">
        <v>46196</v>
      </c>
      <c r="H441" s="28" t="n">
        <v>46196</v>
      </c>
      <c r="I441" s="18" t="s">
        <v>928</v>
      </c>
      <c r="J441" s="26" t="s">
        <v>426</v>
      </c>
      <c r="K441" s="18" t="s">
        <v>526</v>
      </c>
      <c r="L441" s="27" t="n">
        <v>2</v>
      </c>
      <c r="M441" s="41" t="s">
        <v>429</v>
      </c>
      <c r="N441" s="18" t="s">
        <v>430</v>
      </c>
      <c r="O441" s="27" t="n">
        <v>2</v>
      </c>
      <c r="P441" s="15" t="n">
        <f aca="false">IF(A441="","",IF(O441&lt;&gt;"",O441,IF(L441&lt;&gt;"",L441,F441)))</f>
        <v>2</v>
      </c>
    </row>
    <row r="442" customFormat="false" ht="15" hidden="false" customHeight="true" outlineLevel="0" collapsed="false">
      <c r="A442" s="30" t="s">
        <v>57</v>
      </c>
      <c r="B442" s="30" t="s">
        <v>58</v>
      </c>
      <c r="C442" s="21" t="n">
        <f aca="false">IF(A442="","",IFERROR(VLOOKUP(A442,'Recert Status'!$A$8:$C$400,3,FALSE()),""))</f>
        <v>46752</v>
      </c>
      <c r="D442" s="31" t="s">
        <v>437</v>
      </c>
      <c r="E442" s="30" t="n">
        <v>29743</v>
      </c>
      <c r="F442" s="32" t="n">
        <v>1</v>
      </c>
      <c r="G442" s="33" t="n">
        <v>45833</v>
      </c>
      <c r="H442" s="33" t="n">
        <v>45833</v>
      </c>
      <c r="I442" s="31" t="s">
        <v>438</v>
      </c>
      <c r="J442" s="30" t="s">
        <v>439</v>
      </c>
      <c r="K442" s="31" t="s">
        <v>440</v>
      </c>
      <c r="L442" s="32" t="n">
        <v>1</v>
      </c>
      <c r="M442" s="35" t="s">
        <v>386</v>
      </c>
      <c r="N442" s="31" t="s">
        <v>387</v>
      </c>
      <c r="O442" s="32" t="n">
        <v>1</v>
      </c>
      <c r="P442" s="15" t="n">
        <f aca="false">IF(A442="","",IF(O442&lt;&gt;"",O442,IF(L442&lt;&gt;"",L442,F442)))</f>
        <v>1</v>
      </c>
    </row>
    <row r="443" customFormat="false" ht="15" hidden="false" customHeight="true" outlineLevel="0" collapsed="false">
      <c r="A443" s="26" t="s">
        <v>57</v>
      </c>
      <c r="B443" s="26" t="s">
        <v>58</v>
      </c>
      <c r="C443" s="14" t="n">
        <f aca="false">IF(A443="","",IFERROR(VLOOKUP(A443,'Recert Status'!$A$8:$C$400,3,FALSE()),""))</f>
        <v>46752</v>
      </c>
      <c r="D443" s="18" t="s">
        <v>441</v>
      </c>
      <c r="E443" s="26" t="n">
        <v>29743</v>
      </c>
      <c r="F443" s="27" t="n">
        <v>1</v>
      </c>
      <c r="G443" s="28" t="n">
        <v>45833</v>
      </c>
      <c r="H443" s="28" t="n">
        <v>45833</v>
      </c>
      <c r="I443" s="18" t="s">
        <v>442</v>
      </c>
      <c r="J443" s="26" t="s">
        <v>439</v>
      </c>
      <c r="K443" s="18" t="s">
        <v>443</v>
      </c>
      <c r="L443" s="27" t="n">
        <v>1</v>
      </c>
      <c r="M443" s="35" t="s">
        <v>386</v>
      </c>
      <c r="N443" s="18" t="s">
        <v>387</v>
      </c>
      <c r="O443" s="27" t="n">
        <v>1</v>
      </c>
      <c r="P443" s="15" t="n">
        <f aca="false">IF(A443="","",IF(O443&lt;&gt;"",O443,IF(L443&lt;&gt;"",L443,F443)))</f>
        <v>1</v>
      </c>
    </row>
    <row r="444" customFormat="false" ht="15" hidden="false" customHeight="true" outlineLevel="0" collapsed="false">
      <c r="A444" s="30" t="s">
        <v>57</v>
      </c>
      <c r="B444" s="30" t="s">
        <v>58</v>
      </c>
      <c r="C444" s="21" t="n">
        <f aca="false">IF(A444="","",IFERROR(VLOOKUP(A444,'Recert Status'!$A$8:$C$400,3,FALSE()),""))</f>
        <v>46752</v>
      </c>
      <c r="D444" s="31" t="s">
        <v>929</v>
      </c>
      <c r="E444" s="30" t="n">
        <v>29784</v>
      </c>
      <c r="F444" s="32" t="n">
        <v>0.5</v>
      </c>
      <c r="G444" s="33" t="n">
        <v>45878</v>
      </c>
      <c r="H444" s="33" t="n">
        <v>45878</v>
      </c>
      <c r="I444" s="31" t="s">
        <v>930</v>
      </c>
      <c r="J444" s="30" t="s">
        <v>435</v>
      </c>
      <c r="K444" s="31" t="s">
        <v>931</v>
      </c>
      <c r="L444" s="32" t="n">
        <v>0.5</v>
      </c>
      <c r="M444" s="35" t="s">
        <v>386</v>
      </c>
      <c r="N444" s="31" t="s">
        <v>387</v>
      </c>
      <c r="O444" s="32" t="n">
        <v>0.5</v>
      </c>
      <c r="P444" s="15" t="n">
        <f aca="false">IF(A444="","",IF(O444&lt;&gt;"",O444,IF(L444&lt;&gt;"",L444,F444)))</f>
        <v>0.5</v>
      </c>
    </row>
    <row r="445" customFormat="false" ht="15" hidden="false" customHeight="true" outlineLevel="0" collapsed="false">
      <c r="A445" s="26" t="s">
        <v>57</v>
      </c>
      <c r="B445" s="26" t="s">
        <v>58</v>
      </c>
      <c r="C445" s="14" t="n">
        <f aca="false">IF(A445="","",IFERROR(VLOOKUP(A445,'Recert Status'!$A$8:$C$400,3,FALSE()),""))</f>
        <v>46752</v>
      </c>
      <c r="D445" s="18" t="s">
        <v>736</v>
      </c>
      <c r="E445" s="26" t="n">
        <v>35513</v>
      </c>
      <c r="F445" s="27" t="n">
        <v>2</v>
      </c>
      <c r="G445" s="28" t="n">
        <v>45884</v>
      </c>
      <c r="H445" s="28" t="n">
        <v>45884</v>
      </c>
      <c r="I445" s="18" t="s">
        <v>737</v>
      </c>
      <c r="J445" s="26" t="s">
        <v>384</v>
      </c>
      <c r="K445" s="18" t="s">
        <v>385</v>
      </c>
      <c r="L445" s="27" t="n">
        <v>2</v>
      </c>
      <c r="M445" s="35" t="s">
        <v>386</v>
      </c>
      <c r="N445" s="18" t="s">
        <v>387</v>
      </c>
      <c r="O445" s="27" t="n">
        <v>2</v>
      </c>
      <c r="P445" s="15" t="n">
        <f aca="false">IF(A445="","",IF(O445&lt;&gt;"",O445,IF(L445&lt;&gt;"",L445,F445)))</f>
        <v>2</v>
      </c>
    </row>
    <row r="446" customFormat="false" ht="15" hidden="false" customHeight="true" outlineLevel="0" collapsed="false">
      <c r="A446" s="30" t="s">
        <v>57</v>
      </c>
      <c r="B446" s="30" t="s">
        <v>58</v>
      </c>
      <c r="C446" s="21" t="n">
        <f aca="false">IF(A446="","",IFERROR(VLOOKUP(A446,'Recert Status'!$A$8:$C$400,3,FALSE()),""))</f>
        <v>46752</v>
      </c>
      <c r="D446" s="31" t="s">
        <v>444</v>
      </c>
      <c r="E446" s="30" t="n">
        <v>29675</v>
      </c>
      <c r="F446" s="32" t="n">
        <v>1</v>
      </c>
      <c r="G446" s="33" t="n">
        <v>45971</v>
      </c>
      <c r="H446" s="33" t="n">
        <v>45971</v>
      </c>
      <c r="I446" s="31" t="s">
        <v>445</v>
      </c>
      <c r="J446" s="30" t="s">
        <v>406</v>
      </c>
      <c r="K446" s="31" t="s">
        <v>446</v>
      </c>
      <c r="L446" s="32" t="n">
        <v>1</v>
      </c>
      <c r="M446" s="35" t="s">
        <v>386</v>
      </c>
      <c r="N446" s="31" t="s">
        <v>387</v>
      </c>
      <c r="O446" s="32" t="n">
        <v>1</v>
      </c>
      <c r="P446" s="15" t="n">
        <f aca="false">IF(A446="","",IF(O446&lt;&gt;"",O446,IF(L446&lt;&gt;"",L446,F446)))</f>
        <v>1</v>
      </c>
    </row>
    <row r="447" customFormat="false" ht="15" hidden="false" customHeight="true" outlineLevel="0" collapsed="false">
      <c r="A447" s="26" t="s">
        <v>57</v>
      </c>
      <c r="B447" s="26" t="s">
        <v>58</v>
      </c>
      <c r="C447" s="14" t="n">
        <f aca="false">IF(A447="","",IFERROR(VLOOKUP(A447,'Recert Status'!$A$8:$C$400,3,FALSE()),""))</f>
        <v>46752</v>
      </c>
      <c r="D447" s="18" t="s">
        <v>474</v>
      </c>
      <c r="E447" s="26" t="s">
        <v>389</v>
      </c>
      <c r="F447" s="27" t="n">
        <v>1</v>
      </c>
      <c r="G447" s="28" t="n">
        <v>46204</v>
      </c>
      <c r="H447" s="28" t="n">
        <v>46204</v>
      </c>
      <c r="I447" s="18" t="s">
        <v>475</v>
      </c>
      <c r="J447" s="26" t="s">
        <v>389</v>
      </c>
      <c r="K447" s="18" t="s">
        <v>476</v>
      </c>
      <c r="L447" s="27" t="n">
        <v>1</v>
      </c>
      <c r="M447" s="35" t="s">
        <v>386</v>
      </c>
      <c r="N447" s="18" t="s">
        <v>387</v>
      </c>
      <c r="O447" s="27" t="n">
        <v>1</v>
      </c>
      <c r="P447" s="15" t="n">
        <f aca="false">IF(A447="","",IF(O447&lt;&gt;"",O447,IF(L447&lt;&gt;"",L447,F447)))</f>
        <v>1</v>
      </c>
    </row>
    <row r="448" customFormat="false" ht="15" hidden="false" customHeight="true" outlineLevel="0" collapsed="false">
      <c r="A448" s="30" t="s">
        <v>57</v>
      </c>
      <c r="B448" s="30" t="s">
        <v>58</v>
      </c>
      <c r="C448" s="21" t="n">
        <f aca="false">IF(A448="","",IFERROR(VLOOKUP(A448,'Recert Status'!$A$8:$C$400,3,FALSE()),""))</f>
        <v>46752</v>
      </c>
      <c r="D448" s="31" t="s">
        <v>387</v>
      </c>
      <c r="E448" s="30" t="s">
        <v>389</v>
      </c>
      <c r="F448" s="32" t="n">
        <v>1</v>
      </c>
      <c r="G448" s="33" t="n">
        <v>46208</v>
      </c>
      <c r="H448" s="33" t="n">
        <v>46208</v>
      </c>
      <c r="I448" s="31" t="s">
        <v>932</v>
      </c>
      <c r="J448" s="30" t="s">
        <v>389</v>
      </c>
      <c r="K448" s="31" t="s">
        <v>451</v>
      </c>
      <c r="L448" s="32" t="n">
        <v>1</v>
      </c>
      <c r="M448" s="35" t="s">
        <v>386</v>
      </c>
      <c r="N448" s="31" t="s">
        <v>387</v>
      </c>
      <c r="O448" s="32" t="n">
        <v>1</v>
      </c>
      <c r="P448" s="15" t="n">
        <f aca="false">IF(A448="","",IF(O448&lt;&gt;"",O448,IF(L448&lt;&gt;"",L448,F448)))</f>
        <v>1</v>
      </c>
    </row>
    <row r="449" customFormat="false" ht="15" hidden="false" customHeight="true" outlineLevel="0" collapsed="false">
      <c r="A449" s="26" t="s">
        <v>57</v>
      </c>
      <c r="B449" s="26" t="s">
        <v>58</v>
      </c>
      <c r="C449" s="14" t="n">
        <f aca="false">IF(A449="","",IFERROR(VLOOKUP(A449,'Recert Status'!$A$8:$C$400,3,FALSE()),""))</f>
        <v>46752</v>
      </c>
      <c r="D449" s="18" t="s">
        <v>397</v>
      </c>
      <c r="E449" s="26" t="s">
        <v>452</v>
      </c>
      <c r="F449" s="27" t="n">
        <v>1</v>
      </c>
      <c r="G449" s="28" t="n">
        <v>46244</v>
      </c>
      <c r="H449" s="28" t="n">
        <v>46244</v>
      </c>
      <c r="I449" s="18" t="s">
        <v>453</v>
      </c>
      <c r="J449" s="26" t="s">
        <v>452</v>
      </c>
      <c r="K449" s="18" t="s">
        <v>385</v>
      </c>
      <c r="L449" s="27" t="n">
        <v>1</v>
      </c>
      <c r="M449" s="36" t="s">
        <v>396</v>
      </c>
      <c r="N449" s="18" t="s">
        <v>397</v>
      </c>
      <c r="O449" s="27" t="n">
        <v>1</v>
      </c>
      <c r="P449" s="15" t="n">
        <f aca="false">IF(A449="","",IF(O449&lt;&gt;"",O449,IF(L449&lt;&gt;"",L449,F449)))</f>
        <v>1</v>
      </c>
    </row>
    <row r="450" customFormat="false" ht="15" hidden="false" customHeight="true" outlineLevel="0" collapsed="false">
      <c r="A450" s="30" t="s">
        <v>57</v>
      </c>
      <c r="B450" s="30" t="s">
        <v>58</v>
      </c>
      <c r="C450" s="21" t="n">
        <f aca="false">IF(A450="","",IFERROR(VLOOKUP(A450,'Recert Status'!$A$8:$C$400,3,FALSE()),""))</f>
        <v>46752</v>
      </c>
      <c r="D450" s="31" t="s">
        <v>397</v>
      </c>
      <c r="E450" s="30" t="s">
        <v>452</v>
      </c>
      <c r="F450" s="32" t="n">
        <v>1</v>
      </c>
      <c r="G450" s="33" t="n">
        <v>46274</v>
      </c>
      <c r="H450" s="33" t="n">
        <v>46274</v>
      </c>
      <c r="I450" s="31" t="s">
        <v>933</v>
      </c>
      <c r="J450" s="30" t="s">
        <v>452</v>
      </c>
      <c r="K450" s="31" t="s">
        <v>385</v>
      </c>
      <c r="L450" s="32" t="n">
        <v>1</v>
      </c>
      <c r="M450" s="36" t="s">
        <v>396</v>
      </c>
      <c r="N450" s="31" t="s">
        <v>397</v>
      </c>
      <c r="O450" s="32" t="n">
        <v>1</v>
      </c>
      <c r="P450" s="15" t="n">
        <f aca="false">IF(A450="","",IF(O450&lt;&gt;"",O450,IF(L450&lt;&gt;"",L450,F450)))</f>
        <v>1</v>
      </c>
    </row>
    <row r="451" customFormat="false" ht="15" hidden="false" customHeight="true" outlineLevel="0" collapsed="false">
      <c r="A451" s="26" t="s">
        <v>57</v>
      </c>
      <c r="B451" s="26" t="s">
        <v>58</v>
      </c>
      <c r="C451" s="14" t="n">
        <f aca="false">IF(A451="","",IFERROR(VLOOKUP(A451,'Recert Status'!$A$8:$C$400,3,FALSE()),""))</f>
        <v>46752</v>
      </c>
      <c r="D451" s="18" t="s">
        <v>934</v>
      </c>
      <c r="E451" s="26" t="s">
        <v>416</v>
      </c>
      <c r="F451" s="27" t="n">
        <v>1</v>
      </c>
      <c r="G451" s="28" t="n">
        <v>45824</v>
      </c>
      <c r="H451" s="28" t="n">
        <v>45824</v>
      </c>
      <c r="I451" s="18" t="s">
        <v>935</v>
      </c>
      <c r="J451" s="26" t="s">
        <v>416</v>
      </c>
      <c r="K451" s="18" t="s">
        <v>418</v>
      </c>
      <c r="L451" s="27" t="n">
        <v>1</v>
      </c>
      <c r="M451" s="39" t="s">
        <v>413</v>
      </c>
      <c r="N451" s="18" t="s">
        <v>414</v>
      </c>
      <c r="O451" s="27" t="n">
        <v>1</v>
      </c>
      <c r="P451" s="15" t="n">
        <f aca="false">IF(A451="","",IF(O451&lt;&gt;"",O451,IF(L451&lt;&gt;"",L451,F451)))</f>
        <v>1</v>
      </c>
    </row>
    <row r="452" customFormat="false" ht="15" hidden="false" customHeight="true" outlineLevel="0" collapsed="false">
      <c r="A452" s="30" t="s">
        <v>57</v>
      </c>
      <c r="B452" s="30" t="s">
        <v>58</v>
      </c>
      <c r="C452" s="21" t="n">
        <f aca="false">IF(A452="","",IFERROR(VLOOKUP(A452,'Recert Status'!$A$8:$C$400,3,FALSE()),""))</f>
        <v>46752</v>
      </c>
      <c r="D452" s="31" t="s">
        <v>457</v>
      </c>
      <c r="E452" s="30" t="s">
        <v>416</v>
      </c>
      <c r="F452" s="32" t="n">
        <v>2</v>
      </c>
      <c r="G452" s="33" t="n">
        <v>45860</v>
      </c>
      <c r="H452" s="33" t="n">
        <v>45860</v>
      </c>
      <c r="I452" s="31" t="s">
        <v>458</v>
      </c>
      <c r="J452" s="30" t="s">
        <v>416</v>
      </c>
      <c r="K452" s="31" t="s">
        <v>459</v>
      </c>
      <c r="L452" s="32" t="n">
        <v>2</v>
      </c>
      <c r="M452" s="39" t="s">
        <v>413</v>
      </c>
      <c r="N452" s="31" t="s">
        <v>414</v>
      </c>
      <c r="O452" s="32" t="n">
        <v>2</v>
      </c>
      <c r="P452" s="15" t="n">
        <f aca="false">IF(A452="","",IF(O452&lt;&gt;"",O452,IF(L452&lt;&gt;"",L452,F452)))</f>
        <v>2</v>
      </c>
    </row>
    <row r="453" customFormat="false" ht="15" hidden="false" customHeight="true" outlineLevel="0" collapsed="false">
      <c r="A453" s="26" t="s">
        <v>57</v>
      </c>
      <c r="B453" s="26" t="s">
        <v>58</v>
      </c>
      <c r="C453" s="14" t="n">
        <f aca="false">IF(A453="","",IFERROR(VLOOKUP(A453,'Recert Status'!$A$8:$C$400,3,FALSE()),""))</f>
        <v>46752</v>
      </c>
      <c r="D453" s="18" t="s">
        <v>414</v>
      </c>
      <c r="E453" s="26" t="s">
        <v>416</v>
      </c>
      <c r="F453" s="27" t="n">
        <v>2</v>
      </c>
      <c r="G453" s="28" t="n">
        <v>46217</v>
      </c>
      <c r="H453" s="28" t="n">
        <v>46217</v>
      </c>
      <c r="I453" s="18" t="s">
        <v>460</v>
      </c>
      <c r="J453" s="26" t="s">
        <v>416</v>
      </c>
      <c r="K453" s="18" t="s">
        <v>418</v>
      </c>
      <c r="L453" s="27" t="n">
        <v>2</v>
      </c>
      <c r="M453" s="39" t="s">
        <v>413</v>
      </c>
      <c r="N453" s="18" t="s">
        <v>414</v>
      </c>
      <c r="O453" s="27" t="n">
        <v>2</v>
      </c>
      <c r="P453" s="15" t="n">
        <f aca="false">IF(A453="","",IF(O453&lt;&gt;"",O453,IF(L453&lt;&gt;"",L453,F453)))</f>
        <v>2</v>
      </c>
    </row>
    <row r="454" customFormat="false" ht="15" hidden="false" customHeight="true" outlineLevel="0" collapsed="false">
      <c r="A454" s="30" t="s">
        <v>59</v>
      </c>
      <c r="B454" s="30" t="s">
        <v>60</v>
      </c>
      <c r="C454" s="21" t="n">
        <f aca="false">IF(A454="","",IFERROR(VLOOKUP(A454,'Recert Status'!$A$8:$C$400,3,FALSE()),""))</f>
        <v>46752</v>
      </c>
      <c r="D454" s="31" t="s">
        <v>936</v>
      </c>
      <c r="E454" s="30" t="s">
        <v>363</v>
      </c>
      <c r="F454" s="32" t="n">
        <v>1</v>
      </c>
      <c r="G454" s="33" t="n">
        <v>45950</v>
      </c>
      <c r="H454" s="33" t="n">
        <v>45950</v>
      </c>
      <c r="I454" s="31" t="s">
        <v>937</v>
      </c>
      <c r="J454" s="30" t="s">
        <v>363</v>
      </c>
      <c r="K454" s="31" t="s">
        <v>365</v>
      </c>
      <c r="L454" s="32" t="n">
        <v>0.5</v>
      </c>
      <c r="M454" s="29" t="s">
        <v>366</v>
      </c>
      <c r="N454" s="31" t="s">
        <v>923</v>
      </c>
      <c r="O454" s="32" t="n">
        <v>1</v>
      </c>
      <c r="P454" s="15" t="n">
        <f aca="false">IF(A454="","",IF(O454&lt;&gt;"",O454,IF(L454&lt;&gt;"",L454,F454)))</f>
        <v>1</v>
      </c>
    </row>
    <row r="455" customFormat="false" ht="15" hidden="false" customHeight="true" outlineLevel="0" collapsed="false">
      <c r="A455" s="26" t="s">
        <v>59</v>
      </c>
      <c r="B455" s="26" t="s">
        <v>60</v>
      </c>
      <c r="C455" s="14" t="n">
        <f aca="false">IF(A455="","",IFERROR(VLOOKUP(A455,'Recert Status'!$A$8:$C$400,3,FALSE()),""))</f>
        <v>46752</v>
      </c>
      <c r="D455" s="18" t="s">
        <v>938</v>
      </c>
      <c r="E455" s="26" t="n">
        <v>57394</v>
      </c>
      <c r="F455" s="27" t="n">
        <v>8</v>
      </c>
      <c r="G455" s="28" t="n">
        <v>45971</v>
      </c>
      <c r="H455" s="28" t="n">
        <v>45971</v>
      </c>
      <c r="I455" s="18" t="s">
        <v>939</v>
      </c>
      <c r="J455" s="26" t="s">
        <v>503</v>
      </c>
      <c r="K455" s="18" t="s">
        <v>940</v>
      </c>
      <c r="L455" s="27" t="n">
        <v>3</v>
      </c>
      <c r="M455" s="29" t="s">
        <v>366</v>
      </c>
      <c r="N455" s="18" t="s">
        <v>941</v>
      </c>
      <c r="O455" s="27" t="n">
        <v>8</v>
      </c>
      <c r="P455" s="15" t="n">
        <f aca="false">IF(A455="","",IF(O455&lt;&gt;"",O455,IF(L455&lt;&gt;"",L455,F455)))</f>
        <v>8</v>
      </c>
    </row>
    <row r="456" customFormat="false" ht="15" hidden="false" customHeight="true" outlineLevel="0" collapsed="false">
      <c r="A456" s="30" t="s">
        <v>59</v>
      </c>
      <c r="B456" s="30" t="s">
        <v>60</v>
      </c>
      <c r="C456" s="21" t="n">
        <f aca="false">IF(A456="","",IFERROR(VLOOKUP(A456,'Recert Status'!$A$8:$C$400,3,FALSE()),""))</f>
        <v>46752</v>
      </c>
      <c r="D456" s="31" t="s">
        <v>367</v>
      </c>
      <c r="E456" s="30" t="s">
        <v>363</v>
      </c>
      <c r="F456" s="32" t="n">
        <v>1</v>
      </c>
      <c r="G456" s="33" t="n">
        <v>46286</v>
      </c>
      <c r="H456" s="33" t="n">
        <v>46286</v>
      </c>
      <c r="I456" s="31" t="s">
        <v>883</v>
      </c>
      <c r="J456" s="30" t="s">
        <v>363</v>
      </c>
      <c r="K456" s="31" t="s">
        <v>365</v>
      </c>
      <c r="L456" s="32" t="n">
        <v>1</v>
      </c>
      <c r="M456" s="29" t="s">
        <v>366</v>
      </c>
      <c r="N456" s="31" t="s">
        <v>367</v>
      </c>
      <c r="O456" s="32" t="n">
        <v>1</v>
      </c>
      <c r="P456" s="15" t="n">
        <f aca="false">IF(A456="","",IF(O456&lt;&gt;"",O456,IF(L456&lt;&gt;"",L456,F456)))</f>
        <v>1</v>
      </c>
    </row>
    <row r="457" customFormat="false" ht="15" hidden="false" customHeight="true" outlineLevel="0" collapsed="false">
      <c r="A457" s="26" t="s">
        <v>59</v>
      </c>
      <c r="B457" s="26" t="s">
        <v>60</v>
      </c>
      <c r="C457" s="14" t="n">
        <f aca="false">IF(A457="","",IFERROR(VLOOKUP(A457,'Recert Status'!$A$8:$C$400,3,FALSE()),""))</f>
        <v>46752</v>
      </c>
      <c r="D457" s="18" t="s">
        <v>884</v>
      </c>
      <c r="E457" s="26" t="s">
        <v>426</v>
      </c>
      <c r="F457" s="27" t="n">
        <v>2</v>
      </c>
      <c r="G457" s="28" t="n">
        <v>45929</v>
      </c>
      <c r="H457" s="28" t="n">
        <v>45929</v>
      </c>
      <c r="I457" s="18" t="s">
        <v>885</v>
      </c>
      <c r="J457" s="26" t="s">
        <v>426</v>
      </c>
      <c r="K457" s="18" t="s">
        <v>428</v>
      </c>
      <c r="L457" s="27" t="n">
        <v>2</v>
      </c>
      <c r="M457" s="41" t="s">
        <v>429</v>
      </c>
      <c r="N457" s="18" t="s">
        <v>430</v>
      </c>
      <c r="O457" s="27" t="n">
        <v>2</v>
      </c>
      <c r="P457" s="15" t="n">
        <f aca="false">IF(A457="","",IF(O457&lt;&gt;"",O457,IF(L457&lt;&gt;"",L457,F457)))</f>
        <v>2</v>
      </c>
    </row>
    <row r="458" customFormat="false" ht="15" hidden="false" customHeight="true" outlineLevel="0" collapsed="false">
      <c r="A458" s="30" t="s">
        <v>59</v>
      </c>
      <c r="B458" s="30" t="s">
        <v>60</v>
      </c>
      <c r="C458" s="21" t="n">
        <f aca="false">IF(A458="","",IFERROR(VLOOKUP(A458,'Recert Status'!$A$8:$C$400,3,FALSE()),""))</f>
        <v>46752</v>
      </c>
      <c r="D458" s="31" t="s">
        <v>938</v>
      </c>
      <c r="E458" s="30" t="n">
        <v>57394</v>
      </c>
      <c r="F458" s="32" t="n">
        <v>8</v>
      </c>
      <c r="G458" s="33" t="n">
        <v>45971</v>
      </c>
      <c r="H458" s="33" t="n">
        <v>45971</v>
      </c>
      <c r="I458" s="31" t="s">
        <v>939</v>
      </c>
      <c r="J458" s="30" t="s">
        <v>503</v>
      </c>
      <c r="K458" s="31" t="s">
        <v>940</v>
      </c>
      <c r="L458" s="32" t="n">
        <v>2</v>
      </c>
      <c r="M458" s="41" t="s">
        <v>429</v>
      </c>
      <c r="N458" s="31" t="s">
        <v>941</v>
      </c>
      <c r="O458" s="32" t="n">
        <v>8</v>
      </c>
      <c r="P458" s="15" t="n">
        <f aca="false">IF(A458="","",IF(O458&lt;&gt;"",O458,IF(L458&lt;&gt;"",L458,F458)))</f>
        <v>8</v>
      </c>
    </row>
    <row r="459" customFormat="false" ht="15" hidden="false" customHeight="true" outlineLevel="0" collapsed="false">
      <c r="A459" s="26" t="s">
        <v>59</v>
      </c>
      <c r="B459" s="26" t="s">
        <v>60</v>
      </c>
      <c r="C459" s="14" t="n">
        <f aca="false">IF(A459="","",IFERROR(VLOOKUP(A459,'Recert Status'!$A$8:$C$400,3,FALSE()),""))</f>
        <v>46752</v>
      </c>
      <c r="D459" s="18" t="s">
        <v>430</v>
      </c>
      <c r="E459" s="26" t="s">
        <v>426</v>
      </c>
      <c r="F459" s="27" t="n">
        <v>1</v>
      </c>
      <c r="G459" s="28" t="n">
        <v>46286</v>
      </c>
      <c r="H459" s="28" t="n">
        <v>46286</v>
      </c>
      <c r="I459" s="18" t="s">
        <v>890</v>
      </c>
      <c r="J459" s="26" t="s">
        <v>426</v>
      </c>
      <c r="K459" s="18" t="s">
        <v>428</v>
      </c>
      <c r="L459" s="27" t="n">
        <v>1</v>
      </c>
      <c r="M459" s="41" t="s">
        <v>429</v>
      </c>
      <c r="N459" s="18" t="s">
        <v>430</v>
      </c>
      <c r="O459" s="27" t="n">
        <v>1</v>
      </c>
      <c r="P459" s="15" t="n">
        <f aca="false">IF(A459="","",IF(O459&lt;&gt;"",O459,IF(L459&lt;&gt;"",L459,F459)))</f>
        <v>1</v>
      </c>
    </row>
    <row r="460" customFormat="false" ht="15" hidden="false" customHeight="true" outlineLevel="0" collapsed="false">
      <c r="A460" s="30" t="s">
        <v>59</v>
      </c>
      <c r="B460" s="30" t="s">
        <v>60</v>
      </c>
      <c r="C460" s="21" t="n">
        <f aca="false">IF(A460="","",IFERROR(VLOOKUP(A460,'Recert Status'!$A$8:$C$400,3,FALSE()),""))</f>
        <v>46752</v>
      </c>
      <c r="D460" s="31" t="s">
        <v>942</v>
      </c>
      <c r="E460" s="30" t="s">
        <v>389</v>
      </c>
      <c r="F460" s="32" t="n">
        <v>1</v>
      </c>
      <c r="G460" s="33" t="n">
        <v>45731</v>
      </c>
      <c r="H460" s="33" t="n">
        <v>45731</v>
      </c>
      <c r="I460" s="31" t="s">
        <v>943</v>
      </c>
      <c r="J460" s="30" t="s">
        <v>389</v>
      </c>
      <c r="K460" s="31" t="s">
        <v>365</v>
      </c>
      <c r="L460" s="32" t="n">
        <v>1</v>
      </c>
      <c r="M460" s="35" t="s">
        <v>386</v>
      </c>
      <c r="N460" s="31" t="s">
        <v>387</v>
      </c>
      <c r="O460" s="32" t="n">
        <v>1</v>
      </c>
      <c r="P460" s="15" t="n">
        <f aca="false">IF(A460="","",IF(O460&lt;&gt;"",O460,IF(L460&lt;&gt;"",L460,F460)))</f>
        <v>1</v>
      </c>
    </row>
    <row r="461" customFormat="false" ht="15" hidden="false" customHeight="true" outlineLevel="0" collapsed="false">
      <c r="A461" s="26" t="s">
        <v>59</v>
      </c>
      <c r="B461" s="26" t="s">
        <v>60</v>
      </c>
      <c r="C461" s="14" t="n">
        <f aca="false">IF(A461="","",IFERROR(VLOOKUP(A461,'Recert Status'!$A$8:$C$400,3,FALSE()),""))</f>
        <v>46752</v>
      </c>
      <c r="D461" s="18" t="s">
        <v>615</v>
      </c>
      <c r="E461" s="26" t="n">
        <v>29740</v>
      </c>
      <c r="F461" s="27" t="n">
        <v>2</v>
      </c>
      <c r="G461" s="28" t="n">
        <v>45884</v>
      </c>
      <c r="H461" s="28" t="n">
        <v>45884</v>
      </c>
      <c r="I461" s="18" t="s">
        <v>616</v>
      </c>
      <c r="J461" s="26" t="s">
        <v>394</v>
      </c>
      <c r="K461" s="18" t="s">
        <v>385</v>
      </c>
      <c r="L461" s="27" t="n">
        <v>2</v>
      </c>
      <c r="M461" s="35" t="s">
        <v>386</v>
      </c>
      <c r="N461" s="18" t="s">
        <v>397</v>
      </c>
      <c r="O461" s="27" t="n">
        <v>2</v>
      </c>
      <c r="P461" s="15" t="n">
        <f aca="false">IF(A461="","",IF(O461&lt;&gt;"",O461,IF(L461&lt;&gt;"",L461,F461)))</f>
        <v>2</v>
      </c>
    </row>
    <row r="462" customFormat="false" ht="15" hidden="false" customHeight="true" outlineLevel="0" collapsed="false">
      <c r="A462" s="30" t="s">
        <v>59</v>
      </c>
      <c r="B462" s="30" t="s">
        <v>60</v>
      </c>
      <c r="C462" s="21" t="n">
        <f aca="false">IF(A462="","",IFERROR(VLOOKUP(A462,'Recert Status'!$A$8:$C$400,3,FALSE()),""))</f>
        <v>46752</v>
      </c>
      <c r="D462" s="31" t="s">
        <v>789</v>
      </c>
      <c r="E462" s="30" t="n">
        <v>29743</v>
      </c>
      <c r="F462" s="32" t="n">
        <v>1</v>
      </c>
      <c r="G462" s="33" t="n">
        <v>45911</v>
      </c>
      <c r="H462" s="33" t="n">
        <v>45911</v>
      </c>
      <c r="I462" s="31" t="s">
        <v>790</v>
      </c>
      <c r="J462" s="30" t="s">
        <v>439</v>
      </c>
      <c r="K462" s="31" t="s">
        <v>791</v>
      </c>
      <c r="L462" s="32" t="n">
        <v>1</v>
      </c>
      <c r="M462" s="35" t="s">
        <v>386</v>
      </c>
      <c r="N462" s="31" t="s">
        <v>387</v>
      </c>
      <c r="O462" s="32" t="n">
        <v>1</v>
      </c>
      <c r="P462" s="15" t="n">
        <f aca="false">IF(A462="","",IF(O462&lt;&gt;"",O462,IF(L462&lt;&gt;"",L462,F462)))</f>
        <v>1</v>
      </c>
    </row>
    <row r="463" customFormat="false" ht="15" hidden="false" customHeight="true" outlineLevel="0" collapsed="false">
      <c r="A463" s="26" t="s">
        <v>59</v>
      </c>
      <c r="B463" s="26" t="s">
        <v>60</v>
      </c>
      <c r="C463" s="14" t="n">
        <f aca="false">IF(A463="","",IFERROR(VLOOKUP(A463,'Recert Status'!$A$8:$C$400,3,FALSE()),""))</f>
        <v>46752</v>
      </c>
      <c r="D463" s="18" t="s">
        <v>792</v>
      </c>
      <c r="E463" s="26" t="n">
        <v>29743</v>
      </c>
      <c r="F463" s="27" t="n">
        <v>1</v>
      </c>
      <c r="G463" s="28" t="n">
        <v>45911</v>
      </c>
      <c r="H463" s="28" t="n">
        <v>45911</v>
      </c>
      <c r="I463" s="18" t="s">
        <v>790</v>
      </c>
      <c r="J463" s="26" t="s">
        <v>439</v>
      </c>
      <c r="K463" s="18" t="s">
        <v>791</v>
      </c>
      <c r="L463" s="27" t="n">
        <v>1</v>
      </c>
      <c r="M463" s="35" t="s">
        <v>386</v>
      </c>
      <c r="N463" s="18" t="s">
        <v>387</v>
      </c>
      <c r="O463" s="27" t="n">
        <v>1</v>
      </c>
      <c r="P463" s="15" t="n">
        <f aca="false">IF(A463="","",IF(O463&lt;&gt;"",O463,IF(L463&lt;&gt;"",L463,F463)))</f>
        <v>1</v>
      </c>
    </row>
    <row r="464" customFormat="false" ht="15" hidden="false" customHeight="true" outlineLevel="0" collapsed="false">
      <c r="A464" s="30" t="s">
        <v>59</v>
      </c>
      <c r="B464" s="30" t="s">
        <v>60</v>
      </c>
      <c r="C464" s="21" t="n">
        <f aca="false">IF(A464="","",IFERROR(VLOOKUP(A464,'Recert Status'!$A$8:$C$400,3,FALSE()),""))</f>
        <v>46752</v>
      </c>
      <c r="D464" s="31" t="s">
        <v>938</v>
      </c>
      <c r="E464" s="30" t="n">
        <v>57394</v>
      </c>
      <c r="F464" s="32" t="n">
        <v>8</v>
      </c>
      <c r="G464" s="33" t="n">
        <v>45971</v>
      </c>
      <c r="H464" s="33" t="n">
        <v>45971</v>
      </c>
      <c r="I464" s="31" t="s">
        <v>939</v>
      </c>
      <c r="J464" s="30" t="s">
        <v>503</v>
      </c>
      <c r="K464" s="31" t="s">
        <v>940</v>
      </c>
      <c r="L464" s="32" t="n">
        <v>2</v>
      </c>
      <c r="M464" s="35" t="s">
        <v>386</v>
      </c>
      <c r="N464" s="31" t="s">
        <v>941</v>
      </c>
      <c r="O464" s="32" t="n">
        <v>8</v>
      </c>
      <c r="P464" s="15" t="n">
        <f aca="false">IF(A464="","",IF(O464&lt;&gt;"",O464,IF(L464&lt;&gt;"",L464,F464)))</f>
        <v>8</v>
      </c>
    </row>
    <row r="465" customFormat="false" ht="15" hidden="false" customHeight="true" outlineLevel="0" collapsed="false">
      <c r="A465" s="26" t="s">
        <v>59</v>
      </c>
      <c r="B465" s="26" t="s">
        <v>60</v>
      </c>
      <c r="C465" s="14" t="n">
        <f aca="false">IF(A465="","",IFERROR(VLOOKUP(A465,'Recert Status'!$A$8:$C$400,3,FALSE()),""))</f>
        <v>46752</v>
      </c>
      <c r="D465" s="18" t="s">
        <v>387</v>
      </c>
      <c r="E465" s="26" t="s">
        <v>389</v>
      </c>
      <c r="F465" s="27" t="n">
        <v>1</v>
      </c>
      <c r="G465" s="28" t="n">
        <v>46286</v>
      </c>
      <c r="H465" s="28" t="n">
        <v>46286</v>
      </c>
      <c r="I465" s="18" t="s">
        <v>903</v>
      </c>
      <c r="J465" s="26" t="s">
        <v>389</v>
      </c>
      <c r="K465" s="18" t="s">
        <v>904</v>
      </c>
      <c r="L465" s="27" t="n">
        <v>1</v>
      </c>
      <c r="M465" s="35" t="s">
        <v>386</v>
      </c>
      <c r="N465" s="18" t="s">
        <v>387</v>
      </c>
      <c r="O465" s="27" t="n">
        <v>1</v>
      </c>
      <c r="P465" s="15" t="n">
        <f aca="false">IF(A465="","",IF(O465&lt;&gt;"",O465,IF(L465&lt;&gt;"",L465,F465)))</f>
        <v>1</v>
      </c>
    </row>
    <row r="466" customFormat="false" ht="15" hidden="false" customHeight="true" outlineLevel="0" collapsed="false">
      <c r="A466" s="30" t="s">
        <v>59</v>
      </c>
      <c r="B466" s="30" t="s">
        <v>60</v>
      </c>
      <c r="C466" s="21" t="n">
        <f aca="false">IF(A466="","",IFERROR(VLOOKUP(A466,'Recert Status'!$A$8:$C$400,3,FALSE()),""))</f>
        <v>46752</v>
      </c>
      <c r="D466" s="31" t="s">
        <v>397</v>
      </c>
      <c r="E466" s="30" t="s">
        <v>452</v>
      </c>
      <c r="F466" s="32" t="n">
        <v>1</v>
      </c>
      <c r="G466" s="33" t="n">
        <v>46244</v>
      </c>
      <c r="H466" s="33" t="n">
        <v>46244</v>
      </c>
      <c r="I466" s="31" t="s">
        <v>577</v>
      </c>
      <c r="J466" s="30" t="s">
        <v>452</v>
      </c>
      <c r="K466" s="31" t="s">
        <v>385</v>
      </c>
      <c r="L466" s="32" t="n">
        <v>1</v>
      </c>
      <c r="M466" s="36" t="s">
        <v>396</v>
      </c>
      <c r="N466" s="31" t="s">
        <v>397</v>
      </c>
      <c r="O466" s="32" t="n">
        <v>1</v>
      </c>
      <c r="P466" s="15" t="n">
        <f aca="false">IF(A466="","",IF(O466&lt;&gt;"",O466,IF(L466&lt;&gt;"",L466,F466)))</f>
        <v>1</v>
      </c>
    </row>
    <row r="467" customFormat="false" ht="15" hidden="false" customHeight="true" outlineLevel="0" collapsed="false">
      <c r="A467" s="26" t="s">
        <v>59</v>
      </c>
      <c r="B467" s="26" t="s">
        <v>60</v>
      </c>
      <c r="C467" s="14" t="n">
        <f aca="false">IF(A467="","",IFERROR(VLOOKUP(A467,'Recert Status'!$A$8:$C$400,3,FALSE()),""))</f>
        <v>46752</v>
      </c>
      <c r="D467" s="18" t="s">
        <v>944</v>
      </c>
      <c r="E467" s="26" t="s">
        <v>416</v>
      </c>
      <c r="F467" s="27" t="n">
        <v>1</v>
      </c>
      <c r="G467" s="28" t="n">
        <v>45824</v>
      </c>
      <c r="H467" s="28" t="n">
        <v>45824</v>
      </c>
      <c r="I467" s="18" t="s">
        <v>945</v>
      </c>
      <c r="J467" s="26" t="s">
        <v>416</v>
      </c>
      <c r="K467" s="18" t="s">
        <v>456</v>
      </c>
      <c r="L467" s="27" t="n">
        <v>1</v>
      </c>
      <c r="M467" s="39" t="s">
        <v>413</v>
      </c>
      <c r="N467" s="18" t="s">
        <v>414</v>
      </c>
      <c r="O467" s="27" t="n">
        <v>1</v>
      </c>
      <c r="P467" s="15" t="n">
        <f aca="false">IF(A467="","",IF(O467&lt;&gt;"",O467,IF(L467&lt;&gt;"",L467,F467)))</f>
        <v>1</v>
      </c>
    </row>
    <row r="468" customFormat="false" ht="15" hidden="false" customHeight="true" outlineLevel="0" collapsed="false">
      <c r="A468" s="30" t="s">
        <v>59</v>
      </c>
      <c r="B468" s="30" t="s">
        <v>60</v>
      </c>
      <c r="C468" s="21" t="n">
        <f aca="false">IF(A468="","",IFERROR(VLOOKUP(A468,'Recert Status'!$A$8:$C$400,3,FALSE()),""))</f>
        <v>46752</v>
      </c>
      <c r="D468" s="31" t="s">
        <v>457</v>
      </c>
      <c r="E468" s="30" t="s">
        <v>416</v>
      </c>
      <c r="F468" s="32" t="n">
        <v>2</v>
      </c>
      <c r="G468" s="33" t="n">
        <v>45860</v>
      </c>
      <c r="H468" s="33" t="n">
        <v>45860</v>
      </c>
      <c r="I468" s="31" t="s">
        <v>458</v>
      </c>
      <c r="J468" s="30" t="s">
        <v>416</v>
      </c>
      <c r="K468" s="31" t="s">
        <v>459</v>
      </c>
      <c r="L468" s="32" t="n">
        <v>2</v>
      </c>
      <c r="M468" s="39" t="s">
        <v>413</v>
      </c>
      <c r="N468" s="31" t="s">
        <v>414</v>
      </c>
      <c r="O468" s="32" t="n">
        <v>2</v>
      </c>
      <c r="P468" s="15" t="n">
        <f aca="false">IF(A468="","",IF(O468&lt;&gt;"",O468,IF(L468&lt;&gt;"",L468,F468)))</f>
        <v>2</v>
      </c>
    </row>
    <row r="469" customFormat="false" ht="15" hidden="false" customHeight="true" outlineLevel="0" collapsed="false">
      <c r="A469" s="26" t="s">
        <v>59</v>
      </c>
      <c r="B469" s="26" t="s">
        <v>60</v>
      </c>
      <c r="C469" s="14" t="n">
        <f aca="false">IF(A469="","",IFERROR(VLOOKUP(A469,'Recert Status'!$A$8:$C$400,3,FALSE()),""))</f>
        <v>46752</v>
      </c>
      <c r="D469" s="18" t="s">
        <v>488</v>
      </c>
      <c r="E469" s="26" t="s">
        <v>416</v>
      </c>
      <c r="F469" s="27" t="n">
        <v>1</v>
      </c>
      <c r="G469" s="28" t="n">
        <v>46139</v>
      </c>
      <c r="H469" s="28" t="n">
        <v>46139</v>
      </c>
      <c r="I469" s="18" t="s">
        <v>610</v>
      </c>
      <c r="J469" s="26" t="s">
        <v>416</v>
      </c>
      <c r="K469" s="18" t="s">
        <v>490</v>
      </c>
      <c r="L469" s="27" t="n">
        <v>1</v>
      </c>
      <c r="M469" s="39" t="s">
        <v>413</v>
      </c>
      <c r="N469" s="18" t="s">
        <v>414</v>
      </c>
      <c r="O469" s="27" t="n">
        <v>1</v>
      </c>
      <c r="P469" s="15" t="n">
        <f aca="false">IF(A469="","",IF(O469&lt;&gt;"",O469,IF(L469&lt;&gt;"",L469,F469)))</f>
        <v>1</v>
      </c>
    </row>
    <row r="470" customFormat="false" ht="15" hidden="false" customHeight="true" outlineLevel="0" collapsed="false">
      <c r="A470" s="30" t="s">
        <v>59</v>
      </c>
      <c r="B470" s="30" t="s">
        <v>60</v>
      </c>
      <c r="C470" s="21" t="n">
        <f aca="false">IF(A470="","",IFERROR(VLOOKUP(A470,'Recert Status'!$A$8:$C$400,3,FALSE()),""))</f>
        <v>46752</v>
      </c>
      <c r="D470" s="31" t="s">
        <v>414</v>
      </c>
      <c r="E470" s="30" t="s">
        <v>416</v>
      </c>
      <c r="F470" s="32" t="n">
        <v>2</v>
      </c>
      <c r="G470" s="33" t="n">
        <v>46217</v>
      </c>
      <c r="H470" s="33" t="n">
        <v>46217</v>
      </c>
      <c r="I470" s="31" t="s">
        <v>460</v>
      </c>
      <c r="J470" s="30" t="s">
        <v>416</v>
      </c>
      <c r="K470" s="31" t="s">
        <v>418</v>
      </c>
      <c r="L470" s="32" t="n">
        <v>2</v>
      </c>
      <c r="M470" s="39" t="s">
        <v>413</v>
      </c>
      <c r="N470" s="31" t="s">
        <v>414</v>
      </c>
      <c r="O470" s="32" t="n">
        <v>2</v>
      </c>
      <c r="P470" s="15" t="n">
        <f aca="false">IF(A470="","",IF(O470&lt;&gt;"",O470,IF(L470&lt;&gt;"",L470,F470)))</f>
        <v>2</v>
      </c>
    </row>
    <row r="471" customFormat="false" ht="15" hidden="false" customHeight="true" outlineLevel="0" collapsed="false">
      <c r="A471" s="26" t="s">
        <v>61</v>
      </c>
      <c r="B471" s="26"/>
      <c r="C471" s="14" t="n">
        <f aca="false">IF(A471="","",IFERROR(VLOOKUP(A471,'Recert Status'!$A$8:$C$400,3,FALSE()),""))</f>
        <v>0</v>
      </c>
      <c r="D471" s="18" t="s">
        <v>946</v>
      </c>
      <c r="E471" s="26" t="s">
        <v>363</v>
      </c>
      <c r="F471" s="27" t="n">
        <v>1</v>
      </c>
      <c r="G471" s="28" t="n">
        <v>45867</v>
      </c>
      <c r="H471" s="28" t="n">
        <v>45867</v>
      </c>
      <c r="I471" s="18" t="s">
        <v>947</v>
      </c>
      <c r="J471" s="26" t="s">
        <v>363</v>
      </c>
      <c r="K471" s="18" t="s">
        <v>370</v>
      </c>
      <c r="L471" s="27" t="n">
        <v>1</v>
      </c>
      <c r="M471" s="29" t="s">
        <v>366</v>
      </c>
      <c r="N471" s="18" t="s">
        <v>367</v>
      </c>
      <c r="O471" s="27" t="n">
        <v>1</v>
      </c>
      <c r="P471" s="15" t="n">
        <f aca="false">IF(A471="","",IF(O471&lt;&gt;"",O471,IF(L471&lt;&gt;"",L471,F471)))</f>
        <v>1</v>
      </c>
    </row>
    <row r="472" customFormat="false" ht="15" hidden="false" customHeight="true" outlineLevel="0" collapsed="false">
      <c r="A472" s="30" t="s">
        <v>61</v>
      </c>
      <c r="B472" s="30"/>
      <c r="C472" s="21" t="n">
        <f aca="false">IF(A472="","",IFERROR(VLOOKUP(A472,'Recert Status'!$A$8:$C$400,3,FALSE()),""))</f>
        <v>0</v>
      </c>
      <c r="D472" s="31" t="s">
        <v>362</v>
      </c>
      <c r="E472" s="30" t="n">
        <v>57404</v>
      </c>
      <c r="F472" s="32" t="n">
        <v>2</v>
      </c>
      <c r="G472" s="33" t="n">
        <v>45966</v>
      </c>
      <c r="H472" s="33" t="n">
        <v>45966</v>
      </c>
      <c r="I472" s="31" t="s">
        <v>948</v>
      </c>
      <c r="J472" s="30" t="s">
        <v>728</v>
      </c>
      <c r="K472" s="31" t="s">
        <v>365</v>
      </c>
      <c r="L472" s="32" t="n">
        <v>1</v>
      </c>
      <c r="M472" s="29" t="s">
        <v>366</v>
      </c>
      <c r="N472" s="31" t="s">
        <v>367</v>
      </c>
      <c r="O472" s="32" t="n">
        <v>1</v>
      </c>
      <c r="P472" s="15" t="n">
        <f aca="false">IF(A472="","",IF(O472&lt;&gt;"",O472,IF(L472&lt;&gt;"",L472,F472)))</f>
        <v>1</v>
      </c>
    </row>
    <row r="473" customFormat="false" ht="15" hidden="false" customHeight="true" outlineLevel="0" collapsed="false">
      <c r="A473" s="26" t="s">
        <v>61</v>
      </c>
      <c r="B473" s="26"/>
      <c r="C473" s="14" t="n">
        <f aca="false">IF(A473="","",IFERROR(VLOOKUP(A473,'Recert Status'!$A$8:$C$400,3,FALSE()),""))</f>
        <v>0</v>
      </c>
      <c r="D473" s="18" t="s">
        <v>949</v>
      </c>
      <c r="E473" s="26" t="s">
        <v>542</v>
      </c>
      <c r="F473" s="27" t="n">
        <v>1</v>
      </c>
      <c r="G473" s="28" t="n">
        <v>46056</v>
      </c>
      <c r="H473" s="28" t="n">
        <v>46056</v>
      </c>
      <c r="I473" s="18" t="s">
        <v>950</v>
      </c>
      <c r="J473" s="26" t="s">
        <v>542</v>
      </c>
      <c r="K473" s="18" t="s">
        <v>422</v>
      </c>
      <c r="L473" s="27" t="n">
        <v>1</v>
      </c>
      <c r="M473" s="40" t="s">
        <v>423</v>
      </c>
      <c r="N473" s="18" t="s">
        <v>424</v>
      </c>
      <c r="O473" s="27" t="n">
        <v>1</v>
      </c>
      <c r="P473" s="15" t="n">
        <f aca="false">IF(A473="","",IF(O473&lt;&gt;"",O473,IF(L473&lt;&gt;"",L473,F473)))</f>
        <v>1</v>
      </c>
    </row>
    <row r="474" customFormat="false" ht="15" hidden="false" customHeight="true" outlineLevel="0" collapsed="false">
      <c r="A474" s="30" t="s">
        <v>61</v>
      </c>
      <c r="B474" s="30"/>
      <c r="C474" s="21" t="n">
        <f aca="false">IF(A474="","",IFERROR(VLOOKUP(A474,'Recert Status'!$A$8:$C$400,3,FALSE()),""))</f>
        <v>0</v>
      </c>
      <c r="D474" s="31" t="s">
        <v>951</v>
      </c>
      <c r="E474" s="30" t="s">
        <v>426</v>
      </c>
      <c r="F474" s="32" t="n">
        <v>1</v>
      </c>
      <c r="G474" s="33" t="n">
        <v>45912</v>
      </c>
      <c r="H474" s="33" t="n">
        <v>45912</v>
      </c>
      <c r="I474" s="31" t="s">
        <v>952</v>
      </c>
      <c r="J474" s="30" t="s">
        <v>426</v>
      </c>
      <c r="K474" s="31" t="s">
        <v>428</v>
      </c>
      <c r="L474" s="32" t="n">
        <v>1</v>
      </c>
      <c r="M474" s="41" t="s">
        <v>429</v>
      </c>
      <c r="N474" s="31" t="s">
        <v>430</v>
      </c>
      <c r="O474" s="32" t="n">
        <v>1</v>
      </c>
      <c r="P474" s="15" t="n">
        <f aca="false">IF(A474="","",IF(O474&lt;&gt;"",O474,IF(L474&lt;&gt;"",L474,F474)))</f>
        <v>1</v>
      </c>
    </row>
    <row r="475" customFormat="false" ht="15" hidden="false" customHeight="true" outlineLevel="0" collapsed="false">
      <c r="A475" s="26" t="s">
        <v>61</v>
      </c>
      <c r="B475" s="26"/>
      <c r="C475" s="14" t="n">
        <f aca="false">IF(A475="","",IFERROR(VLOOKUP(A475,'Recert Status'!$A$8:$C$400,3,FALSE()),""))</f>
        <v>0</v>
      </c>
      <c r="D475" s="18" t="s">
        <v>953</v>
      </c>
      <c r="E475" s="26" t="n">
        <v>29668</v>
      </c>
      <c r="F475" s="27" t="n">
        <v>1</v>
      </c>
      <c r="G475" s="28" t="n">
        <v>45867</v>
      </c>
      <c r="H475" s="28" t="n">
        <v>45867</v>
      </c>
      <c r="I475" s="18" t="s">
        <v>954</v>
      </c>
      <c r="J475" s="26" t="s">
        <v>511</v>
      </c>
      <c r="K475" s="18" t="s">
        <v>509</v>
      </c>
      <c r="L475" s="27" t="n">
        <v>1</v>
      </c>
      <c r="M475" s="35" t="s">
        <v>386</v>
      </c>
      <c r="N475" s="18" t="s">
        <v>387</v>
      </c>
      <c r="O475" s="27" t="n">
        <v>1</v>
      </c>
      <c r="P475" s="15" t="n">
        <f aca="false">IF(A475="","",IF(O475&lt;&gt;"",O475,IF(L475&lt;&gt;"",L475,F475)))</f>
        <v>1</v>
      </c>
    </row>
    <row r="476" customFormat="false" ht="15" hidden="false" customHeight="true" outlineLevel="0" collapsed="false">
      <c r="A476" s="30" t="s">
        <v>61</v>
      </c>
      <c r="B476" s="30"/>
      <c r="C476" s="21" t="n">
        <f aca="false">IF(A476="","",IFERROR(VLOOKUP(A476,'Recert Status'!$A$8:$C$400,3,FALSE()),""))</f>
        <v>0</v>
      </c>
      <c r="D476" s="31" t="s">
        <v>571</v>
      </c>
      <c r="E476" s="30" t="n">
        <v>29675</v>
      </c>
      <c r="F476" s="32" t="n">
        <v>1</v>
      </c>
      <c r="G476" s="33" t="n">
        <v>45924</v>
      </c>
      <c r="H476" s="33" t="n">
        <v>45924</v>
      </c>
      <c r="I476" s="31" t="s">
        <v>572</v>
      </c>
      <c r="J476" s="30" t="s">
        <v>406</v>
      </c>
      <c r="K476" s="31" t="s">
        <v>468</v>
      </c>
      <c r="L476" s="32" t="n">
        <v>1</v>
      </c>
      <c r="M476" s="35" t="s">
        <v>386</v>
      </c>
      <c r="N476" s="31" t="s">
        <v>387</v>
      </c>
      <c r="O476" s="32" t="n">
        <v>1</v>
      </c>
      <c r="P476" s="15" t="n">
        <f aca="false">IF(A476="","",IF(O476&lt;&gt;"",O476,IF(L476&lt;&gt;"",L476,F476)))</f>
        <v>1</v>
      </c>
    </row>
    <row r="477" customFormat="false" ht="15" hidden="false" customHeight="true" outlineLevel="0" collapsed="false">
      <c r="A477" s="26" t="s">
        <v>61</v>
      </c>
      <c r="B477" s="26"/>
      <c r="C477" s="14" t="n">
        <f aca="false">IF(A477="","",IFERROR(VLOOKUP(A477,'Recert Status'!$A$8:$C$400,3,FALSE()),""))</f>
        <v>0</v>
      </c>
      <c r="D477" s="18" t="s">
        <v>955</v>
      </c>
      <c r="E477" s="26" t="s">
        <v>399</v>
      </c>
      <c r="F477" s="27" t="n">
        <v>1</v>
      </c>
      <c r="G477" s="28" t="n">
        <v>45972</v>
      </c>
      <c r="H477" s="28" t="n">
        <v>45972</v>
      </c>
      <c r="I477" s="18" t="s">
        <v>956</v>
      </c>
      <c r="J477" s="26" t="s">
        <v>399</v>
      </c>
      <c r="K477" s="18" t="s">
        <v>401</v>
      </c>
      <c r="L477" s="27" t="n">
        <v>1</v>
      </c>
      <c r="M477" s="37" t="s">
        <v>402</v>
      </c>
      <c r="N477" s="18" t="s">
        <v>403</v>
      </c>
      <c r="O477" s="27" t="n">
        <v>1</v>
      </c>
      <c r="P477" s="15" t="n">
        <f aca="false">IF(A477="","",IF(O477&lt;&gt;"",O477,IF(L477&lt;&gt;"",L477,F477)))</f>
        <v>1</v>
      </c>
    </row>
    <row r="478" customFormat="false" ht="15" hidden="false" customHeight="true" outlineLevel="0" collapsed="false">
      <c r="A478" s="30" t="s">
        <v>61</v>
      </c>
      <c r="B478" s="30"/>
      <c r="C478" s="21" t="n">
        <f aca="false">IF(A478="","",IFERROR(VLOOKUP(A478,'Recert Status'!$A$8:$C$400,3,FALSE()),""))</f>
        <v>0</v>
      </c>
      <c r="D478" s="31" t="s">
        <v>957</v>
      </c>
      <c r="E478" s="30" t="s">
        <v>416</v>
      </c>
      <c r="F478" s="32" t="n">
        <v>1</v>
      </c>
      <c r="G478" s="33" t="n">
        <v>45843</v>
      </c>
      <c r="H478" s="33" t="n">
        <v>45843</v>
      </c>
      <c r="I478" s="31" t="s">
        <v>958</v>
      </c>
      <c r="J478" s="30" t="s">
        <v>416</v>
      </c>
      <c r="K478" s="31" t="s">
        <v>674</v>
      </c>
      <c r="L478" s="32" t="n">
        <v>1</v>
      </c>
      <c r="M478" s="39" t="s">
        <v>413</v>
      </c>
      <c r="N478" s="31" t="s">
        <v>414</v>
      </c>
      <c r="O478" s="32" t="n">
        <v>1</v>
      </c>
      <c r="P478" s="15" t="n">
        <f aca="false">IF(A478="","",IF(O478&lt;&gt;"",O478,IF(L478&lt;&gt;"",L478,F478)))</f>
        <v>1</v>
      </c>
    </row>
    <row r="479" customFormat="false" ht="15" hidden="false" customHeight="true" outlineLevel="0" collapsed="false">
      <c r="A479" s="26" t="s">
        <v>61</v>
      </c>
      <c r="B479" s="26"/>
      <c r="C479" s="14" t="n">
        <f aca="false">IF(A479="","",IFERROR(VLOOKUP(A479,'Recert Status'!$A$8:$C$400,3,FALSE()),""))</f>
        <v>0</v>
      </c>
      <c r="D479" s="18" t="s">
        <v>582</v>
      </c>
      <c r="E479" s="26" t="s">
        <v>416</v>
      </c>
      <c r="F479" s="27" t="n">
        <v>2</v>
      </c>
      <c r="G479" s="28" t="n">
        <v>45861</v>
      </c>
      <c r="H479" s="28" t="n">
        <v>45861</v>
      </c>
      <c r="I479" s="18" t="s">
        <v>583</v>
      </c>
      <c r="J479" s="26" t="s">
        <v>416</v>
      </c>
      <c r="K479" s="18" t="s">
        <v>418</v>
      </c>
      <c r="L479" s="27" t="n">
        <v>2</v>
      </c>
      <c r="M479" s="39" t="s">
        <v>413</v>
      </c>
      <c r="N479" s="18" t="s">
        <v>414</v>
      </c>
      <c r="O479" s="27" t="n">
        <v>2</v>
      </c>
      <c r="P479" s="15" t="n">
        <f aca="false">IF(A479="","",IF(O479&lt;&gt;"",O479,IF(L479&lt;&gt;"",L479,F479)))</f>
        <v>2</v>
      </c>
    </row>
    <row r="480" customFormat="false" ht="15" hidden="false" customHeight="true" outlineLevel="0" collapsed="false">
      <c r="A480" s="30" t="s">
        <v>61</v>
      </c>
      <c r="B480" s="30"/>
      <c r="C480" s="21" t="n">
        <f aca="false">IF(A480="","",IFERROR(VLOOKUP(A480,'Recert Status'!$A$8:$C$400,3,FALSE()),""))</f>
        <v>0</v>
      </c>
      <c r="D480" s="31" t="s">
        <v>959</v>
      </c>
      <c r="E480" s="30" t="s">
        <v>416</v>
      </c>
      <c r="F480" s="32" t="n">
        <v>3</v>
      </c>
      <c r="G480" s="33" t="n">
        <v>46083</v>
      </c>
      <c r="H480" s="33" t="n">
        <v>46083</v>
      </c>
      <c r="I480" s="31" t="s">
        <v>960</v>
      </c>
      <c r="J480" s="30" t="s">
        <v>416</v>
      </c>
      <c r="K480" s="31" t="s">
        <v>418</v>
      </c>
      <c r="L480" s="32" t="n">
        <v>3</v>
      </c>
      <c r="M480" s="39" t="s">
        <v>413</v>
      </c>
      <c r="N480" s="31" t="s">
        <v>414</v>
      </c>
      <c r="O480" s="32" t="n">
        <v>3</v>
      </c>
      <c r="P480" s="15" t="n">
        <f aca="false">IF(A480="","",IF(O480&lt;&gt;"",O480,IF(L480&lt;&gt;"",L480,F480)))</f>
        <v>3</v>
      </c>
    </row>
    <row r="481" customFormat="false" ht="15" hidden="false" customHeight="true" outlineLevel="0" collapsed="false">
      <c r="A481" s="26" t="s">
        <v>62</v>
      </c>
      <c r="B481" s="26" t="s">
        <v>63</v>
      </c>
      <c r="C481" s="14" t="n">
        <f aca="false">IF(A481="","",IFERROR(VLOOKUP(A481,'Recert Status'!$A$8:$C$400,3,FALSE()),""))</f>
        <v>46387</v>
      </c>
      <c r="D481" s="18" t="s">
        <v>621</v>
      </c>
      <c r="E481" s="26" t="n">
        <v>29740</v>
      </c>
      <c r="F481" s="27" t="n">
        <v>0.5</v>
      </c>
      <c r="G481" s="28" t="n">
        <v>45783</v>
      </c>
      <c r="H481" s="28" t="n">
        <v>45783</v>
      </c>
      <c r="I481" s="18" t="s">
        <v>622</v>
      </c>
      <c r="J481" s="26" t="s">
        <v>394</v>
      </c>
      <c r="K481" s="18" t="s">
        <v>365</v>
      </c>
      <c r="L481" s="27" t="n">
        <v>0.5</v>
      </c>
      <c r="M481" s="29" t="s">
        <v>366</v>
      </c>
      <c r="N481" s="18" t="s">
        <v>367</v>
      </c>
      <c r="O481" s="27" t="n">
        <v>0.5</v>
      </c>
      <c r="P481" s="15" t="n">
        <f aca="false">IF(A481="","",IF(O481&lt;&gt;"",O481,IF(L481&lt;&gt;"",L481,F481)))</f>
        <v>0.5</v>
      </c>
    </row>
    <row r="482" customFormat="false" ht="15" hidden="false" customHeight="true" outlineLevel="0" collapsed="false">
      <c r="A482" s="30" t="s">
        <v>62</v>
      </c>
      <c r="B482" s="30" t="s">
        <v>63</v>
      </c>
      <c r="C482" s="21" t="n">
        <f aca="false">IF(A482="","",IFERROR(VLOOKUP(A482,'Recert Status'!$A$8:$C$400,3,FALSE()),""))</f>
        <v>46387</v>
      </c>
      <c r="D482" s="31" t="s">
        <v>362</v>
      </c>
      <c r="E482" s="30" t="s">
        <v>363</v>
      </c>
      <c r="F482" s="32" t="n">
        <v>1</v>
      </c>
      <c r="G482" s="33" t="n">
        <v>45912</v>
      </c>
      <c r="H482" s="33" t="n">
        <v>45912</v>
      </c>
      <c r="I482" s="31" t="s">
        <v>961</v>
      </c>
      <c r="J482" s="30" t="s">
        <v>363</v>
      </c>
      <c r="K482" s="31" t="s">
        <v>495</v>
      </c>
      <c r="L482" s="32" t="n">
        <v>1</v>
      </c>
      <c r="M482" s="29" t="s">
        <v>366</v>
      </c>
      <c r="N482" s="31" t="s">
        <v>367</v>
      </c>
      <c r="O482" s="32" t="n">
        <v>1</v>
      </c>
      <c r="P482" s="15" t="n">
        <f aca="false">IF(A482="","",IF(O482&lt;&gt;"",O482,IF(L482&lt;&gt;"",L482,F482)))</f>
        <v>1</v>
      </c>
    </row>
    <row r="483" customFormat="false" ht="15" hidden="false" customHeight="true" outlineLevel="0" collapsed="false">
      <c r="A483" s="26" t="s">
        <v>62</v>
      </c>
      <c r="B483" s="26" t="s">
        <v>63</v>
      </c>
      <c r="C483" s="14" t="n">
        <f aca="false">IF(A483="","",IFERROR(VLOOKUP(A483,'Recert Status'!$A$8:$C$400,3,FALSE()),""))</f>
        <v>46387</v>
      </c>
      <c r="D483" s="18" t="s">
        <v>962</v>
      </c>
      <c r="E483" s="26" t="s">
        <v>426</v>
      </c>
      <c r="F483" s="27" t="n">
        <v>1</v>
      </c>
      <c r="G483" s="28" t="n">
        <v>45912</v>
      </c>
      <c r="H483" s="28" t="n">
        <v>45912</v>
      </c>
      <c r="I483" s="18" t="s">
        <v>961</v>
      </c>
      <c r="J483" s="26" t="s">
        <v>426</v>
      </c>
      <c r="K483" s="18" t="s">
        <v>495</v>
      </c>
      <c r="L483" s="27" t="n">
        <v>1</v>
      </c>
      <c r="M483" s="41" t="s">
        <v>429</v>
      </c>
      <c r="N483" s="18" t="s">
        <v>430</v>
      </c>
      <c r="O483" s="27" t="n">
        <v>1</v>
      </c>
      <c r="P483" s="15" t="n">
        <f aca="false">IF(A483="","",IF(O483&lt;&gt;"",O483,IF(L483&lt;&gt;"",L483,F483)))</f>
        <v>1</v>
      </c>
    </row>
    <row r="484" customFormat="false" ht="15" hidden="false" customHeight="true" outlineLevel="0" collapsed="false">
      <c r="A484" s="30" t="s">
        <v>62</v>
      </c>
      <c r="B484" s="30" t="s">
        <v>63</v>
      </c>
      <c r="C484" s="21" t="n">
        <f aca="false">IF(A484="","",IFERROR(VLOOKUP(A484,'Recert Status'!$A$8:$C$400,3,FALSE()),""))</f>
        <v>46387</v>
      </c>
      <c r="D484" s="31" t="s">
        <v>840</v>
      </c>
      <c r="E484" s="30" t="s">
        <v>426</v>
      </c>
      <c r="F484" s="32" t="n">
        <v>0.5</v>
      </c>
      <c r="G484" s="33" t="n">
        <v>46083</v>
      </c>
      <c r="H484" s="33" t="n">
        <v>46083</v>
      </c>
      <c r="I484" s="31" t="s">
        <v>841</v>
      </c>
      <c r="J484" s="30" t="s">
        <v>426</v>
      </c>
      <c r="K484" s="31" t="s">
        <v>428</v>
      </c>
      <c r="L484" s="32" t="n">
        <v>0.5</v>
      </c>
      <c r="M484" s="41" t="s">
        <v>429</v>
      </c>
      <c r="N484" s="31" t="s">
        <v>430</v>
      </c>
      <c r="O484" s="32" t="n">
        <v>0.5</v>
      </c>
      <c r="P484" s="15" t="n">
        <f aca="false">IF(A484="","",IF(O484&lt;&gt;"",O484,IF(L484&lt;&gt;"",L484,F484)))</f>
        <v>0.5</v>
      </c>
    </row>
    <row r="485" customFormat="false" ht="15" hidden="false" customHeight="true" outlineLevel="0" collapsed="false">
      <c r="A485" s="26" t="s">
        <v>62</v>
      </c>
      <c r="B485" s="26" t="s">
        <v>63</v>
      </c>
      <c r="C485" s="14" t="n">
        <f aca="false">IF(A485="","",IFERROR(VLOOKUP(A485,'Recert Status'!$A$8:$C$400,3,FALSE()),""))</f>
        <v>46387</v>
      </c>
      <c r="D485" s="18" t="s">
        <v>379</v>
      </c>
      <c r="E485" s="26" t="n">
        <v>35513</v>
      </c>
      <c r="F485" s="27" t="n">
        <v>1</v>
      </c>
      <c r="G485" s="28" t="n">
        <v>46140</v>
      </c>
      <c r="H485" s="28" t="n">
        <v>46140</v>
      </c>
      <c r="I485" s="18" t="s">
        <v>963</v>
      </c>
      <c r="J485" s="26" t="s">
        <v>384</v>
      </c>
      <c r="K485" s="18" t="s">
        <v>381</v>
      </c>
      <c r="L485" s="27" t="n">
        <v>1</v>
      </c>
      <c r="M485" s="34" t="s">
        <v>375</v>
      </c>
      <c r="N485" s="18" t="s">
        <v>376</v>
      </c>
      <c r="O485" s="27" t="n">
        <v>1</v>
      </c>
      <c r="P485" s="15" t="n">
        <f aca="false">IF(A485="","",IF(O485&lt;&gt;"",O485,IF(L485&lt;&gt;"",L485,F485)))</f>
        <v>1</v>
      </c>
    </row>
    <row r="486" customFormat="false" ht="15" hidden="false" customHeight="true" outlineLevel="0" collapsed="false">
      <c r="A486" s="30" t="s">
        <v>62</v>
      </c>
      <c r="B486" s="30" t="s">
        <v>63</v>
      </c>
      <c r="C486" s="21" t="n">
        <f aca="false">IF(A486="","",IFERROR(VLOOKUP(A486,'Recert Status'!$A$8:$C$400,3,FALSE()),""))</f>
        <v>46387</v>
      </c>
      <c r="D486" s="31" t="s">
        <v>649</v>
      </c>
      <c r="E486" s="30" t="s">
        <v>363</v>
      </c>
      <c r="F486" s="32" t="n">
        <v>1</v>
      </c>
      <c r="G486" s="33" t="n">
        <v>45867</v>
      </c>
      <c r="H486" s="33" t="n">
        <v>45867</v>
      </c>
      <c r="I486" s="31" t="s">
        <v>650</v>
      </c>
      <c r="J486" s="30" t="s">
        <v>363</v>
      </c>
      <c r="K486" s="31" t="s">
        <v>370</v>
      </c>
      <c r="L486" s="32" t="n">
        <v>1</v>
      </c>
      <c r="M486" s="35" t="s">
        <v>386</v>
      </c>
      <c r="N486" s="31" t="s">
        <v>387</v>
      </c>
      <c r="O486" s="32" t="n">
        <v>1</v>
      </c>
      <c r="P486" s="15" t="n">
        <f aca="false">IF(A486="","",IF(O486&lt;&gt;"",O486,IF(L486&lt;&gt;"",L486,F486)))</f>
        <v>1</v>
      </c>
    </row>
    <row r="487" customFormat="false" ht="15" hidden="false" customHeight="true" outlineLevel="0" collapsed="false">
      <c r="A487" s="26" t="s">
        <v>62</v>
      </c>
      <c r="B487" s="26" t="s">
        <v>63</v>
      </c>
      <c r="C487" s="14" t="n">
        <f aca="false">IF(A487="","",IFERROR(VLOOKUP(A487,'Recert Status'!$A$8:$C$400,3,FALSE()),""))</f>
        <v>46387</v>
      </c>
      <c r="D487" s="18" t="s">
        <v>651</v>
      </c>
      <c r="E487" s="26" t="n">
        <v>29668</v>
      </c>
      <c r="F487" s="27" t="n">
        <v>1</v>
      </c>
      <c r="G487" s="28" t="n">
        <v>45867</v>
      </c>
      <c r="H487" s="28" t="n">
        <v>45867</v>
      </c>
      <c r="I487" s="18" t="s">
        <v>652</v>
      </c>
      <c r="J487" s="26" t="s">
        <v>511</v>
      </c>
      <c r="K487" s="18" t="s">
        <v>509</v>
      </c>
      <c r="L487" s="27" t="n">
        <v>1</v>
      </c>
      <c r="M487" s="35" t="s">
        <v>386</v>
      </c>
      <c r="N487" s="18" t="s">
        <v>387</v>
      </c>
      <c r="O487" s="27" t="n">
        <v>1</v>
      </c>
      <c r="P487" s="15" t="n">
        <f aca="false">IF(A487="","",IF(O487&lt;&gt;"",O487,IF(L487&lt;&gt;"",L487,F487)))</f>
        <v>1</v>
      </c>
    </row>
    <row r="488" customFormat="false" ht="15" hidden="false" customHeight="true" outlineLevel="0" collapsed="false">
      <c r="A488" s="30" t="s">
        <v>62</v>
      </c>
      <c r="B488" s="30" t="s">
        <v>63</v>
      </c>
      <c r="C488" s="21" t="n">
        <f aca="false">IF(A488="","",IFERROR(VLOOKUP(A488,'Recert Status'!$A$8:$C$400,3,FALSE()),""))</f>
        <v>46387</v>
      </c>
      <c r="D488" s="31" t="s">
        <v>573</v>
      </c>
      <c r="E488" s="30" t="s">
        <v>389</v>
      </c>
      <c r="F488" s="32" t="n">
        <v>1</v>
      </c>
      <c r="G488" s="33" t="n">
        <v>45987</v>
      </c>
      <c r="H488" s="33" t="n">
        <v>45987</v>
      </c>
      <c r="I488" s="31" t="s">
        <v>574</v>
      </c>
      <c r="J488" s="30" t="s">
        <v>389</v>
      </c>
      <c r="K488" s="31" t="s">
        <v>451</v>
      </c>
      <c r="L488" s="32" t="n">
        <v>1</v>
      </c>
      <c r="M488" s="35" t="s">
        <v>386</v>
      </c>
      <c r="N488" s="31" t="s">
        <v>387</v>
      </c>
      <c r="O488" s="32" t="n">
        <v>1</v>
      </c>
      <c r="P488" s="15" t="n">
        <f aca="false">IF(A488="","",IF(O488&lt;&gt;"",O488,IF(L488&lt;&gt;"",L488,F488)))</f>
        <v>1</v>
      </c>
    </row>
    <row r="489" customFormat="false" ht="15" hidden="false" customHeight="true" outlineLevel="0" collapsed="false">
      <c r="A489" s="26" t="s">
        <v>62</v>
      </c>
      <c r="B489" s="26" t="s">
        <v>63</v>
      </c>
      <c r="C489" s="14" t="n">
        <f aca="false">IF(A489="","",IFERROR(VLOOKUP(A489,'Recert Status'!$A$8:$C$400,3,FALSE()),""))</f>
        <v>46387</v>
      </c>
      <c r="D489" s="18" t="s">
        <v>964</v>
      </c>
      <c r="E489" s="26" t="s">
        <v>452</v>
      </c>
      <c r="F489" s="27" t="n">
        <v>1</v>
      </c>
      <c r="G489" s="28" t="n">
        <v>45805</v>
      </c>
      <c r="H489" s="28" t="n">
        <v>45805</v>
      </c>
      <c r="I489" s="18" t="s">
        <v>965</v>
      </c>
      <c r="J489" s="26" t="s">
        <v>452</v>
      </c>
      <c r="K489" s="18" t="s">
        <v>509</v>
      </c>
      <c r="L489" s="27" t="n">
        <v>1</v>
      </c>
      <c r="M489" s="36" t="s">
        <v>396</v>
      </c>
      <c r="N489" s="18" t="s">
        <v>397</v>
      </c>
      <c r="O489" s="27" t="n">
        <v>1</v>
      </c>
      <c r="P489" s="15" t="n">
        <f aca="false">IF(A489="","",IF(O489&lt;&gt;"",O489,IF(L489&lt;&gt;"",L489,F489)))</f>
        <v>1</v>
      </c>
    </row>
    <row r="490" customFormat="false" ht="15" hidden="false" customHeight="true" outlineLevel="0" collapsed="false">
      <c r="A490" s="30" t="s">
        <v>62</v>
      </c>
      <c r="B490" s="30" t="s">
        <v>63</v>
      </c>
      <c r="C490" s="21" t="n">
        <f aca="false">IF(A490="","",IFERROR(VLOOKUP(A490,'Recert Status'!$A$8:$C$400,3,FALSE()),""))</f>
        <v>46387</v>
      </c>
      <c r="D490" s="31" t="s">
        <v>397</v>
      </c>
      <c r="E490" s="30" t="s">
        <v>452</v>
      </c>
      <c r="F490" s="32" t="n">
        <v>2</v>
      </c>
      <c r="G490" s="33" t="n">
        <v>46236</v>
      </c>
      <c r="H490" s="33" t="n">
        <v>46236</v>
      </c>
      <c r="I490" s="31" t="s">
        <v>966</v>
      </c>
      <c r="J490" s="30" t="s">
        <v>452</v>
      </c>
      <c r="K490" s="31" t="s">
        <v>385</v>
      </c>
      <c r="L490" s="32" t="n">
        <v>2</v>
      </c>
      <c r="M490" s="36" t="s">
        <v>396</v>
      </c>
      <c r="N490" s="31" t="s">
        <v>397</v>
      </c>
      <c r="O490" s="32" t="n">
        <v>2</v>
      </c>
      <c r="P490" s="15" t="n">
        <f aca="false">IF(A490="","",IF(O490&lt;&gt;"",O490,IF(L490&lt;&gt;"",L490,F490)))</f>
        <v>2</v>
      </c>
    </row>
    <row r="491" customFormat="false" ht="15" hidden="false" customHeight="true" outlineLevel="0" collapsed="false">
      <c r="A491" s="26" t="s">
        <v>62</v>
      </c>
      <c r="B491" s="26" t="s">
        <v>63</v>
      </c>
      <c r="C491" s="14" t="n">
        <f aca="false">IF(A491="","",IFERROR(VLOOKUP(A491,'Recert Status'!$A$8:$C$400,3,FALSE()),""))</f>
        <v>46387</v>
      </c>
      <c r="D491" s="18" t="s">
        <v>457</v>
      </c>
      <c r="E491" s="26" t="s">
        <v>416</v>
      </c>
      <c r="F491" s="27" t="n">
        <v>0.5</v>
      </c>
      <c r="G491" s="28" t="n">
        <v>45861</v>
      </c>
      <c r="H491" s="28" t="n">
        <v>45861</v>
      </c>
      <c r="I491" s="18" t="s">
        <v>967</v>
      </c>
      <c r="J491" s="26" t="s">
        <v>416</v>
      </c>
      <c r="K491" s="18" t="s">
        <v>723</v>
      </c>
      <c r="L491" s="27" t="n">
        <v>0.5</v>
      </c>
      <c r="M491" s="39" t="s">
        <v>413</v>
      </c>
      <c r="N491" s="18" t="s">
        <v>414</v>
      </c>
      <c r="O491" s="27" t="n">
        <v>0.5</v>
      </c>
      <c r="P491" s="15" t="n">
        <f aca="false">IF(A491="","",IF(O491&lt;&gt;"",O491,IF(L491&lt;&gt;"",L491,F491)))</f>
        <v>0.5</v>
      </c>
    </row>
    <row r="492" customFormat="false" ht="15" hidden="false" customHeight="true" outlineLevel="0" collapsed="false">
      <c r="A492" s="30" t="s">
        <v>62</v>
      </c>
      <c r="B492" s="30" t="s">
        <v>63</v>
      </c>
      <c r="C492" s="21" t="n">
        <f aca="false">IF(A492="","",IFERROR(VLOOKUP(A492,'Recert Status'!$A$8:$C$400,3,FALSE()),""))</f>
        <v>46387</v>
      </c>
      <c r="D492" s="31" t="s">
        <v>822</v>
      </c>
      <c r="E492" s="30" t="s">
        <v>416</v>
      </c>
      <c r="F492" s="32" t="n">
        <v>2</v>
      </c>
      <c r="G492" s="33" t="n">
        <v>45861</v>
      </c>
      <c r="H492" s="33" t="n">
        <v>45861</v>
      </c>
      <c r="I492" s="31" t="s">
        <v>823</v>
      </c>
      <c r="J492" s="30" t="s">
        <v>416</v>
      </c>
      <c r="K492" s="31" t="s">
        <v>523</v>
      </c>
      <c r="L492" s="32" t="n">
        <v>2</v>
      </c>
      <c r="M492" s="39" t="s">
        <v>413</v>
      </c>
      <c r="N492" s="31" t="s">
        <v>414</v>
      </c>
      <c r="O492" s="32" t="n">
        <v>2</v>
      </c>
      <c r="P492" s="15" t="n">
        <f aca="false">IF(A492="","",IF(O492&lt;&gt;"",O492,IF(L492&lt;&gt;"",L492,F492)))</f>
        <v>2</v>
      </c>
    </row>
    <row r="493" customFormat="false" ht="15" hidden="false" customHeight="true" outlineLevel="0" collapsed="false">
      <c r="A493" s="26" t="s">
        <v>62</v>
      </c>
      <c r="B493" s="26" t="s">
        <v>63</v>
      </c>
      <c r="C493" s="14" t="n">
        <f aca="false">IF(A493="","",IFERROR(VLOOKUP(A493,'Recert Status'!$A$8:$C$400,3,FALSE()),""))</f>
        <v>46387</v>
      </c>
      <c r="D493" s="18" t="s">
        <v>968</v>
      </c>
      <c r="E493" s="26" t="s">
        <v>416</v>
      </c>
      <c r="F493" s="27" t="n">
        <v>0.5</v>
      </c>
      <c r="G493" s="28" t="n">
        <v>45906</v>
      </c>
      <c r="H493" s="28" t="n">
        <v>45906</v>
      </c>
      <c r="I493" s="18" t="s">
        <v>969</v>
      </c>
      <c r="J493" s="26" t="s">
        <v>416</v>
      </c>
      <c r="K493" s="18" t="s">
        <v>485</v>
      </c>
      <c r="L493" s="27" t="n">
        <v>0.5</v>
      </c>
      <c r="M493" s="39" t="s">
        <v>413</v>
      </c>
      <c r="N493" s="18" t="s">
        <v>414</v>
      </c>
      <c r="O493" s="27" t="n">
        <v>0.5</v>
      </c>
      <c r="P493" s="15" t="n">
        <f aca="false">IF(A493="","",IF(O493&lt;&gt;"",O493,IF(L493&lt;&gt;"",L493,F493)))</f>
        <v>0.5</v>
      </c>
    </row>
    <row r="494" customFormat="false" ht="15" hidden="false" customHeight="true" outlineLevel="0" collapsed="false">
      <c r="A494" s="30" t="s">
        <v>62</v>
      </c>
      <c r="B494" s="30" t="s">
        <v>63</v>
      </c>
      <c r="C494" s="21" t="n">
        <f aca="false">IF(A494="","",IFERROR(VLOOKUP(A494,'Recert Status'!$A$8:$C$400,3,FALSE()),""))</f>
        <v>46387</v>
      </c>
      <c r="D494" s="31" t="s">
        <v>672</v>
      </c>
      <c r="E494" s="30" t="s">
        <v>416</v>
      </c>
      <c r="F494" s="32" t="n">
        <v>1</v>
      </c>
      <c r="G494" s="33" t="n">
        <v>45933</v>
      </c>
      <c r="H494" s="33" t="n">
        <v>45933</v>
      </c>
      <c r="I494" s="31" t="s">
        <v>675</v>
      </c>
      <c r="J494" s="30" t="s">
        <v>416</v>
      </c>
      <c r="K494" s="31" t="s">
        <v>674</v>
      </c>
      <c r="L494" s="32" t="n">
        <v>1</v>
      </c>
      <c r="M494" s="39" t="s">
        <v>413</v>
      </c>
      <c r="N494" s="31" t="s">
        <v>414</v>
      </c>
      <c r="O494" s="32" t="n">
        <v>1</v>
      </c>
      <c r="P494" s="15" t="n">
        <f aca="false">IF(A494="","",IF(O494&lt;&gt;"",O494,IF(L494&lt;&gt;"",L494,F494)))</f>
        <v>1</v>
      </c>
    </row>
    <row r="495" customFormat="false" ht="15" hidden="false" customHeight="true" outlineLevel="0" collapsed="false">
      <c r="A495" s="26" t="s">
        <v>62</v>
      </c>
      <c r="B495" s="26" t="s">
        <v>63</v>
      </c>
      <c r="C495" s="14" t="n">
        <f aca="false">IF(A495="","",IFERROR(VLOOKUP(A495,'Recert Status'!$A$8:$C$400,3,FALSE()),""))</f>
        <v>46387</v>
      </c>
      <c r="D495" s="18" t="s">
        <v>672</v>
      </c>
      <c r="E495" s="26" t="s">
        <v>416</v>
      </c>
      <c r="F495" s="27" t="n">
        <v>1</v>
      </c>
      <c r="G495" s="28" t="n">
        <v>45987</v>
      </c>
      <c r="H495" s="28" t="n">
        <v>45987</v>
      </c>
      <c r="I495" s="18" t="s">
        <v>862</v>
      </c>
      <c r="J495" s="26" t="s">
        <v>416</v>
      </c>
      <c r="K495" s="18" t="s">
        <v>674</v>
      </c>
      <c r="L495" s="27" t="n">
        <v>1</v>
      </c>
      <c r="M495" s="39" t="s">
        <v>413</v>
      </c>
      <c r="N495" s="18" t="s">
        <v>414</v>
      </c>
      <c r="O495" s="27" t="n">
        <v>1</v>
      </c>
      <c r="P495" s="15" t="n">
        <f aca="false">IF(A495="","",IF(O495&lt;&gt;"",O495,IF(L495&lt;&gt;"",L495,F495)))</f>
        <v>1</v>
      </c>
    </row>
    <row r="496" customFormat="false" ht="15" hidden="false" customHeight="true" outlineLevel="0" collapsed="false">
      <c r="A496" s="30" t="s">
        <v>62</v>
      </c>
      <c r="B496" s="30" t="s">
        <v>63</v>
      </c>
      <c r="C496" s="21" t="n">
        <f aca="false">IF(A496="","",IFERROR(VLOOKUP(A496,'Recert Status'!$A$8:$C$400,3,FALSE()),""))</f>
        <v>46387</v>
      </c>
      <c r="D496" s="31" t="s">
        <v>672</v>
      </c>
      <c r="E496" s="30" t="s">
        <v>416</v>
      </c>
      <c r="F496" s="32" t="n">
        <v>0.75</v>
      </c>
      <c r="G496" s="33" t="n">
        <v>45990</v>
      </c>
      <c r="H496" s="33" t="n">
        <v>45990</v>
      </c>
      <c r="I496" s="31" t="s">
        <v>863</v>
      </c>
      <c r="J496" s="30" t="s">
        <v>416</v>
      </c>
      <c r="K496" s="31" t="s">
        <v>674</v>
      </c>
      <c r="L496" s="32" t="n">
        <v>0.75</v>
      </c>
      <c r="M496" s="39" t="s">
        <v>413</v>
      </c>
      <c r="N496" s="31" t="s">
        <v>414</v>
      </c>
      <c r="O496" s="32" t="n">
        <v>0.75</v>
      </c>
      <c r="P496" s="15" t="n">
        <f aca="false">IF(A496="","",IF(O496&lt;&gt;"",O496,IF(L496&lt;&gt;"",L496,F496)))</f>
        <v>0.75</v>
      </c>
    </row>
    <row r="497" customFormat="false" ht="15" hidden="false" customHeight="true" outlineLevel="0" collapsed="false">
      <c r="A497" s="26" t="s">
        <v>62</v>
      </c>
      <c r="B497" s="26" t="s">
        <v>63</v>
      </c>
      <c r="C497" s="14" t="n">
        <f aca="false">IF(A497="","",IFERROR(VLOOKUP(A497,'Recert Status'!$A$8:$C$400,3,FALSE()),""))</f>
        <v>46387</v>
      </c>
      <c r="D497" s="18" t="s">
        <v>414</v>
      </c>
      <c r="E497" s="26" t="s">
        <v>416</v>
      </c>
      <c r="F497" s="27" t="n">
        <v>2</v>
      </c>
      <c r="G497" s="28" t="n">
        <v>46218</v>
      </c>
      <c r="H497" s="28" t="n">
        <v>46218</v>
      </c>
      <c r="I497" s="18" t="s">
        <v>535</v>
      </c>
      <c r="J497" s="26" t="s">
        <v>416</v>
      </c>
      <c r="K497" s="18" t="s">
        <v>418</v>
      </c>
      <c r="L497" s="27" t="n">
        <v>2</v>
      </c>
      <c r="M497" s="39" t="s">
        <v>413</v>
      </c>
      <c r="N497" s="18" t="s">
        <v>414</v>
      </c>
      <c r="O497" s="27" t="n">
        <v>2</v>
      </c>
      <c r="P497" s="15" t="n">
        <f aca="false">IF(A497="","",IF(O497&lt;&gt;"",O497,IF(L497&lt;&gt;"",L497,F497)))</f>
        <v>2</v>
      </c>
    </row>
    <row r="498" customFormat="false" ht="15" hidden="false" customHeight="true" outlineLevel="0" collapsed="false">
      <c r="A498" s="30" t="s">
        <v>64</v>
      </c>
      <c r="B498" s="30" t="s">
        <v>65</v>
      </c>
      <c r="C498" s="21" t="n">
        <f aca="false">IF(A498="","",IFERROR(VLOOKUP(A498,'Recert Status'!$A$8:$C$400,3,FALSE()),""))</f>
        <v>46752</v>
      </c>
      <c r="D498" s="31" t="s">
        <v>362</v>
      </c>
      <c r="E498" s="30" t="s">
        <v>363</v>
      </c>
      <c r="F498" s="32" t="n">
        <v>0.5</v>
      </c>
      <c r="G498" s="33" t="n">
        <v>45783</v>
      </c>
      <c r="H498" s="33" t="n">
        <v>45783</v>
      </c>
      <c r="I498" s="31" t="s">
        <v>364</v>
      </c>
      <c r="J498" s="30" t="s">
        <v>363</v>
      </c>
      <c r="K498" s="31" t="s">
        <v>365</v>
      </c>
      <c r="L498" s="32" t="n">
        <v>0.5</v>
      </c>
      <c r="M498" s="29" t="s">
        <v>366</v>
      </c>
      <c r="N498" s="31" t="s">
        <v>367</v>
      </c>
      <c r="O498" s="32" t="n">
        <v>0.5</v>
      </c>
      <c r="P498" s="15" t="n">
        <f aca="false">IF(A498="","",IF(O498&lt;&gt;"",O498,IF(L498&lt;&gt;"",L498,F498)))</f>
        <v>0.5</v>
      </c>
    </row>
    <row r="499" customFormat="false" ht="15" hidden="false" customHeight="true" outlineLevel="0" collapsed="false">
      <c r="A499" s="26" t="s">
        <v>64</v>
      </c>
      <c r="B499" s="26" t="s">
        <v>65</v>
      </c>
      <c r="C499" s="14" t="n">
        <f aca="false">IF(A499="","",IFERROR(VLOOKUP(A499,'Recert Status'!$A$8:$C$400,3,FALSE()),""))</f>
        <v>46752</v>
      </c>
      <c r="D499" s="18" t="s">
        <v>437</v>
      </c>
      <c r="E499" s="26" t="n">
        <v>29743</v>
      </c>
      <c r="F499" s="27" t="n">
        <v>1</v>
      </c>
      <c r="G499" s="28" t="n">
        <v>45833</v>
      </c>
      <c r="H499" s="28" t="n">
        <v>45833</v>
      </c>
      <c r="I499" s="18" t="s">
        <v>438</v>
      </c>
      <c r="J499" s="26" t="s">
        <v>439</v>
      </c>
      <c r="K499" s="18" t="s">
        <v>440</v>
      </c>
      <c r="L499" s="27" t="n">
        <v>1</v>
      </c>
      <c r="M499" s="35" t="s">
        <v>386</v>
      </c>
      <c r="N499" s="18" t="s">
        <v>387</v>
      </c>
      <c r="O499" s="27" t="n">
        <v>1</v>
      </c>
      <c r="P499" s="15" t="n">
        <f aca="false">IF(A499="","",IF(O499&lt;&gt;"",O499,IF(L499&lt;&gt;"",L499,F499)))</f>
        <v>1</v>
      </c>
    </row>
    <row r="500" customFormat="false" ht="15" hidden="false" customHeight="true" outlineLevel="0" collapsed="false">
      <c r="A500" s="30" t="s">
        <v>64</v>
      </c>
      <c r="B500" s="30" t="s">
        <v>65</v>
      </c>
      <c r="C500" s="21" t="n">
        <f aca="false">IF(A500="","",IFERROR(VLOOKUP(A500,'Recert Status'!$A$8:$C$400,3,FALSE()),""))</f>
        <v>46752</v>
      </c>
      <c r="D500" s="31" t="s">
        <v>441</v>
      </c>
      <c r="E500" s="30" t="n">
        <v>29743</v>
      </c>
      <c r="F500" s="32" t="n">
        <v>1</v>
      </c>
      <c r="G500" s="33" t="n">
        <v>45833</v>
      </c>
      <c r="H500" s="33" t="n">
        <v>45833</v>
      </c>
      <c r="I500" s="31" t="s">
        <v>442</v>
      </c>
      <c r="J500" s="30" t="s">
        <v>439</v>
      </c>
      <c r="K500" s="31" t="s">
        <v>443</v>
      </c>
      <c r="L500" s="32" t="n">
        <v>1</v>
      </c>
      <c r="M500" s="35" t="s">
        <v>386</v>
      </c>
      <c r="N500" s="31" t="s">
        <v>387</v>
      </c>
      <c r="O500" s="32" t="n">
        <v>1</v>
      </c>
      <c r="P500" s="15" t="n">
        <f aca="false">IF(A500="","",IF(O500&lt;&gt;"",O500,IF(L500&lt;&gt;"",L500,F500)))</f>
        <v>1</v>
      </c>
    </row>
    <row r="501" customFormat="false" ht="15" hidden="false" customHeight="true" outlineLevel="0" collapsed="false">
      <c r="A501" s="26" t="s">
        <v>64</v>
      </c>
      <c r="B501" s="26" t="s">
        <v>65</v>
      </c>
      <c r="C501" s="14" t="n">
        <f aca="false">IF(A501="","",IFERROR(VLOOKUP(A501,'Recert Status'!$A$8:$C$400,3,FALSE()),""))</f>
        <v>46752</v>
      </c>
      <c r="D501" s="18" t="s">
        <v>913</v>
      </c>
      <c r="E501" s="26" t="s">
        <v>389</v>
      </c>
      <c r="F501" s="27" t="n">
        <v>1</v>
      </c>
      <c r="G501" s="28" t="n">
        <v>45971</v>
      </c>
      <c r="H501" s="28" t="n">
        <v>45971</v>
      </c>
      <c r="I501" s="18" t="s">
        <v>445</v>
      </c>
      <c r="J501" s="26" t="s">
        <v>389</v>
      </c>
      <c r="K501" s="18" t="s">
        <v>446</v>
      </c>
      <c r="L501" s="27" t="n">
        <v>1</v>
      </c>
      <c r="M501" s="35" t="s">
        <v>386</v>
      </c>
      <c r="N501" s="18" t="s">
        <v>387</v>
      </c>
      <c r="O501" s="27" t="n">
        <v>1</v>
      </c>
      <c r="P501" s="15" t="n">
        <f aca="false">IF(A501="","",IF(O501&lt;&gt;"",O501,IF(L501&lt;&gt;"",L501,F501)))</f>
        <v>1</v>
      </c>
    </row>
    <row r="502" customFormat="false" ht="15" hidden="false" customHeight="true" outlineLevel="0" collapsed="false">
      <c r="A502" s="30" t="s">
        <v>64</v>
      </c>
      <c r="B502" s="30" t="s">
        <v>65</v>
      </c>
      <c r="C502" s="21" t="n">
        <f aca="false">IF(A502="","",IFERROR(VLOOKUP(A502,'Recert Status'!$A$8:$C$400,3,FALSE()),""))</f>
        <v>46752</v>
      </c>
      <c r="D502" s="31" t="s">
        <v>914</v>
      </c>
      <c r="E502" s="30" t="n">
        <v>29675</v>
      </c>
      <c r="F502" s="32" t="n">
        <v>2</v>
      </c>
      <c r="G502" s="33" t="n">
        <v>45971</v>
      </c>
      <c r="H502" s="33" t="n">
        <v>45971</v>
      </c>
      <c r="I502" s="31" t="s">
        <v>915</v>
      </c>
      <c r="J502" s="30" t="s">
        <v>406</v>
      </c>
      <c r="K502" s="31" t="s">
        <v>630</v>
      </c>
      <c r="L502" s="32" t="n">
        <v>2</v>
      </c>
      <c r="M502" s="35" t="s">
        <v>386</v>
      </c>
      <c r="N502" s="31" t="s">
        <v>387</v>
      </c>
      <c r="O502" s="32" t="n">
        <v>2</v>
      </c>
      <c r="P502" s="15" t="n">
        <f aca="false">IF(A502="","",IF(O502&lt;&gt;"",O502,IF(L502&lt;&gt;"",L502,F502)))</f>
        <v>2</v>
      </c>
    </row>
    <row r="503" customFormat="false" ht="15" hidden="false" customHeight="true" outlineLevel="0" collapsed="false">
      <c r="A503" s="26" t="s">
        <v>64</v>
      </c>
      <c r="B503" s="26" t="s">
        <v>65</v>
      </c>
      <c r="C503" s="14" t="n">
        <f aca="false">IF(A503="","",IFERROR(VLOOKUP(A503,'Recert Status'!$A$8:$C$400,3,FALSE()),""))</f>
        <v>46752</v>
      </c>
      <c r="D503" s="18" t="s">
        <v>397</v>
      </c>
      <c r="E503" s="26" t="s">
        <v>452</v>
      </c>
      <c r="F503" s="27" t="n">
        <v>1</v>
      </c>
      <c r="G503" s="28" t="n">
        <v>46244</v>
      </c>
      <c r="H503" s="28" t="n">
        <v>46244</v>
      </c>
      <c r="I503" s="18" t="s">
        <v>453</v>
      </c>
      <c r="J503" s="26" t="s">
        <v>452</v>
      </c>
      <c r="K503" s="18" t="s">
        <v>385</v>
      </c>
      <c r="L503" s="27" t="n">
        <v>1</v>
      </c>
      <c r="M503" s="36" t="s">
        <v>396</v>
      </c>
      <c r="N503" s="18" t="s">
        <v>397</v>
      </c>
      <c r="O503" s="27" t="n">
        <v>1</v>
      </c>
      <c r="P503" s="15" t="n">
        <f aca="false">IF(A503="","",IF(O503&lt;&gt;"",O503,IF(L503&lt;&gt;"",L503,F503)))</f>
        <v>1</v>
      </c>
    </row>
    <row r="504" customFormat="false" ht="15" hidden="false" customHeight="true" outlineLevel="0" collapsed="false">
      <c r="A504" s="30" t="s">
        <v>64</v>
      </c>
      <c r="B504" s="30" t="s">
        <v>65</v>
      </c>
      <c r="C504" s="21" t="n">
        <f aca="false">IF(A504="","",IFERROR(VLOOKUP(A504,'Recert Status'!$A$8:$C$400,3,FALSE()),""))</f>
        <v>46752</v>
      </c>
      <c r="D504" s="31" t="s">
        <v>798</v>
      </c>
      <c r="E504" s="30" t="s">
        <v>416</v>
      </c>
      <c r="F504" s="32" t="n">
        <v>1</v>
      </c>
      <c r="G504" s="33" t="n">
        <v>45710</v>
      </c>
      <c r="H504" s="33" t="n">
        <v>45710</v>
      </c>
      <c r="I504" s="31" t="s">
        <v>799</v>
      </c>
      <c r="J504" s="30" t="s">
        <v>416</v>
      </c>
      <c r="K504" s="31" t="s">
        <v>490</v>
      </c>
      <c r="L504" s="32" t="n">
        <v>1</v>
      </c>
      <c r="M504" s="39" t="s">
        <v>413</v>
      </c>
      <c r="N504" s="31" t="s">
        <v>414</v>
      </c>
      <c r="O504" s="32" t="n">
        <v>1</v>
      </c>
      <c r="P504" s="15" t="n">
        <f aca="false">IF(A504="","",IF(O504&lt;&gt;"",O504,IF(L504&lt;&gt;"",L504,F504)))</f>
        <v>1</v>
      </c>
    </row>
    <row r="505" customFormat="false" ht="15" hidden="false" customHeight="true" outlineLevel="0" collapsed="false">
      <c r="A505" s="26" t="s">
        <v>64</v>
      </c>
      <c r="B505" s="26" t="s">
        <v>65</v>
      </c>
      <c r="C505" s="14" t="n">
        <f aca="false">IF(A505="","",IFERROR(VLOOKUP(A505,'Recert Status'!$A$8:$C$400,3,FALSE()),""))</f>
        <v>46752</v>
      </c>
      <c r="D505" s="18" t="s">
        <v>672</v>
      </c>
      <c r="E505" s="26" t="n">
        <v>29675</v>
      </c>
      <c r="F505" s="27" t="n">
        <v>1</v>
      </c>
      <c r="G505" s="28" t="n">
        <v>45824</v>
      </c>
      <c r="H505" s="28" t="n">
        <v>45824</v>
      </c>
      <c r="I505" s="18" t="s">
        <v>970</v>
      </c>
      <c r="J505" s="26" t="s">
        <v>406</v>
      </c>
      <c r="K505" s="18" t="s">
        <v>418</v>
      </c>
      <c r="L505" s="27" t="n">
        <v>1</v>
      </c>
      <c r="M505" s="39" t="s">
        <v>413</v>
      </c>
      <c r="N505" s="18" t="s">
        <v>414</v>
      </c>
      <c r="O505" s="27" t="n">
        <v>1</v>
      </c>
      <c r="P505" s="15" t="n">
        <f aca="false">IF(A505="","",IF(O505&lt;&gt;"",O505,IF(L505&lt;&gt;"",L505,F505)))</f>
        <v>1</v>
      </c>
    </row>
    <row r="506" customFormat="false" ht="15" hidden="false" customHeight="true" outlineLevel="0" collapsed="false">
      <c r="A506" s="30" t="s">
        <v>64</v>
      </c>
      <c r="B506" s="30" t="s">
        <v>65</v>
      </c>
      <c r="C506" s="21" t="n">
        <f aca="false">IF(A506="","",IFERROR(VLOOKUP(A506,'Recert Status'!$A$8:$C$400,3,FALSE()),""))</f>
        <v>46752</v>
      </c>
      <c r="D506" s="31" t="s">
        <v>488</v>
      </c>
      <c r="E506" s="30" t="s">
        <v>416</v>
      </c>
      <c r="F506" s="32" t="n">
        <v>1</v>
      </c>
      <c r="G506" s="33" t="n">
        <v>46139</v>
      </c>
      <c r="H506" s="33" t="n">
        <v>46139</v>
      </c>
      <c r="I506" s="31" t="s">
        <v>610</v>
      </c>
      <c r="J506" s="30" t="s">
        <v>416</v>
      </c>
      <c r="K506" s="31" t="s">
        <v>490</v>
      </c>
      <c r="L506" s="32" t="n">
        <v>1</v>
      </c>
      <c r="M506" s="39" t="s">
        <v>413</v>
      </c>
      <c r="N506" s="31" t="s">
        <v>414</v>
      </c>
      <c r="O506" s="32" t="n">
        <v>1</v>
      </c>
      <c r="P506" s="15" t="n">
        <f aca="false">IF(A506="","",IF(O506&lt;&gt;"",O506,IF(L506&lt;&gt;"",L506,F506)))</f>
        <v>1</v>
      </c>
    </row>
    <row r="507" customFormat="false" ht="15" hidden="false" customHeight="true" outlineLevel="0" collapsed="false">
      <c r="A507" s="26" t="s">
        <v>64</v>
      </c>
      <c r="B507" s="26" t="s">
        <v>65</v>
      </c>
      <c r="C507" s="14" t="n">
        <f aca="false">IF(A507="","",IFERROR(VLOOKUP(A507,'Recert Status'!$A$8:$C$400,3,FALSE()),""))</f>
        <v>46752</v>
      </c>
      <c r="D507" s="18" t="s">
        <v>414</v>
      </c>
      <c r="E507" s="26" t="s">
        <v>416</v>
      </c>
      <c r="F507" s="27" t="n">
        <v>2</v>
      </c>
      <c r="G507" s="28" t="n">
        <v>46217</v>
      </c>
      <c r="H507" s="28" t="n">
        <v>46217</v>
      </c>
      <c r="I507" s="18" t="s">
        <v>460</v>
      </c>
      <c r="J507" s="26" t="s">
        <v>416</v>
      </c>
      <c r="K507" s="18" t="s">
        <v>418</v>
      </c>
      <c r="L507" s="27" t="n">
        <v>2</v>
      </c>
      <c r="M507" s="39" t="s">
        <v>413</v>
      </c>
      <c r="N507" s="18" t="s">
        <v>414</v>
      </c>
      <c r="O507" s="27" t="n">
        <v>2</v>
      </c>
      <c r="P507" s="15" t="n">
        <f aca="false">IF(A507="","",IF(O507&lt;&gt;"",O507,IF(L507&lt;&gt;"",L507,F507)))</f>
        <v>2</v>
      </c>
    </row>
    <row r="508" customFormat="false" ht="15" hidden="false" customHeight="true" outlineLevel="0" collapsed="false">
      <c r="A508" s="30" t="s">
        <v>64</v>
      </c>
      <c r="B508" s="30" t="s">
        <v>65</v>
      </c>
      <c r="C508" s="21" t="n">
        <f aca="false">IF(A508="","",IFERROR(VLOOKUP(A508,'Recert Status'!$A$8:$C$400,3,FALSE()),""))</f>
        <v>46752</v>
      </c>
      <c r="D508" s="31" t="s">
        <v>414</v>
      </c>
      <c r="E508" s="30" t="s">
        <v>416</v>
      </c>
      <c r="F508" s="32" t="n">
        <v>2</v>
      </c>
      <c r="G508" s="33" t="n">
        <v>46218</v>
      </c>
      <c r="H508" s="33" t="n">
        <v>46218</v>
      </c>
      <c r="I508" s="31" t="s">
        <v>535</v>
      </c>
      <c r="J508" s="30" t="s">
        <v>416</v>
      </c>
      <c r="K508" s="31" t="s">
        <v>418</v>
      </c>
      <c r="L508" s="32" t="n">
        <v>2</v>
      </c>
      <c r="M508" s="39" t="s">
        <v>413</v>
      </c>
      <c r="N508" s="31" t="s">
        <v>414</v>
      </c>
      <c r="O508" s="32" t="n">
        <v>2</v>
      </c>
      <c r="P508" s="15" t="n">
        <f aca="false">IF(A508="","",IF(O508&lt;&gt;"",O508,IF(L508&lt;&gt;"",L508,F508)))</f>
        <v>2</v>
      </c>
    </row>
    <row r="509" customFormat="false" ht="15" hidden="false" customHeight="true" outlineLevel="0" collapsed="false">
      <c r="A509" s="26" t="s">
        <v>66</v>
      </c>
      <c r="B509" s="26" t="s">
        <v>67</v>
      </c>
      <c r="C509" s="14" t="n">
        <f aca="false">IF(A509="","",IFERROR(VLOOKUP(A509,'Recert Status'!$A$8:$C$400,3,FALSE()),""))</f>
        <v>46752</v>
      </c>
      <c r="D509" s="18" t="s">
        <v>971</v>
      </c>
      <c r="E509" s="26" t="s">
        <v>363</v>
      </c>
      <c r="F509" s="27" t="n">
        <v>1</v>
      </c>
      <c r="G509" s="28" t="n">
        <v>45766</v>
      </c>
      <c r="H509" s="28" t="n">
        <v>45766</v>
      </c>
      <c r="I509" s="18" t="s">
        <v>972</v>
      </c>
      <c r="J509" s="26" t="s">
        <v>363</v>
      </c>
      <c r="K509" s="18" t="s">
        <v>370</v>
      </c>
      <c r="L509" s="27" t="n">
        <v>1</v>
      </c>
      <c r="M509" s="29" t="s">
        <v>366</v>
      </c>
      <c r="N509" s="18" t="s">
        <v>367</v>
      </c>
      <c r="O509" s="27" t="n">
        <v>1</v>
      </c>
      <c r="P509" s="15" t="n">
        <f aca="false">IF(A509="","",IF(O509&lt;&gt;"",O509,IF(L509&lt;&gt;"",L509,F509)))</f>
        <v>1</v>
      </c>
    </row>
    <row r="510" customFormat="false" ht="15" hidden="false" customHeight="true" outlineLevel="0" collapsed="false">
      <c r="A510" s="30" t="s">
        <v>66</v>
      </c>
      <c r="B510" s="30" t="s">
        <v>67</v>
      </c>
      <c r="C510" s="21" t="n">
        <f aca="false">IF(A510="","",IFERROR(VLOOKUP(A510,'Recert Status'!$A$8:$C$400,3,FALSE()),""))</f>
        <v>46752</v>
      </c>
      <c r="D510" s="31" t="s">
        <v>973</v>
      </c>
      <c r="E510" s="30" t="s">
        <v>363</v>
      </c>
      <c r="F510" s="32" t="n">
        <v>1.5</v>
      </c>
      <c r="G510" s="33" t="n">
        <v>46069</v>
      </c>
      <c r="H510" s="33" t="n">
        <v>46069</v>
      </c>
      <c r="I510" s="31" t="s">
        <v>974</v>
      </c>
      <c r="J510" s="30" t="s">
        <v>363</v>
      </c>
      <c r="K510" s="31" t="s">
        <v>975</v>
      </c>
      <c r="L510" s="32" t="n">
        <v>1.5</v>
      </c>
      <c r="M510" s="29" t="s">
        <v>366</v>
      </c>
      <c r="N510" s="31" t="s">
        <v>367</v>
      </c>
      <c r="O510" s="32" t="n">
        <v>1.5</v>
      </c>
      <c r="P510" s="15" t="n">
        <f aca="false">IF(A510="","",IF(O510&lt;&gt;"",O510,IF(L510&lt;&gt;"",L510,F510)))</f>
        <v>1.5</v>
      </c>
    </row>
    <row r="511" customFormat="false" ht="15" hidden="false" customHeight="true" outlineLevel="0" collapsed="false">
      <c r="A511" s="26" t="s">
        <v>66</v>
      </c>
      <c r="B511" s="26" t="s">
        <v>67</v>
      </c>
      <c r="C511" s="14" t="n">
        <f aca="false">IF(A511="","",IFERROR(VLOOKUP(A511,'Recert Status'!$A$8:$C$400,3,FALSE()),""))</f>
        <v>46752</v>
      </c>
      <c r="D511" s="18" t="s">
        <v>976</v>
      </c>
      <c r="E511" s="26" t="s">
        <v>426</v>
      </c>
      <c r="F511" s="27" t="n">
        <v>1</v>
      </c>
      <c r="G511" s="28" t="n">
        <v>45724</v>
      </c>
      <c r="H511" s="28" t="n">
        <v>45724</v>
      </c>
      <c r="I511" s="18" t="s">
        <v>632</v>
      </c>
      <c r="J511" s="26" t="s">
        <v>426</v>
      </c>
      <c r="K511" s="18" t="s">
        <v>428</v>
      </c>
      <c r="L511" s="27" t="n">
        <v>1</v>
      </c>
      <c r="M511" s="41" t="s">
        <v>429</v>
      </c>
      <c r="N511" s="18" t="s">
        <v>430</v>
      </c>
      <c r="O511" s="27" t="n">
        <v>1</v>
      </c>
      <c r="P511" s="15" t="n">
        <f aca="false">IF(A511="","",IF(O511&lt;&gt;"",O511,IF(L511&lt;&gt;"",L511,F511)))</f>
        <v>1</v>
      </c>
    </row>
    <row r="512" customFormat="false" ht="15" hidden="false" customHeight="true" outlineLevel="0" collapsed="false">
      <c r="A512" s="30" t="s">
        <v>66</v>
      </c>
      <c r="B512" s="30" t="s">
        <v>67</v>
      </c>
      <c r="C512" s="21" t="n">
        <f aca="false">IF(A512="","",IFERROR(VLOOKUP(A512,'Recert Status'!$A$8:$C$400,3,FALSE()),""))</f>
        <v>46752</v>
      </c>
      <c r="D512" s="31" t="s">
        <v>977</v>
      </c>
      <c r="E512" s="30" t="s">
        <v>426</v>
      </c>
      <c r="F512" s="32" t="n">
        <v>2</v>
      </c>
      <c r="G512" s="33" t="n">
        <v>45910</v>
      </c>
      <c r="H512" s="33" t="n">
        <v>45910</v>
      </c>
      <c r="I512" s="31" t="s">
        <v>978</v>
      </c>
      <c r="J512" s="30" t="s">
        <v>426</v>
      </c>
      <c r="K512" s="31" t="s">
        <v>495</v>
      </c>
      <c r="L512" s="32" t="n">
        <v>2</v>
      </c>
      <c r="M512" s="41" t="s">
        <v>429</v>
      </c>
      <c r="N512" s="31" t="s">
        <v>430</v>
      </c>
      <c r="O512" s="32" t="n">
        <v>2</v>
      </c>
      <c r="P512" s="15" t="n">
        <f aca="false">IF(A512="","",IF(O512&lt;&gt;"",O512,IF(L512&lt;&gt;"",L512,F512)))</f>
        <v>2</v>
      </c>
    </row>
    <row r="513" customFormat="false" ht="15" hidden="false" customHeight="true" outlineLevel="0" collapsed="false">
      <c r="A513" s="26" t="s">
        <v>66</v>
      </c>
      <c r="B513" s="26" t="s">
        <v>67</v>
      </c>
      <c r="C513" s="14" t="n">
        <f aca="false">IF(A513="","",IFERROR(VLOOKUP(A513,'Recert Status'!$A$8:$C$400,3,FALSE()),""))</f>
        <v>46752</v>
      </c>
      <c r="D513" s="18" t="s">
        <v>377</v>
      </c>
      <c r="E513" s="26" t="s">
        <v>372</v>
      </c>
      <c r="F513" s="27" t="n">
        <v>1</v>
      </c>
      <c r="G513" s="28" t="n">
        <v>45827</v>
      </c>
      <c r="H513" s="28" t="n">
        <v>45827</v>
      </c>
      <c r="I513" s="18" t="s">
        <v>979</v>
      </c>
      <c r="J513" s="26" t="s">
        <v>372</v>
      </c>
      <c r="K513" s="18" t="s">
        <v>374</v>
      </c>
      <c r="L513" s="27" t="n">
        <v>1</v>
      </c>
      <c r="M513" s="34" t="s">
        <v>375</v>
      </c>
      <c r="N513" s="18" t="s">
        <v>376</v>
      </c>
      <c r="O513" s="27" t="n">
        <v>1</v>
      </c>
      <c r="P513" s="15" t="n">
        <f aca="false">IF(A513="","",IF(O513&lt;&gt;"",O513,IF(L513&lt;&gt;"",L513,F513)))</f>
        <v>1</v>
      </c>
    </row>
    <row r="514" customFormat="false" ht="15" hidden="false" customHeight="true" outlineLevel="0" collapsed="false">
      <c r="A514" s="30" t="s">
        <v>66</v>
      </c>
      <c r="B514" s="30" t="s">
        <v>67</v>
      </c>
      <c r="C514" s="21" t="n">
        <f aca="false">IF(A514="","",IFERROR(VLOOKUP(A514,'Recert Status'!$A$8:$C$400,3,FALSE()),""))</f>
        <v>46752</v>
      </c>
      <c r="D514" s="31" t="s">
        <v>980</v>
      </c>
      <c r="E514" s="30" t="n">
        <v>29784</v>
      </c>
      <c r="F514" s="32" t="n">
        <v>1</v>
      </c>
      <c r="G514" s="33" t="n">
        <v>45829</v>
      </c>
      <c r="H514" s="33" t="n">
        <v>45829</v>
      </c>
      <c r="I514" s="31" t="s">
        <v>981</v>
      </c>
      <c r="J514" s="30" t="s">
        <v>435</v>
      </c>
      <c r="K514" s="31" t="s">
        <v>468</v>
      </c>
      <c r="L514" s="32" t="n">
        <v>1</v>
      </c>
      <c r="M514" s="35" t="s">
        <v>386</v>
      </c>
      <c r="N514" s="31" t="s">
        <v>387</v>
      </c>
      <c r="O514" s="32" t="n">
        <v>1</v>
      </c>
      <c r="P514" s="15" t="n">
        <f aca="false">IF(A514="","",IF(O514&lt;&gt;"",O514,IF(L514&lt;&gt;"",L514,F514)))</f>
        <v>1</v>
      </c>
    </row>
    <row r="515" customFormat="false" ht="15" hidden="false" customHeight="true" outlineLevel="0" collapsed="false">
      <c r="A515" s="26" t="s">
        <v>66</v>
      </c>
      <c r="B515" s="26" t="s">
        <v>67</v>
      </c>
      <c r="C515" s="14" t="n">
        <f aca="false">IF(A515="","",IFERROR(VLOOKUP(A515,'Recert Status'!$A$8:$C$400,3,FALSE()),""))</f>
        <v>46752</v>
      </c>
      <c r="D515" s="18" t="s">
        <v>382</v>
      </c>
      <c r="E515" s="26" t="n">
        <v>35513</v>
      </c>
      <c r="F515" s="27" t="n">
        <v>2</v>
      </c>
      <c r="G515" s="28" t="n">
        <v>45883</v>
      </c>
      <c r="H515" s="28" t="n">
        <v>45883</v>
      </c>
      <c r="I515" s="18" t="s">
        <v>553</v>
      </c>
      <c r="J515" s="26" t="s">
        <v>384</v>
      </c>
      <c r="K515" s="18" t="s">
        <v>385</v>
      </c>
      <c r="L515" s="27" t="n">
        <v>2</v>
      </c>
      <c r="M515" s="35" t="s">
        <v>386</v>
      </c>
      <c r="N515" s="18" t="s">
        <v>387</v>
      </c>
      <c r="O515" s="27" t="n">
        <v>2</v>
      </c>
      <c r="P515" s="15" t="n">
        <f aca="false">IF(A515="","",IF(O515&lt;&gt;"",O515,IF(L515&lt;&gt;"",L515,F515)))</f>
        <v>2</v>
      </c>
    </row>
    <row r="516" customFormat="false" ht="15" hidden="false" customHeight="true" outlineLevel="0" collapsed="false">
      <c r="A516" s="30" t="s">
        <v>66</v>
      </c>
      <c r="B516" s="30" t="s">
        <v>67</v>
      </c>
      <c r="C516" s="21" t="n">
        <f aca="false">IF(A516="","",IFERROR(VLOOKUP(A516,'Recert Status'!$A$8:$C$400,3,FALSE()),""))</f>
        <v>46752</v>
      </c>
      <c r="D516" s="31" t="s">
        <v>474</v>
      </c>
      <c r="E516" s="30" t="s">
        <v>389</v>
      </c>
      <c r="F516" s="32" t="n">
        <v>1</v>
      </c>
      <c r="G516" s="33" t="n">
        <v>46204</v>
      </c>
      <c r="H516" s="33" t="n">
        <v>46204</v>
      </c>
      <c r="I516" s="31" t="s">
        <v>475</v>
      </c>
      <c r="J516" s="30" t="s">
        <v>389</v>
      </c>
      <c r="K516" s="31" t="s">
        <v>476</v>
      </c>
      <c r="L516" s="32" t="n">
        <v>1</v>
      </c>
      <c r="M516" s="35" t="s">
        <v>386</v>
      </c>
      <c r="N516" s="31" t="s">
        <v>387</v>
      </c>
      <c r="O516" s="32" t="n">
        <v>1</v>
      </c>
      <c r="P516" s="15" t="n">
        <f aca="false">IF(A516="","",IF(O516&lt;&gt;"",O516,IF(L516&lt;&gt;"",L516,F516)))</f>
        <v>1</v>
      </c>
    </row>
    <row r="517" customFormat="false" ht="15" hidden="false" customHeight="true" outlineLevel="0" collapsed="false">
      <c r="A517" s="26" t="s">
        <v>66</v>
      </c>
      <c r="B517" s="26" t="s">
        <v>67</v>
      </c>
      <c r="C517" s="14" t="n">
        <f aca="false">IF(A517="","",IFERROR(VLOOKUP(A517,'Recert Status'!$A$8:$C$400,3,FALSE()),""))</f>
        <v>46752</v>
      </c>
      <c r="D517" s="18" t="s">
        <v>973</v>
      </c>
      <c r="E517" s="26" t="s">
        <v>452</v>
      </c>
      <c r="F517" s="27" t="n">
        <v>3.5</v>
      </c>
      <c r="G517" s="28" t="n">
        <v>46069</v>
      </c>
      <c r="H517" s="28" t="n">
        <v>46069</v>
      </c>
      <c r="I517" s="18" t="s">
        <v>982</v>
      </c>
      <c r="J517" s="26" t="s">
        <v>452</v>
      </c>
      <c r="K517" s="18" t="s">
        <v>385</v>
      </c>
      <c r="L517" s="27" t="n">
        <v>3.5</v>
      </c>
      <c r="M517" s="36" t="s">
        <v>396</v>
      </c>
      <c r="N517" s="18" t="s">
        <v>397</v>
      </c>
      <c r="O517" s="27" t="n">
        <v>3.5</v>
      </c>
      <c r="P517" s="15" t="n">
        <f aca="false">IF(A517="","",IF(O517&lt;&gt;"",O517,IF(L517&lt;&gt;"",L517,F517)))</f>
        <v>3.5</v>
      </c>
    </row>
    <row r="518" customFormat="false" ht="15" hidden="false" customHeight="true" outlineLevel="0" collapsed="false">
      <c r="A518" s="30" t="s">
        <v>66</v>
      </c>
      <c r="B518" s="30" t="s">
        <v>67</v>
      </c>
      <c r="C518" s="21" t="n">
        <f aca="false">IF(A518="","",IFERROR(VLOOKUP(A518,'Recert Status'!$A$8:$C$400,3,FALSE()),""))</f>
        <v>46752</v>
      </c>
      <c r="D518" s="31" t="s">
        <v>662</v>
      </c>
      <c r="E518" s="30" t="s">
        <v>452</v>
      </c>
      <c r="F518" s="32" t="n">
        <v>1</v>
      </c>
      <c r="G518" s="33" t="n">
        <v>46111</v>
      </c>
      <c r="H518" s="33" t="n">
        <v>46111</v>
      </c>
      <c r="I518" s="31" t="s">
        <v>983</v>
      </c>
      <c r="J518" s="30" t="s">
        <v>452</v>
      </c>
      <c r="K518" s="31" t="s">
        <v>385</v>
      </c>
      <c r="L518" s="32" t="n">
        <v>1</v>
      </c>
      <c r="M518" s="36" t="s">
        <v>396</v>
      </c>
      <c r="N518" s="31" t="s">
        <v>397</v>
      </c>
      <c r="O518" s="32" t="n">
        <v>1</v>
      </c>
      <c r="P518" s="15" t="n">
        <f aca="false">IF(A518="","",IF(O518&lt;&gt;"",O518,IF(L518&lt;&gt;"",L518,F518)))</f>
        <v>1</v>
      </c>
    </row>
    <row r="519" customFormat="false" ht="15" hidden="false" customHeight="true" outlineLevel="0" collapsed="false">
      <c r="A519" s="26" t="s">
        <v>66</v>
      </c>
      <c r="B519" s="26" t="s">
        <v>67</v>
      </c>
      <c r="C519" s="14" t="n">
        <f aca="false">IF(A519="","",IFERROR(VLOOKUP(A519,'Recert Status'!$A$8:$C$400,3,FALSE()),""))</f>
        <v>46752</v>
      </c>
      <c r="D519" s="18" t="s">
        <v>732</v>
      </c>
      <c r="E519" s="26" t="s">
        <v>452</v>
      </c>
      <c r="F519" s="27" t="n">
        <v>1</v>
      </c>
      <c r="G519" s="28" t="n">
        <v>46132</v>
      </c>
      <c r="H519" s="28" t="n">
        <v>46132</v>
      </c>
      <c r="I519" s="18" t="s">
        <v>984</v>
      </c>
      <c r="J519" s="26" t="s">
        <v>452</v>
      </c>
      <c r="K519" s="18" t="s">
        <v>385</v>
      </c>
      <c r="L519" s="27" t="n">
        <v>1</v>
      </c>
      <c r="M519" s="36" t="s">
        <v>396</v>
      </c>
      <c r="N519" s="18" t="s">
        <v>397</v>
      </c>
      <c r="O519" s="27" t="n">
        <v>1</v>
      </c>
      <c r="P519" s="15" t="n">
        <f aca="false">IF(A519="","",IF(O519&lt;&gt;"",O519,IF(L519&lt;&gt;"",L519,F519)))</f>
        <v>1</v>
      </c>
    </row>
    <row r="520" customFormat="false" ht="15" hidden="false" customHeight="true" outlineLevel="0" collapsed="false">
      <c r="A520" s="30" t="s">
        <v>66</v>
      </c>
      <c r="B520" s="30" t="s">
        <v>67</v>
      </c>
      <c r="C520" s="21" t="n">
        <f aca="false">IF(A520="","",IFERROR(VLOOKUP(A520,'Recert Status'!$A$8:$C$400,3,FALSE()),""))</f>
        <v>46752</v>
      </c>
      <c r="D520" s="31" t="s">
        <v>397</v>
      </c>
      <c r="E520" s="30" t="s">
        <v>452</v>
      </c>
      <c r="F520" s="32" t="n">
        <v>1</v>
      </c>
      <c r="G520" s="33" t="n">
        <v>46231</v>
      </c>
      <c r="H520" s="33" t="n">
        <v>46231</v>
      </c>
      <c r="I520" s="31" t="s">
        <v>985</v>
      </c>
      <c r="J520" s="30" t="s">
        <v>452</v>
      </c>
      <c r="K520" s="31" t="s">
        <v>385</v>
      </c>
      <c r="L520" s="32" t="n">
        <v>1</v>
      </c>
      <c r="M520" s="36" t="s">
        <v>396</v>
      </c>
      <c r="N520" s="31" t="s">
        <v>397</v>
      </c>
      <c r="O520" s="32" t="n">
        <v>1</v>
      </c>
      <c r="P520" s="15" t="n">
        <f aca="false">IF(A520="","",IF(O520&lt;&gt;"",O520,IF(L520&lt;&gt;"",L520,F520)))</f>
        <v>1</v>
      </c>
    </row>
    <row r="521" customFormat="false" ht="15" hidden="false" customHeight="true" outlineLevel="0" collapsed="false">
      <c r="A521" s="26" t="s">
        <v>66</v>
      </c>
      <c r="B521" s="26" t="s">
        <v>67</v>
      </c>
      <c r="C521" s="14" t="n">
        <f aca="false">IF(A521="","",IFERROR(VLOOKUP(A521,'Recert Status'!$A$8:$C$400,3,FALSE()),""))</f>
        <v>46752</v>
      </c>
      <c r="D521" s="18" t="s">
        <v>397</v>
      </c>
      <c r="E521" s="26" t="s">
        <v>452</v>
      </c>
      <c r="F521" s="27" t="n">
        <v>1</v>
      </c>
      <c r="G521" s="28" t="n">
        <v>46246</v>
      </c>
      <c r="H521" s="28" t="n">
        <v>46246</v>
      </c>
      <c r="I521" s="18" t="s">
        <v>478</v>
      </c>
      <c r="J521" s="26" t="s">
        <v>452</v>
      </c>
      <c r="K521" s="18" t="s">
        <v>385</v>
      </c>
      <c r="L521" s="27" t="n">
        <v>1</v>
      </c>
      <c r="M521" s="36" t="s">
        <v>396</v>
      </c>
      <c r="N521" s="18" t="s">
        <v>397</v>
      </c>
      <c r="O521" s="27" t="n">
        <v>1</v>
      </c>
      <c r="P521" s="15" t="n">
        <f aca="false">IF(A521="","",IF(O521&lt;&gt;"",O521,IF(L521&lt;&gt;"",L521,F521)))</f>
        <v>1</v>
      </c>
    </row>
    <row r="522" customFormat="false" ht="15" hidden="false" customHeight="true" outlineLevel="0" collapsed="false">
      <c r="A522" s="30" t="s">
        <v>66</v>
      </c>
      <c r="B522" s="30" t="s">
        <v>67</v>
      </c>
      <c r="C522" s="21" t="n">
        <f aca="false">IF(A522="","",IFERROR(VLOOKUP(A522,'Recert Status'!$A$8:$C$400,3,FALSE()),""))</f>
        <v>46752</v>
      </c>
      <c r="D522" s="31" t="s">
        <v>415</v>
      </c>
      <c r="E522" s="30" t="s">
        <v>416</v>
      </c>
      <c r="F522" s="32" t="n">
        <v>1</v>
      </c>
      <c r="G522" s="33" t="n">
        <v>45826</v>
      </c>
      <c r="H522" s="33" t="n">
        <v>45826</v>
      </c>
      <c r="I522" s="31" t="s">
        <v>986</v>
      </c>
      <c r="J522" s="30" t="s">
        <v>416</v>
      </c>
      <c r="K522" s="31" t="s">
        <v>523</v>
      </c>
      <c r="L522" s="32" t="n">
        <v>1</v>
      </c>
      <c r="M522" s="39" t="s">
        <v>413</v>
      </c>
      <c r="N522" s="31" t="s">
        <v>414</v>
      </c>
      <c r="O522" s="32" t="n">
        <v>1</v>
      </c>
      <c r="P522" s="15" t="n">
        <f aca="false">IF(A522="","",IF(O522&lt;&gt;"",O522,IF(L522&lt;&gt;"",L522,F522)))</f>
        <v>1</v>
      </c>
    </row>
    <row r="523" customFormat="false" ht="15" hidden="false" customHeight="true" outlineLevel="0" collapsed="false">
      <c r="A523" s="26" t="s">
        <v>66</v>
      </c>
      <c r="B523" s="26" t="s">
        <v>67</v>
      </c>
      <c r="C523" s="14" t="n">
        <f aca="false">IF(A523="","",IFERROR(VLOOKUP(A523,'Recert Status'!$A$8:$C$400,3,FALSE()),""))</f>
        <v>46752</v>
      </c>
      <c r="D523" s="18" t="s">
        <v>719</v>
      </c>
      <c r="E523" s="26" t="s">
        <v>416</v>
      </c>
      <c r="F523" s="27" t="n">
        <v>2</v>
      </c>
      <c r="G523" s="28" t="n">
        <v>45859</v>
      </c>
      <c r="H523" s="28" t="n">
        <v>45859</v>
      </c>
      <c r="I523" s="18" t="s">
        <v>486</v>
      </c>
      <c r="J523" s="26" t="s">
        <v>416</v>
      </c>
      <c r="K523" s="18" t="s">
        <v>418</v>
      </c>
      <c r="L523" s="27" t="n">
        <v>2</v>
      </c>
      <c r="M523" s="39" t="s">
        <v>413</v>
      </c>
      <c r="N523" s="18" t="s">
        <v>414</v>
      </c>
      <c r="O523" s="27" t="n">
        <v>2</v>
      </c>
      <c r="P523" s="15" t="n">
        <f aca="false">IF(A523="","",IF(O523&lt;&gt;"",O523,IF(L523&lt;&gt;"",L523,F523)))</f>
        <v>2</v>
      </c>
    </row>
    <row r="524" customFormat="false" ht="15" hidden="false" customHeight="true" outlineLevel="0" collapsed="false">
      <c r="A524" s="30" t="s">
        <v>66</v>
      </c>
      <c r="B524" s="30" t="s">
        <v>67</v>
      </c>
      <c r="C524" s="21" t="n">
        <f aca="false">IF(A524="","",IFERROR(VLOOKUP(A524,'Recert Status'!$A$8:$C$400,3,FALSE()),""))</f>
        <v>46752</v>
      </c>
      <c r="D524" s="31" t="s">
        <v>488</v>
      </c>
      <c r="E524" s="30" t="s">
        <v>416</v>
      </c>
      <c r="F524" s="32" t="n">
        <v>1</v>
      </c>
      <c r="G524" s="33" t="n">
        <v>46132</v>
      </c>
      <c r="H524" s="33" t="n">
        <v>46132</v>
      </c>
      <c r="I524" s="31" t="s">
        <v>609</v>
      </c>
      <c r="J524" s="30" t="s">
        <v>416</v>
      </c>
      <c r="K524" s="31" t="s">
        <v>490</v>
      </c>
      <c r="L524" s="32" t="n">
        <v>1</v>
      </c>
      <c r="M524" s="39" t="s">
        <v>413</v>
      </c>
      <c r="N524" s="31" t="s">
        <v>414</v>
      </c>
      <c r="O524" s="32" t="n">
        <v>1</v>
      </c>
      <c r="P524" s="15" t="n">
        <f aca="false">IF(A524="","",IF(O524&lt;&gt;"",O524,IF(L524&lt;&gt;"",L524,F524)))</f>
        <v>1</v>
      </c>
    </row>
    <row r="525" customFormat="false" ht="15" hidden="false" customHeight="true" outlineLevel="0" collapsed="false">
      <c r="A525" s="26" t="s">
        <v>66</v>
      </c>
      <c r="B525" s="26" t="s">
        <v>67</v>
      </c>
      <c r="C525" s="14" t="n">
        <f aca="false">IF(A525="","",IFERROR(VLOOKUP(A525,'Recert Status'!$A$8:$C$400,3,FALSE()),""))</f>
        <v>46752</v>
      </c>
      <c r="D525" s="18" t="s">
        <v>414</v>
      </c>
      <c r="E525" s="26" t="s">
        <v>416</v>
      </c>
      <c r="F525" s="27" t="n">
        <v>2</v>
      </c>
      <c r="G525" s="28" t="n">
        <v>46218</v>
      </c>
      <c r="H525" s="28" t="n">
        <v>46218</v>
      </c>
      <c r="I525" s="18" t="s">
        <v>535</v>
      </c>
      <c r="J525" s="26" t="s">
        <v>416</v>
      </c>
      <c r="K525" s="18" t="s">
        <v>418</v>
      </c>
      <c r="L525" s="27" t="n">
        <v>2</v>
      </c>
      <c r="M525" s="39" t="s">
        <v>413</v>
      </c>
      <c r="N525" s="18" t="s">
        <v>414</v>
      </c>
      <c r="O525" s="27" t="n">
        <v>2</v>
      </c>
      <c r="P525" s="15" t="n">
        <f aca="false">IF(A525="","",IF(O525&lt;&gt;"",O525,IF(L525&lt;&gt;"",L525,F525)))</f>
        <v>2</v>
      </c>
    </row>
    <row r="526" customFormat="false" ht="15" hidden="false" customHeight="true" outlineLevel="0" collapsed="false">
      <c r="A526" s="30" t="s">
        <v>68</v>
      </c>
      <c r="B526" s="30" t="s">
        <v>69</v>
      </c>
      <c r="C526" s="21" t="n">
        <f aca="false">IF(A526="","",IFERROR(VLOOKUP(A526,'Recert Status'!$A$8:$C$400,3,FALSE()),""))</f>
        <v>46752</v>
      </c>
      <c r="D526" s="31" t="s">
        <v>619</v>
      </c>
      <c r="E526" s="30" t="n">
        <v>29675</v>
      </c>
      <c r="F526" s="32" t="n">
        <v>0.5</v>
      </c>
      <c r="G526" s="33" t="n">
        <v>45762</v>
      </c>
      <c r="H526" s="33" t="n">
        <v>45762</v>
      </c>
      <c r="I526" s="31" t="s">
        <v>620</v>
      </c>
      <c r="J526" s="30" t="s">
        <v>406</v>
      </c>
      <c r="K526" s="31" t="s">
        <v>370</v>
      </c>
      <c r="L526" s="32" t="n">
        <v>0.5</v>
      </c>
      <c r="M526" s="29" t="s">
        <v>366</v>
      </c>
      <c r="N526" s="31" t="s">
        <v>367</v>
      </c>
      <c r="O526" s="32" t="n">
        <v>0.5</v>
      </c>
      <c r="P526" s="15" t="n">
        <f aca="false">IF(A526="","",IF(O526&lt;&gt;"",O526,IF(L526&lt;&gt;"",L526,F526)))</f>
        <v>0.5</v>
      </c>
    </row>
    <row r="527" customFormat="false" ht="15" hidden="false" customHeight="true" outlineLevel="0" collapsed="false">
      <c r="A527" s="26" t="s">
        <v>68</v>
      </c>
      <c r="B527" s="26" t="s">
        <v>69</v>
      </c>
      <c r="C527" s="14" t="n">
        <f aca="false">IF(A527="","",IFERROR(VLOOKUP(A527,'Recert Status'!$A$8:$C$400,3,FALSE()),""))</f>
        <v>46752</v>
      </c>
      <c r="D527" s="18" t="s">
        <v>621</v>
      </c>
      <c r="E527" s="26" t="n">
        <v>29740</v>
      </c>
      <c r="F527" s="27" t="n">
        <v>0.5</v>
      </c>
      <c r="G527" s="28" t="n">
        <v>45783</v>
      </c>
      <c r="H527" s="28" t="n">
        <v>45783</v>
      </c>
      <c r="I527" s="18" t="s">
        <v>622</v>
      </c>
      <c r="J527" s="26" t="s">
        <v>394</v>
      </c>
      <c r="K527" s="18" t="s">
        <v>365</v>
      </c>
      <c r="L527" s="27" t="n">
        <v>0.5</v>
      </c>
      <c r="M527" s="29" t="s">
        <v>366</v>
      </c>
      <c r="N527" s="18" t="s">
        <v>367</v>
      </c>
      <c r="O527" s="27" t="n">
        <v>0.5</v>
      </c>
      <c r="P527" s="15" t="n">
        <f aca="false">IF(A527="","",IF(O527&lt;&gt;"",O527,IF(L527&lt;&gt;"",L527,F527)))</f>
        <v>0.5</v>
      </c>
    </row>
    <row r="528" customFormat="false" ht="15" hidden="false" customHeight="true" outlineLevel="0" collapsed="false">
      <c r="A528" s="30" t="s">
        <v>68</v>
      </c>
      <c r="B528" s="30" t="s">
        <v>69</v>
      </c>
      <c r="C528" s="21" t="n">
        <f aca="false">IF(A528="","",IFERROR(VLOOKUP(A528,'Recert Status'!$A$8:$C$400,3,FALSE()),""))</f>
        <v>46752</v>
      </c>
      <c r="D528" s="31" t="s">
        <v>628</v>
      </c>
      <c r="E528" s="30" t="n">
        <v>29675</v>
      </c>
      <c r="F528" s="32" t="n">
        <v>0.5</v>
      </c>
      <c r="G528" s="33" t="n">
        <v>45951</v>
      </c>
      <c r="H528" s="33" t="n">
        <v>45951</v>
      </c>
      <c r="I528" s="31" t="s">
        <v>629</v>
      </c>
      <c r="J528" s="30" t="s">
        <v>406</v>
      </c>
      <c r="K528" s="31" t="s">
        <v>630</v>
      </c>
      <c r="L528" s="32" t="n">
        <v>0.5</v>
      </c>
      <c r="M528" s="29" t="s">
        <v>366</v>
      </c>
      <c r="N528" s="31" t="s">
        <v>367</v>
      </c>
      <c r="O528" s="32" t="n">
        <v>0.5</v>
      </c>
      <c r="P528" s="15" t="n">
        <f aca="false">IF(A528="","",IF(O528&lt;&gt;"",O528,IF(L528&lt;&gt;"",L528,F528)))</f>
        <v>0.5</v>
      </c>
    </row>
    <row r="529" customFormat="false" ht="15" hidden="false" customHeight="true" outlineLevel="0" collapsed="false">
      <c r="A529" s="26" t="s">
        <v>68</v>
      </c>
      <c r="B529" s="26" t="s">
        <v>69</v>
      </c>
      <c r="C529" s="14" t="n">
        <f aca="false">IF(A529="","",IFERROR(VLOOKUP(A529,'Recert Status'!$A$8:$C$400,3,FALSE()),""))</f>
        <v>46752</v>
      </c>
      <c r="D529" s="18" t="s">
        <v>632</v>
      </c>
      <c r="E529" s="26" t="n">
        <v>29675</v>
      </c>
      <c r="F529" s="27" t="n">
        <v>0.5</v>
      </c>
      <c r="G529" s="28" t="n">
        <v>45855</v>
      </c>
      <c r="H529" s="28" t="n">
        <v>45855</v>
      </c>
      <c r="I529" s="18" t="s">
        <v>633</v>
      </c>
      <c r="J529" s="26" t="s">
        <v>406</v>
      </c>
      <c r="K529" s="18" t="s">
        <v>422</v>
      </c>
      <c r="L529" s="27" t="n">
        <v>0.5</v>
      </c>
      <c r="M529" s="40" t="s">
        <v>423</v>
      </c>
      <c r="N529" s="18" t="s">
        <v>424</v>
      </c>
      <c r="O529" s="27" t="n">
        <v>0.5</v>
      </c>
      <c r="P529" s="15" t="n">
        <f aca="false">IF(A529="","",IF(O529&lt;&gt;"",O529,IF(L529&lt;&gt;"",L529,F529)))</f>
        <v>0.5</v>
      </c>
    </row>
    <row r="530" customFormat="false" ht="15" hidden="false" customHeight="true" outlineLevel="0" collapsed="false">
      <c r="A530" s="30" t="s">
        <v>68</v>
      </c>
      <c r="B530" s="30" t="s">
        <v>69</v>
      </c>
      <c r="C530" s="21" t="n">
        <f aca="false">IF(A530="","",IFERROR(VLOOKUP(A530,'Recert Status'!$A$8:$C$400,3,FALSE()),""))</f>
        <v>46752</v>
      </c>
      <c r="D530" s="31" t="s">
        <v>814</v>
      </c>
      <c r="E530" s="30" t="s">
        <v>426</v>
      </c>
      <c r="F530" s="32" t="n">
        <v>2</v>
      </c>
      <c r="G530" s="33" t="n">
        <v>45912</v>
      </c>
      <c r="H530" s="33" t="n">
        <v>45912</v>
      </c>
      <c r="I530" s="31" t="s">
        <v>815</v>
      </c>
      <c r="J530" s="30" t="s">
        <v>426</v>
      </c>
      <c r="K530" s="31" t="s">
        <v>428</v>
      </c>
      <c r="L530" s="32" t="n">
        <v>2</v>
      </c>
      <c r="M530" s="41" t="s">
        <v>429</v>
      </c>
      <c r="N530" s="31" t="s">
        <v>430</v>
      </c>
      <c r="O530" s="32" t="n">
        <v>2</v>
      </c>
      <c r="P530" s="15" t="n">
        <f aca="false">IF(A530="","",IF(O530&lt;&gt;"",O530,IF(L530&lt;&gt;"",L530,F530)))</f>
        <v>2</v>
      </c>
    </row>
    <row r="531" customFormat="false" ht="15" hidden="false" customHeight="true" outlineLevel="0" collapsed="false">
      <c r="A531" s="26" t="s">
        <v>68</v>
      </c>
      <c r="B531" s="26" t="s">
        <v>69</v>
      </c>
      <c r="C531" s="14" t="n">
        <f aca="false">IF(A531="","",IFERROR(VLOOKUP(A531,'Recert Status'!$A$8:$C$400,3,FALSE()),""))</f>
        <v>46752</v>
      </c>
      <c r="D531" s="18" t="s">
        <v>640</v>
      </c>
      <c r="E531" s="26" t="n">
        <v>29740</v>
      </c>
      <c r="F531" s="27" t="n">
        <v>0.5</v>
      </c>
      <c r="G531" s="28" t="n">
        <v>45678</v>
      </c>
      <c r="H531" s="28" t="n">
        <v>45678</v>
      </c>
      <c r="I531" s="18" t="s">
        <v>641</v>
      </c>
      <c r="J531" s="26" t="s">
        <v>394</v>
      </c>
      <c r="K531" s="18" t="s">
        <v>476</v>
      </c>
      <c r="L531" s="27" t="n">
        <v>0.5</v>
      </c>
      <c r="M531" s="35" t="s">
        <v>386</v>
      </c>
      <c r="N531" s="18" t="s">
        <v>387</v>
      </c>
      <c r="O531" s="27" t="n">
        <v>0.5</v>
      </c>
      <c r="P531" s="15" t="n">
        <f aca="false">IF(A531="","",IF(O531&lt;&gt;"",O531,IF(L531&lt;&gt;"",L531,F531)))</f>
        <v>0.5</v>
      </c>
    </row>
    <row r="532" customFormat="false" ht="15" hidden="false" customHeight="true" outlineLevel="0" collapsed="false">
      <c r="A532" s="30" t="s">
        <v>68</v>
      </c>
      <c r="B532" s="30" t="s">
        <v>69</v>
      </c>
      <c r="C532" s="21" t="n">
        <f aca="false">IF(A532="","",IFERROR(VLOOKUP(A532,'Recert Status'!$A$8:$C$400,3,FALSE()),""))</f>
        <v>46752</v>
      </c>
      <c r="D532" s="31" t="s">
        <v>642</v>
      </c>
      <c r="E532" s="30" t="n">
        <v>29675</v>
      </c>
      <c r="F532" s="32" t="n">
        <v>0.5</v>
      </c>
      <c r="G532" s="33" t="n">
        <v>45762</v>
      </c>
      <c r="H532" s="33" t="n">
        <v>45762</v>
      </c>
      <c r="I532" s="31" t="s">
        <v>643</v>
      </c>
      <c r="J532" s="30" t="s">
        <v>406</v>
      </c>
      <c r="K532" s="31" t="s">
        <v>395</v>
      </c>
      <c r="L532" s="32" t="n">
        <v>0.5</v>
      </c>
      <c r="M532" s="35" t="s">
        <v>386</v>
      </c>
      <c r="N532" s="31" t="s">
        <v>387</v>
      </c>
      <c r="O532" s="32" t="n">
        <v>0.5</v>
      </c>
      <c r="P532" s="15" t="n">
        <f aca="false">IF(A532="","",IF(O532&lt;&gt;"",O532,IF(L532&lt;&gt;"",L532,F532)))</f>
        <v>0.5</v>
      </c>
    </row>
    <row r="533" customFormat="false" ht="15" hidden="false" customHeight="true" outlineLevel="0" collapsed="false">
      <c r="A533" s="26" t="s">
        <v>68</v>
      </c>
      <c r="B533" s="26" t="s">
        <v>69</v>
      </c>
      <c r="C533" s="14" t="n">
        <f aca="false">IF(A533="","",IFERROR(VLOOKUP(A533,'Recert Status'!$A$8:$C$400,3,FALSE()),""))</f>
        <v>46752</v>
      </c>
      <c r="D533" s="18" t="s">
        <v>644</v>
      </c>
      <c r="E533" s="26" t="n">
        <v>29743</v>
      </c>
      <c r="F533" s="27" t="n">
        <v>1</v>
      </c>
      <c r="G533" s="28" t="n">
        <v>45777</v>
      </c>
      <c r="H533" s="28" t="n">
        <v>45777</v>
      </c>
      <c r="I533" s="18" t="s">
        <v>645</v>
      </c>
      <c r="J533" s="26" t="s">
        <v>439</v>
      </c>
      <c r="K533" s="18" t="s">
        <v>646</v>
      </c>
      <c r="L533" s="27" t="n">
        <v>1</v>
      </c>
      <c r="M533" s="35" t="s">
        <v>386</v>
      </c>
      <c r="N533" s="18" t="s">
        <v>387</v>
      </c>
      <c r="O533" s="27" t="n">
        <v>1</v>
      </c>
      <c r="P533" s="15" t="n">
        <f aca="false">IF(A533="","",IF(O533&lt;&gt;"",O533,IF(L533&lt;&gt;"",L533,F533)))</f>
        <v>1</v>
      </c>
    </row>
    <row r="534" customFormat="false" ht="15" hidden="false" customHeight="true" outlineLevel="0" collapsed="false">
      <c r="A534" s="30" t="s">
        <v>68</v>
      </c>
      <c r="B534" s="30" t="s">
        <v>69</v>
      </c>
      <c r="C534" s="21" t="n">
        <f aca="false">IF(A534="","",IFERROR(VLOOKUP(A534,'Recert Status'!$A$8:$C$400,3,FALSE()),""))</f>
        <v>46752</v>
      </c>
      <c r="D534" s="31" t="s">
        <v>437</v>
      </c>
      <c r="E534" s="30" t="n">
        <v>29743</v>
      </c>
      <c r="F534" s="32" t="n">
        <v>1</v>
      </c>
      <c r="G534" s="33" t="n">
        <v>45833</v>
      </c>
      <c r="H534" s="33" t="n">
        <v>45833</v>
      </c>
      <c r="I534" s="31" t="s">
        <v>438</v>
      </c>
      <c r="J534" s="30" t="s">
        <v>439</v>
      </c>
      <c r="K534" s="31" t="s">
        <v>440</v>
      </c>
      <c r="L534" s="32" t="n">
        <v>1</v>
      </c>
      <c r="M534" s="35" t="s">
        <v>386</v>
      </c>
      <c r="N534" s="31" t="s">
        <v>387</v>
      </c>
      <c r="O534" s="32" t="n">
        <v>1</v>
      </c>
      <c r="P534" s="15" t="n">
        <f aca="false">IF(A534="","",IF(O534&lt;&gt;"",O534,IF(L534&lt;&gt;"",L534,F534)))</f>
        <v>1</v>
      </c>
    </row>
    <row r="535" customFormat="false" ht="15" hidden="false" customHeight="true" outlineLevel="0" collapsed="false">
      <c r="A535" s="26" t="s">
        <v>68</v>
      </c>
      <c r="B535" s="26" t="s">
        <v>69</v>
      </c>
      <c r="C535" s="14" t="n">
        <f aca="false">IF(A535="","",IFERROR(VLOOKUP(A535,'Recert Status'!$A$8:$C$400,3,FALSE()),""))</f>
        <v>46752</v>
      </c>
      <c r="D535" s="18" t="s">
        <v>441</v>
      </c>
      <c r="E535" s="26" t="n">
        <v>29743</v>
      </c>
      <c r="F535" s="27" t="n">
        <v>1</v>
      </c>
      <c r="G535" s="28" t="n">
        <v>45833</v>
      </c>
      <c r="H535" s="28" t="n">
        <v>45833</v>
      </c>
      <c r="I535" s="18" t="s">
        <v>442</v>
      </c>
      <c r="J535" s="26" t="s">
        <v>439</v>
      </c>
      <c r="K535" s="18" t="s">
        <v>443</v>
      </c>
      <c r="L535" s="27" t="n">
        <v>1</v>
      </c>
      <c r="M535" s="35" t="s">
        <v>386</v>
      </c>
      <c r="N535" s="18" t="s">
        <v>387</v>
      </c>
      <c r="O535" s="27" t="n">
        <v>1</v>
      </c>
      <c r="P535" s="15" t="n">
        <f aca="false">IF(A535="","",IF(O535&lt;&gt;"",O535,IF(L535&lt;&gt;"",L535,F535)))</f>
        <v>1</v>
      </c>
    </row>
    <row r="536" customFormat="false" ht="15" hidden="false" customHeight="true" outlineLevel="0" collapsed="false">
      <c r="A536" s="30" t="s">
        <v>68</v>
      </c>
      <c r="B536" s="30" t="s">
        <v>69</v>
      </c>
      <c r="C536" s="21" t="n">
        <f aca="false">IF(A536="","",IFERROR(VLOOKUP(A536,'Recert Status'!$A$8:$C$400,3,FALSE()),""))</f>
        <v>46752</v>
      </c>
      <c r="D536" s="31" t="s">
        <v>647</v>
      </c>
      <c r="E536" s="30" t="n">
        <v>29675</v>
      </c>
      <c r="F536" s="32" t="n">
        <v>1</v>
      </c>
      <c r="G536" s="33" t="n">
        <v>45840</v>
      </c>
      <c r="H536" s="33" t="n">
        <v>45840</v>
      </c>
      <c r="I536" s="31" t="s">
        <v>648</v>
      </c>
      <c r="J536" s="30" t="s">
        <v>406</v>
      </c>
      <c r="K536" s="31" t="s">
        <v>385</v>
      </c>
      <c r="L536" s="32" t="n">
        <v>1</v>
      </c>
      <c r="M536" s="35" t="s">
        <v>386</v>
      </c>
      <c r="N536" s="31" t="s">
        <v>387</v>
      </c>
      <c r="O536" s="32" t="n">
        <v>1</v>
      </c>
      <c r="P536" s="15" t="n">
        <f aca="false">IF(A536="","",IF(O536&lt;&gt;"",O536,IF(L536&lt;&gt;"",L536,F536)))</f>
        <v>1</v>
      </c>
    </row>
    <row r="537" customFormat="false" ht="15" hidden="false" customHeight="true" outlineLevel="0" collapsed="false">
      <c r="A537" s="26" t="s">
        <v>68</v>
      </c>
      <c r="B537" s="26" t="s">
        <v>69</v>
      </c>
      <c r="C537" s="14" t="n">
        <f aca="false">IF(A537="","",IFERROR(VLOOKUP(A537,'Recert Status'!$A$8:$C$400,3,FALSE()),""))</f>
        <v>46752</v>
      </c>
      <c r="D537" s="18" t="s">
        <v>649</v>
      </c>
      <c r="E537" s="26" t="s">
        <v>363</v>
      </c>
      <c r="F537" s="27" t="n">
        <v>1</v>
      </c>
      <c r="G537" s="28" t="n">
        <v>45867</v>
      </c>
      <c r="H537" s="28" t="n">
        <v>45867</v>
      </c>
      <c r="I537" s="18" t="s">
        <v>650</v>
      </c>
      <c r="J537" s="26" t="s">
        <v>363</v>
      </c>
      <c r="K537" s="18" t="s">
        <v>370</v>
      </c>
      <c r="L537" s="27" t="n">
        <v>1</v>
      </c>
      <c r="M537" s="35" t="s">
        <v>386</v>
      </c>
      <c r="N537" s="18" t="s">
        <v>387</v>
      </c>
      <c r="O537" s="27" t="n">
        <v>1</v>
      </c>
      <c r="P537" s="15" t="n">
        <f aca="false">IF(A537="","",IF(O537&lt;&gt;"",O537,IF(L537&lt;&gt;"",L537,F537)))</f>
        <v>1</v>
      </c>
    </row>
    <row r="538" customFormat="false" ht="15" hidden="false" customHeight="true" outlineLevel="0" collapsed="false">
      <c r="A538" s="30" t="s">
        <v>68</v>
      </c>
      <c r="B538" s="30" t="s">
        <v>69</v>
      </c>
      <c r="C538" s="21" t="n">
        <f aca="false">IF(A538="","",IFERROR(VLOOKUP(A538,'Recert Status'!$A$8:$C$400,3,FALSE()),""))</f>
        <v>46752</v>
      </c>
      <c r="D538" s="31" t="s">
        <v>651</v>
      </c>
      <c r="E538" s="30" t="n">
        <v>29668</v>
      </c>
      <c r="F538" s="32" t="n">
        <v>1</v>
      </c>
      <c r="G538" s="33" t="n">
        <v>45867</v>
      </c>
      <c r="H538" s="33" t="n">
        <v>45867</v>
      </c>
      <c r="I538" s="31" t="s">
        <v>652</v>
      </c>
      <c r="J538" s="30" t="s">
        <v>511</v>
      </c>
      <c r="K538" s="31" t="s">
        <v>509</v>
      </c>
      <c r="L538" s="32" t="n">
        <v>1</v>
      </c>
      <c r="M538" s="35" t="s">
        <v>386</v>
      </c>
      <c r="N538" s="31" t="s">
        <v>387</v>
      </c>
      <c r="O538" s="32" t="n">
        <v>1</v>
      </c>
      <c r="P538" s="15" t="n">
        <f aca="false">IF(A538="","",IF(O538&lt;&gt;"",O538,IF(L538&lt;&gt;"",L538,F538)))</f>
        <v>1</v>
      </c>
    </row>
    <row r="539" customFormat="false" ht="15" hidden="false" customHeight="true" outlineLevel="0" collapsed="false">
      <c r="A539" s="26" t="s">
        <v>68</v>
      </c>
      <c r="B539" s="26" t="s">
        <v>69</v>
      </c>
      <c r="C539" s="14" t="n">
        <f aca="false">IF(A539="","",IFERROR(VLOOKUP(A539,'Recert Status'!$A$8:$C$400,3,FALSE()),""))</f>
        <v>46752</v>
      </c>
      <c r="D539" s="18" t="s">
        <v>382</v>
      </c>
      <c r="E539" s="26" t="n">
        <v>35513</v>
      </c>
      <c r="F539" s="27" t="n">
        <v>2</v>
      </c>
      <c r="G539" s="28" t="n">
        <v>45883</v>
      </c>
      <c r="H539" s="28" t="n">
        <v>45883</v>
      </c>
      <c r="I539" s="18" t="s">
        <v>383</v>
      </c>
      <c r="J539" s="26" t="s">
        <v>384</v>
      </c>
      <c r="K539" s="18" t="s">
        <v>385</v>
      </c>
      <c r="L539" s="27" t="n">
        <v>2</v>
      </c>
      <c r="M539" s="35" t="s">
        <v>386</v>
      </c>
      <c r="N539" s="18" t="s">
        <v>387</v>
      </c>
      <c r="O539" s="27" t="n">
        <v>2</v>
      </c>
      <c r="P539" s="15" t="n">
        <f aca="false">IF(A539="","",IF(O539&lt;&gt;"",O539,IF(L539&lt;&gt;"",L539,F539)))</f>
        <v>2</v>
      </c>
    </row>
    <row r="540" customFormat="false" ht="15" hidden="false" customHeight="true" outlineLevel="0" collapsed="false">
      <c r="A540" s="30" t="s">
        <v>68</v>
      </c>
      <c r="B540" s="30" t="s">
        <v>69</v>
      </c>
      <c r="C540" s="21" t="n">
        <f aca="false">IF(A540="","",IFERROR(VLOOKUP(A540,'Recert Status'!$A$8:$C$400,3,FALSE()),""))</f>
        <v>46752</v>
      </c>
      <c r="D540" s="31" t="s">
        <v>658</v>
      </c>
      <c r="E540" s="30" t="n">
        <v>29675</v>
      </c>
      <c r="F540" s="32" t="n">
        <v>0.5</v>
      </c>
      <c r="G540" s="33" t="n">
        <v>45951</v>
      </c>
      <c r="H540" s="33" t="n">
        <v>45951</v>
      </c>
      <c r="I540" s="31" t="s">
        <v>659</v>
      </c>
      <c r="J540" s="30" t="s">
        <v>406</v>
      </c>
      <c r="K540" s="31" t="s">
        <v>395</v>
      </c>
      <c r="L540" s="32" t="n">
        <v>0.5</v>
      </c>
      <c r="M540" s="35" t="s">
        <v>386</v>
      </c>
      <c r="N540" s="31" t="s">
        <v>387</v>
      </c>
      <c r="O540" s="32" t="n">
        <v>0.5</v>
      </c>
      <c r="P540" s="15" t="n">
        <f aca="false">IF(A540="","",IF(O540&lt;&gt;"",O540,IF(L540&lt;&gt;"",L540,F540)))</f>
        <v>0.5</v>
      </c>
    </row>
    <row r="541" customFormat="false" ht="15" hidden="false" customHeight="true" outlineLevel="0" collapsed="false">
      <c r="A541" s="26" t="s">
        <v>68</v>
      </c>
      <c r="B541" s="26" t="s">
        <v>69</v>
      </c>
      <c r="C541" s="14" t="n">
        <f aca="false">IF(A541="","",IFERROR(VLOOKUP(A541,'Recert Status'!$A$8:$C$400,3,FALSE()),""))</f>
        <v>46752</v>
      </c>
      <c r="D541" s="18" t="s">
        <v>660</v>
      </c>
      <c r="E541" s="26" t="n">
        <v>29675</v>
      </c>
      <c r="F541" s="27" t="n">
        <v>1</v>
      </c>
      <c r="G541" s="28" t="n">
        <v>45966</v>
      </c>
      <c r="H541" s="28" t="n">
        <v>45966</v>
      </c>
      <c r="I541" s="18" t="s">
        <v>661</v>
      </c>
      <c r="J541" s="26" t="s">
        <v>406</v>
      </c>
      <c r="K541" s="18" t="s">
        <v>395</v>
      </c>
      <c r="L541" s="27" t="n">
        <v>1</v>
      </c>
      <c r="M541" s="35" t="s">
        <v>386</v>
      </c>
      <c r="N541" s="18" t="s">
        <v>387</v>
      </c>
      <c r="O541" s="27" t="n">
        <v>1</v>
      </c>
      <c r="P541" s="15" t="n">
        <f aca="false">IF(A541="","",IF(O541&lt;&gt;"",O541,IF(L541&lt;&gt;"",L541,F541)))</f>
        <v>1</v>
      </c>
    </row>
    <row r="542" customFormat="false" ht="15" hidden="false" customHeight="true" outlineLevel="0" collapsed="false">
      <c r="A542" s="30" t="s">
        <v>68</v>
      </c>
      <c r="B542" s="30" t="s">
        <v>69</v>
      </c>
      <c r="C542" s="21" t="n">
        <f aca="false">IF(A542="","",IFERROR(VLOOKUP(A542,'Recert Status'!$A$8:$C$400,3,FALSE()),""))</f>
        <v>46752</v>
      </c>
      <c r="D542" s="31" t="s">
        <v>662</v>
      </c>
      <c r="E542" s="30" t="s">
        <v>452</v>
      </c>
      <c r="F542" s="32" t="n">
        <v>1</v>
      </c>
      <c r="G542" s="33" t="n">
        <v>45882</v>
      </c>
      <c r="H542" s="33" t="n">
        <v>45882</v>
      </c>
      <c r="I542" s="31" t="s">
        <v>663</v>
      </c>
      <c r="J542" s="30" t="s">
        <v>452</v>
      </c>
      <c r="K542" s="31" t="s">
        <v>385</v>
      </c>
      <c r="L542" s="32" t="n">
        <v>1</v>
      </c>
      <c r="M542" s="36" t="s">
        <v>396</v>
      </c>
      <c r="N542" s="31" t="s">
        <v>397</v>
      </c>
      <c r="O542" s="32" t="n">
        <v>1</v>
      </c>
      <c r="P542" s="15" t="n">
        <f aca="false">IF(A542="","",IF(O542&lt;&gt;"",O542,IF(L542&lt;&gt;"",L542,F542)))</f>
        <v>1</v>
      </c>
    </row>
    <row r="543" customFormat="false" ht="15" hidden="false" customHeight="true" outlineLevel="0" collapsed="false">
      <c r="A543" s="26" t="s">
        <v>68</v>
      </c>
      <c r="B543" s="26" t="s">
        <v>69</v>
      </c>
      <c r="C543" s="14" t="n">
        <f aca="false">IF(A543="","",IFERROR(VLOOKUP(A543,'Recert Status'!$A$8:$C$400,3,FALSE()),""))</f>
        <v>46752</v>
      </c>
      <c r="D543" s="18" t="s">
        <v>987</v>
      </c>
      <c r="E543" s="26" t="s">
        <v>399</v>
      </c>
      <c r="F543" s="27" t="n">
        <v>1</v>
      </c>
      <c r="G543" s="28" t="n">
        <v>46095</v>
      </c>
      <c r="H543" s="28" t="n">
        <v>46095</v>
      </c>
      <c r="I543" s="18" t="s">
        <v>988</v>
      </c>
      <c r="J543" s="26" t="s">
        <v>399</v>
      </c>
      <c r="K543" s="18" t="s">
        <v>401</v>
      </c>
      <c r="L543" s="27" t="n">
        <v>1</v>
      </c>
      <c r="M543" s="37" t="s">
        <v>402</v>
      </c>
      <c r="N543" s="18" t="s">
        <v>403</v>
      </c>
      <c r="O543" s="27" t="n">
        <v>1</v>
      </c>
      <c r="P543" s="15" t="n">
        <f aca="false">IF(A543="","",IF(O543&lt;&gt;"",O543,IF(L543&lt;&gt;"",L543,F543)))</f>
        <v>1</v>
      </c>
    </row>
    <row r="544" customFormat="false" ht="15" hidden="false" customHeight="true" outlineLevel="0" collapsed="false">
      <c r="A544" s="30" t="s">
        <v>68</v>
      </c>
      <c r="B544" s="30" t="s">
        <v>69</v>
      </c>
      <c r="C544" s="21" t="n">
        <f aca="false">IF(A544="","",IFERROR(VLOOKUP(A544,'Recert Status'!$A$8:$C$400,3,FALSE()),""))</f>
        <v>46752</v>
      </c>
      <c r="D544" s="31" t="s">
        <v>580</v>
      </c>
      <c r="E544" s="30" t="s">
        <v>416</v>
      </c>
      <c r="F544" s="32" t="n">
        <v>1</v>
      </c>
      <c r="G544" s="33" t="n">
        <v>45825</v>
      </c>
      <c r="H544" s="33" t="n">
        <v>45825</v>
      </c>
      <c r="I544" s="31" t="s">
        <v>581</v>
      </c>
      <c r="J544" s="30" t="s">
        <v>416</v>
      </c>
      <c r="K544" s="31" t="s">
        <v>418</v>
      </c>
      <c r="L544" s="32" t="n">
        <v>1</v>
      </c>
      <c r="M544" s="39" t="s">
        <v>413</v>
      </c>
      <c r="N544" s="31" t="s">
        <v>414</v>
      </c>
      <c r="O544" s="32" t="n">
        <v>1</v>
      </c>
      <c r="P544" s="15" t="n">
        <f aca="false">IF(A544="","",IF(O544&lt;&gt;"",O544,IF(L544&lt;&gt;"",L544,F544)))</f>
        <v>1</v>
      </c>
    </row>
    <row r="545" customFormat="false" ht="15" hidden="false" customHeight="true" outlineLevel="0" collapsed="false">
      <c r="A545" s="26" t="s">
        <v>68</v>
      </c>
      <c r="B545" s="26" t="s">
        <v>69</v>
      </c>
      <c r="C545" s="14" t="n">
        <f aca="false">IF(A545="","",IFERROR(VLOOKUP(A545,'Recert Status'!$A$8:$C$400,3,FALSE()),""))</f>
        <v>46752</v>
      </c>
      <c r="D545" s="18" t="s">
        <v>670</v>
      </c>
      <c r="E545" s="26" t="s">
        <v>416</v>
      </c>
      <c r="F545" s="27" t="n">
        <v>2</v>
      </c>
      <c r="G545" s="28" t="n">
        <v>45861</v>
      </c>
      <c r="H545" s="28" t="n">
        <v>45861</v>
      </c>
      <c r="I545" s="18" t="s">
        <v>671</v>
      </c>
      <c r="J545" s="26" t="s">
        <v>416</v>
      </c>
      <c r="K545" s="18" t="s">
        <v>418</v>
      </c>
      <c r="L545" s="27" t="n">
        <v>2</v>
      </c>
      <c r="M545" s="39" t="s">
        <v>413</v>
      </c>
      <c r="N545" s="18" t="s">
        <v>514</v>
      </c>
      <c r="O545" s="27" t="n">
        <v>2</v>
      </c>
      <c r="P545" s="15" t="n">
        <f aca="false">IF(A545="","",IF(O545&lt;&gt;"",O545,IF(L545&lt;&gt;"",L545,F545)))</f>
        <v>2</v>
      </c>
    </row>
    <row r="546" customFormat="false" ht="15" hidden="false" customHeight="true" outlineLevel="0" collapsed="false">
      <c r="A546" s="30" t="s">
        <v>68</v>
      </c>
      <c r="B546" s="30" t="s">
        <v>69</v>
      </c>
      <c r="C546" s="21" t="n">
        <f aca="false">IF(A546="","",IFERROR(VLOOKUP(A546,'Recert Status'!$A$8:$C$400,3,FALSE()),""))</f>
        <v>46752</v>
      </c>
      <c r="D546" s="31" t="s">
        <v>672</v>
      </c>
      <c r="E546" s="30" t="s">
        <v>416</v>
      </c>
      <c r="F546" s="32" t="n">
        <v>1</v>
      </c>
      <c r="G546" s="33" t="n">
        <v>45933</v>
      </c>
      <c r="H546" s="33" t="n">
        <v>45933</v>
      </c>
      <c r="I546" s="31" t="s">
        <v>675</v>
      </c>
      <c r="J546" s="30" t="s">
        <v>416</v>
      </c>
      <c r="K546" s="31" t="s">
        <v>674</v>
      </c>
      <c r="L546" s="32" t="n">
        <v>1</v>
      </c>
      <c r="M546" s="39" t="s">
        <v>413</v>
      </c>
      <c r="N546" s="31" t="s">
        <v>414</v>
      </c>
      <c r="O546" s="32" t="n">
        <v>1</v>
      </c>
      <c r="P546" s="15" t="n">
        <f aca="false">IF(A546="","",IF(O546&lt;&gt;"",O546,IF(L546&lt;&gt;"",L546,F546)))</f>
        <v>1</v>
      </c>
    </row>
    <row r="547" customFormat="false" ht="15" hidden="false" customHeight="true" outlineLevel="0" collapsed="false">
      <c r="A547" s="26" t="s">
        <v>68</v>
      </c>
      <c r="B547" s="26" t="s">
        <v>69</v>
      </c>
      <c r="C547" s="14" t="n">
        <f aca="false">IF(A547="","",IFERROR(VLOOKUP(A547,'Recert Status'!$A$8:$C$400,3,FALSE()),""))</f>
        <v>46752</v>
      </c>
      <c r="D547" s="18" t="s">
        <v>488</v>
      </c>
      <c r="E547" s="26" t="s">
        <v>416</v>
      </c>
      <c r="F547" s="27" t="n">
        <v>1</v>
      </c>
      <c r="G547" s="28" t="n">
        <v>46125</v>
      </c>
      <c r="H547" s="28" t="n">
        <v>46125</v>
      </c>
      <c r="I547" s="18" t="s">
        <v>608</v>
      </c>
      <c r="J547" s="26" t="s">
        <v>416</v>
      </c>
      <c r="K547" s="18" t="s">
        <v>490</v>
      </c>
      <c r="L547" s="27" t="n">
        <v>1</v>
      </c>
      <c r="M547" s="39" t="s">
        <v>413</v>
      </c>
      <c r="N547" s="18" t="s">
        <v>414</v>
      </c>
      <c r="O547" s="27" t="n">
        <v>1</v>
      </c>
      <c r="P547" s="15" t="n">
        <f aca="false">IF(A547="","",IF(O547&lt;&gt;"",O547,IF(L547&lt;&gt;"",L547,F547)))</f>
        <v>1</v>
      </c>
    </row>
    <row r="548" customFormat="false" ht="15" hidden="false" customHeight="true" outlineLevel="0" collapsed="false">
      <c r="A548" s="30" t="s">
        <v>68</v>
      </c>
      <c r="B548" s="30" t="s">
        <v>69</v>
      </c>
      <c r="C548" s="21" t="n">
        <f aca="false">IF(A548="","",IFERROR(VLOOKUP(A548,'Recert Status'!$A$8:$C$400,3,FALSE()),""))</f>
        <v>46752</v>
      </c>
      <c r="D548" s="31" t="s">
        <v>414</v>
      </c>
      <c r="E548" s="30" t="s">
        <v>416</v>
      </c>
      <c r="F548" s="32" t="n">
        <v>2</v>
      </c>
      <c r="G548" s="33" t="n">
        <v>46218</v>
      </c>
      <c r="H548" s="33" t="n">
        <v>46218</v>
      </c>
      <c r="I548" s="31" t="s">
        <v>535</v>
      </c>
      <c r="J548" s="30" t="s">
        <v>416</v>
      </c>
      <c r="K548" s="31" t="s">
        <v>418</v>
      </c>
      <c r="L548" s="32" t="n">
        <v>2</v>
      </c>
      <c r="M548" s="39" t="s">
        <v>413</v>
      </c>
      <c r="N548" s="31" t="s">
        <v>414</v>
      </c>
      <c r="O548" s="32" t="n">
        <v>2</v>
      </c>
      <c r="P548" s="15" t="n">
        <f aca="false">IF(A548="","",IF(O548&lt;&gt;"",O548,IF(L548&lt;&gt;"",L548,F548)))</f>
        <v>2</v>
      </c>
    </row>
    <row r="549" customFormat="false" ht="15" hidden="false" customHeight="true" outlineLevel="0" collapsed="false">
      <c r="A549" s="26" t="s">
        <v>70</v>
      </c>
      <c r="B549" s="26" t="s">
        <v>71</v>
      </c>
      <c r="C549" s="14" t="n">
        <f aca="false">IF(A549="","",IFERROR(VLOOKUP(A549,'Recert Status'!$A$8:$C$400,3,FALSE()),""))</f>
        <v>46387</v>
      </c>
      <c r="D549" s="18" t="s">
        <v>632</v>
      </c>
      <c r="E549" s="26" t="n">
        <v>29675</v>
      </c>
      <c r="F549" s="27" t="n">
        <v>0.5</v>
      </c>
      <c r="G549" s="28" t="n">
        <v>45855</v>
      </c>
      <c r="H549" s="28" t="n">
        <v>45855</v>
      </c>
      <c r="I549" s="18" t="s">
        <v>633</v>
      </c>
      <c r="J549" s="26" t="s">
        <v>406</v>
      </c>
      <c r="K549" s="18" t="s">
        <v>422</v>
      </c>
      <c r="L549" s="27" t="n">
        <v>0.5</v>
      </c>
      <c r="M549" s="40" t="s">
        <v>423</v>
      </c>
      <c r="N549" s="18" t="s">
        <v>424</v>
      </c>
      <c r="O549" s="27" t="n">
        <v>0.5</v>
      </c>
      <c r="P549" s="15" t="n">
        <f aca="false">IF(A549="","",IF(O549&lt;&gt;"",O549,IF(L549&lt;&gt;"",L549,F549)))</f>
        <v>0.5</v>
      </c>
    </row>
    <row r="550" customFormat="false" ht="15" hidden="false" customHeight="true" outlineLevel="0" collapsed="false">
      <c r="A550" s="30" t="s">
        <v>70</v>
      </c>
      <c r="B550" s="30" t="s">
        <v>71</v>
      </c>
      <c r="C550" s="21" t="n">
        <f aca="false">IF(A550="","",IFERROR(VLOOKUP(A550,'Recert Status'!$A$8:$C$400,3,FALSE()),""))</f>
        <v>46387</v>
      </c>
      <c r="D550" s="31" t="s">
        <v>989</v>
      </c>
      <c r="E550" s="30" t="n">
        <v>29784</v>
      </c>
      <c r="F550" s="32" t="n">
        <v>1</v>
      </c>
      <c r="G550" s="33" t="n">
        <v>45929</v>
      </c>
      <c r="H550" s="33" t="n">
        <v>45929</v>
      </c>
      <c r="I550" s="31" t="s">
        <v>990</v>
      </c>
      <c r="J550" s="30" t="s">
        <v>435</v>
      </c>
      <c r="K550" s="31" t="s">
        <v>468</v>
      </c>
      <c r="L550" s="32" t="n">
        <v>1</v>
      </c>
      <c r="M550" s="35" t="s">
        <v>386</v>
      </c>
      <c r="N550" s="31" t="s">
        <v>387</v>
      </c>
      <c r="O550" s="32" t="n">
        <v>1</v>
      </c>
      <c r="P550" s="15" t="n">
        <f aca="false">IF(A550="","",IF(O550&lt;&gt;"",O550,IF(L550&lt;&gt;"",L550,F550)))</f>
        <v>1</v>
      </c>
    </row>
    <row r="551" customFormat="false" ht="15" hidden="false" customHeight="true" outlineLevel="0" collapsed="false">
      <c r="A551" s="26" t="s">
        <v>70</v>
      </c>
      <c r="B551" s="26" t="s">
        <v>71</v>
      </c>
      <c r="C551" s="14" t="n">
        <f aca="false">IF(A551="","",IFERROR(VLOOKUP(A551,'Recert Status'!$A$8:$C$400,3,FALSE()),""))</f>
        <v>46387</v>
      </c>
      <c r="D551" s="18" t="s">
        <v>388</v>
      </c>
      <c r="E551" s="26" t="s">
        <v>389</v>
      </c>
      <c r="F551" s="27" t="n">
        <v>3</v>
      </c>
      <c r="G551" s="28" t="n">
        <v>46083</v>
      </c>
      <c r="H551" s="28" t="n">
        <v>46083</v>
      </c>
      <c r="I551" s="18" t="s">
        <v>685</v>
      </c>
      <c r="J551" s="26" t="s">
        <v>389</v>
      </c>
      <c r="K551" s="18" t="s">
        <v>686</v>
      </c>
      <c r="L551" s="27" t="n">
        <v>3</v>
      </c>
      <c r="M551" s="35" t="s">
        <v>386</v>
      </c>
      <c r="N551" s="18" t="s">
        <v>387</v>
      </c>
      <c r="O551" s="27" t="n">
        <v>3</v>
      </c>
      <c r="P551" s="15" t="n">
        <f aca="false">IF(A551="","",IF(O551&lt;&gt;"",O551,IF(L551&lt;&gt;"",L551,F551)))</f>
        <v>3</v>
      </c>
    </row>
    <row r="552" customFormat="false" ht="15" hidden="false" customHeight="true" outlineLevel="0" collapsed="false">
      <c r="A552" s="30" t="s">
        <v>70</v>
      </c>
      <c r="B552" s="30" t="s">
        <v>71</v>
      </c>
      <c r="C552" s="21" t="n">
        <f aca="false">IF(A552="","",IFERROR(VLOOKUP(A552,'Recert Status'!$A$8:$C$400,3,FALSE()),""))</f>
        <v>46387</v>
      </c>
      <c r="D552" s="31" t="s">
        <v>387</v>
      </c>
      <c r="E552" s="30" t="s">
        <v>389</v>
      </c>
      <c r="F552" s="32" t="n">
        <v>1</v>
      </c>
      <c r="G552" s="33" t="n">
        <v>46230</v>
      </c>
      <c r="H552" s="33" t="n">
        <v>46230</v>
      </c>
      <c r="I552" s="31" t="s">
        <v>991</v>
      </c>
      <c r="J552" s="30" t="s">
        <v>389</v>
      </c>
      <c r="K552" s="31" t="s">
        <v>451</v>
      </c>
      <c r="L552" s="32" t="n">
        <v>1</v>
      </c>
      <c r="M552" s="35" t="s">
        <v>386</v>
      </c>
      <c r="N552" s="31" t="s">
        <v>387</v>
      </c>
      <c r="O552" s="32" t="n">
        <v>1</v>
      </c>
      <c r="P552" s="15" t="n">
        <f aca="false">IF(A552="","",IF(O552&lt;&gt;"",O552,IF(L552&lt;&gt;"",L552,F552)))</f>
        <v>1</v>
      </c>
    </row>
    <row r="553" customFormat="false" ht="15" hidden="false" customHeight="true" outlineLevel="0" collapsed="false">
      <c r="A553" s="26" t="s">
        <v>70</v>
      </c>
      <c r="B553" s="26" t="s">
        <v>71</v>
      </c>
      <c r="C553" s="14" t="n">
        <f aca="false">IF(A553="","",IFERROR(VLOOKUP(A553,'Recert Status'!$A$8:$C$400,3,FALSE()),""))</f>
        <v>46387</v>
      </c>
      <c r="D553" s="18" t="s">
        <v>397</v>
      </c>
      <c r="E553" s="26" t="s">
        <v>452</v>
      </c>
      <c r="F553" s="27" t="n">
        <v>1</v>
      </c>
      <c r="G553" s="28" t="n">
        <v>46245</v>
      </c>
      <c r="H553" s="28" t="n">
        <v>46245</v>
      </c>
      <c r="I553" s="18" t="s">
        <v>605</v>
      </c>
      <c r="J553" s="26" t="s">
        <v>452</v>
      </c>
      <c r="K553" s="18" t="s">
        <v>385</v>
      </c>
      <c r="L553" s="27" t="n">
        <v>1</v>
      </c>
      <c r="M553" s="36" t="s">
        <v>396</v>
      </c>
      <c r="N553" s="18" t="s">
        <v>397</v>
      </c>
      <c r="O553" s="27" t="n">
        <v>1</v>
      </c>
      <c r="P553" s="15" t="n">
        <f aca="false">IF(A553="","",IF(O553&lt;&gt;"",O553,IF(L553&lt;&gt;"",L553,F553)))</f>
        <v>1</v>
      </c>
    </row>
    <row r="554" customFormat="false" ht="15" hidden="false" customHeight="true" outlineLevel="0" collapsed="false">
      <c r="A554" s="30" t="s">
        <v>70</v>
      </c>
      <c r="B554" s="30" t="s">
        <v>71</v>
      </c>
      <c r="C554" s="21" t="n">
        <f aca="false">IF(A554="","",IFERROR(VLOOKUP(A554,'Recert Status'!$A$8:$C$400,3,FALSE()),""))</f>
        <v>46387</v>
      </c>
      <c r="D554" s="31" t="s">
        <v>992</v>
      </c>
      <c r="E554" s="30" t="s">
        <v>416</v>
      </c>
      <c r="F554" s="32" t="n">
        <v>1</v>
      </c>
      <c r="G554" s="33" t="n">
        <v>45825</v>
      </c>
      <c r="H554" s="33" t="n">
        <v>45825</v>
      </c>
      <c r="I554" s="31" t="s">
        <v>993</v>
      </c>
      <c r="J554" s="30" t="s">
        <v>416</v>
      </c>
      <c r="K554" s="31" t="s">
        <v>418</v>
      </c>
      <c r="L554" s="32" t="n">
        <v>1</v>
      </c>
      <c r="M554" s="39" t="s">
        <v>413</v>
      </c>
      <c r="N554" s="31" t="s">
        <v>414</v>
      </c>
      <c r="O554" s="32" t="n">
        <v>1</v>
      </c>
      <c r="P554" s="15" t="n">
        <f aca="false">IF(A554="","",IF(O554&lt;&gt;"",O554,IF(L554&lt;&gt;"",L554,F554)))</f>
        <v>1</v>
      </c>
    </row>
    <row r="555" customFormat="false" ht="15" hidden="false" customHeight="true" outlineLevel="0" collapsed="false">
      <c r="A555" s="26" t="s">
        <v>70</v>
      </c>
      <c r="B555" s="26" t="s">
        <v>71</v>
      </c>
      <c r="C555" s="14" t="n">
        <f aca="false">IF(A555="","",IFERROR(VLOOKUP(A555,'Recert Status'!$A$8:$C$400,3,FALSE()),""))</f>
        <v>46387</v>
      </c>
      <c r="D555" s="18" t="s">
        <v>670</v>
      </c>
      <c r="E555" s="26" t="s">
        <v>416</v>
      </c>
      <c r="F555" s="27" t="n">
        <v>2</v>
      </c>
      <c r="G555" s="28" t="n">
        <v>45861</v>
      </c>
      <c r="H555" s="28" t="n">
        <v>45861</v>
      </c>
      <c r="I555" s="18" t="s">
        <v>671</v>
      </c>
      <c r="J555" s="26" t="s">
        <v>416</v>
      </c>
      <c r="K555" s="18" t="s">
        <v>418</v>
      </c>
      <c r="L555" s="27" t="n">
        <v>2</v>
      </c>
      <c r="M555" s="39" t="s">
        <v>413</v>
      </c>
      <c r="N555" s="18" t="s">
        <v>514</v>
      </c>
      <c r="O555" s="27" t="n">
        <v>2</v>
      </c>
      <c r="P555" s="15" t="n">
        <f aca="false">IF(A555="","",IF(O555&lt;&gt;"",O555,IF(L555&lt;&gt;"",L555,F555)))</f>
        <v>2</v>
      </c>
    </row>
    <row r="556" customFormat="false" ht="15" hidden="false" customHeight="true" outlineLevel="0" collapsed="false">
      <c r="A556" s="30" t="s">
        <v>70</v>
      </c>
      <c r="B556" s="30" t="s">
        <v>71</v>
      </c>
      <c r="C556" s="21" t="n">
        <f aca="false">IF(A556="","",IFERROR(VLOOKUP(A556,'Recert Status'!$A$8:$C$400,3,FALSE()),""))</f>
        <v>46387</v>
      </c>
      <c r="D556" s="31" t="s">
        <v>672</v>
      </c>
      <c r="E556" s="30" t="s">
        <v>416</v>
      </c>
      <c r="F556" s="32" t="n">
        <v>1</v>
      </c>
      <c r="G556" s="33" t="n">
        <v>45933</v>
      </c>
      <c r="H556" s="33" t="n">
        <v>45933</v>
      </c>
      <c r="I556" s="31" t="s">
        <v>673</v>
      </c>
      <c r="J556" s="30" t="s">
        <v>416</v>
      </c>
      <c r="K556" s="31" t="s">
        <v>674</v>
      </c>
      <c r="L556" s="32" t="n">
        <v>1</v>
      </c>
      <c r="M556" s="39" t="s">
        <v>413</v>
      </c>
      <c r="N556" s="31" t="s">
        <v>414</v>
      </c>
      <c r="O556" s="32" t="n">
        <v>1</v>
      </c>
      <c r="P556" s="15" t="n">
        <f aca="false">IF(A556="","",IF(O556&lt;&gt;"",O556,IF(L556&lt;&gt;"",L556,F556)))</f>
        <v>1</v>
      </c>
    </row>
    <row r="557" customFormat="false" ht="15" hidden="false" customHeight="true" outlineLevel="0" collapsed="false">
      <c r="A557" s="26" t="s">
        <v>70</v>
      </c>
      <c r="B557" s="26" t="s">
        <v>71</v>
      </c>
      <c r="C557" s="14" t="n">
        <f aca="false">IF(A557="","",IFERROR(VLOOKUP(A557,'Recert Status'!$A$8:$C$400,3,FALSE()),""))</f>
        <v>46387</v>
      </c>
      <c r="D557" s="18" t="s">
        <v>488</v>
      </c>
      <c r="E557" s="26" t="s">
        <v>416</v>
      </c>
      <c r="F557" s="27" t="n">
        <v>1</v>
      </c>
      <c r="G557" s="28" t="n">
        <v>46125</v>
      </c>
      <c r="H557" s="28" t="n">
        <v>46125</v>
      </c>
      <c r="I557" s="18" t="s">
        <v>608</v>
      </c>
      <c r="J557" s="26" t="s">
        <v>416</v>
      </c>
      <c r="K557" s="18" t="s">
        <v>490</v>
      </c>
      <c r="L557" s="27" t="n">
        <v>1</v>
      </c>
      <c r="M557" s="39" t="s">
        <v>413</v>
      </c>
      <c r="N557" s="18" t="s">
        <v>414</v>
      </c>
      <c r="O557" s="27" t="n">
        <v>1</v>
      </c>
      <c r="P557" s="15" t="n">
        <f aca="false">IF(A557="","",IF(O557&lt;&gt;"",O557,IF(L557&lt;&gt;"",L557,F557)))</f>
        <v>1</v>
      </c>
    </row>
    <row r="558" customFormat="false" ht="15" hidden="false" customHeight="true" outlineLevel="0" collapsed="false">
      <c r="A558" s="30" t="s">
        <v>70</v>
      </c>
      <c r="B558" s="30" t="s">
        <v>71</v>
      </c>
      <c r="C558" s="21" t="n">
        <f aca="false">IF(A558="","",IFERROR(VLOOKUP(A558,'Recert Status'!$A$8:$C$400,3,FALSE()),""))</f>
        <v>46387</v>
      </c>
      <c r="D558" s="31" t="s">
        <v>414</v>
      </c>
      <c r="E558" s="30" t="s">
        <v>416</v>
      </c>
      <c r="F558" s="32" t="n">
        <v>2</v>
      </c>
      <c r="G558" s="33" t="n">
        <v>46218</v>
      </c>
      <c r="H558" s="33" t="n">
        <v>46218</v>
      </c>
      <c r="I558" s="31" t="s">
        <v>535</v>
      </c>
      <c r="J558" s="30" t="s">
        <v>416</v>
      </c>
      <c r="K558" s="31" t="s">
        <v>418</v>
      </c>
      <c r="L558" s="32" t="n">
        <v>2</v>
      </c>
      <c r="M558" s="39" t="s">
        <v>413</v>
      </c>
      <c r="N558" s="31" t="s">
        <v>414</v>
      </c>
      <c r="O558" s="32" t="n">
        <v>2</v>
      </c>
      <c r="P558" s="15" t="n">
        <f aca="false">IF(A558="","",IF(O558&lt;&gt;"",O558,IF(L558&lt;&gt;"",L558,F558)))</f>
        <v>2</v>
      </c>
    </row>
    <row r="559" customFormat="false" ht="15" hidden="false" customHeight="true" outlineLevel="0" collapsed="false">
      <c r="A559" s="26" t="s">
        <v>72</v>
      </c>
      <c r="B559" s="26" t="s">
        <v>73</v>
      </c>
      <c r="C559" s="14" t="n">
        <f aca="false">IF(A559="","",IFERROR(VLOOKUP(A559,'Recert Status'!$A$8:$C$400,3,FALSE()),""))</f>
        <v>46752</v>
      </c>
      <c r="D559" s="18" t="s">
        <v>908</v>
      </c>
      <c r="E559" s="26" t="s">
        <v>363</v>
      </c>
      <c r="F559" s="27" t="n">
        <v>1.5</v>
      </c>
      <c r="G559" s="28" t="n">
        <v>45867</v>
      </c>
      <c r="H559" s="28" t="n">
        <v>45867</v>
      </c>
      <c r="I559" s="18" t="s">
        <v>909</v>
      </c>
      <c r="J559" s="26" t="s">
        <v>363</v>
      </c>
      <c r="K559" s="18" t="s">
        <v>370</v>
      </c>
      <c r="L559" s="27" t="n">
        <v>1.5</v>
      </c>
      <c r="M559" s="29" t="s">
        <v>366</v>
      </c>
      <c r="N559" s="18" t="s">
        <v>367</v>
      </c>
      <c r="O559" s="27" t="n">
        <v>1.5</v>
      </c>
      <c r="P559" s="15" t="n">
        <f aca="false">IF(A559="","",IF(O559&lt;&gt;"",O559,IF(L559&lt;&gt;"",L559,F559)))</f>
        <v>1.5</v>
      </c>
    </row>
    <row r="560" customFormat="false" ht="15" hidden="false" customHeight="true" outlineLevel="0" collapsed="false">
      <c r="A560" s="30" t="s">
        <v>72</v>
      </c>
      <c r="B560" s="30" t="s">
        <v>73</v>
      </c>
      <c r="C560" s="21" t="n">
        <f aca="false">IF(A560="","",IFERROR(VLOOKUP(A560,'Recert Status'!$A$8:$C$400,3,FALSE()),""))</f>
        <v>46752</v>
      </c>
      <c r="D560" s="31" t="s">
        <v>994</v>
      </c>
      <c r="E560" s="30" t="s">
        <v>372</v>
      </c>
      <c r="F560" s="32" t="n">
        <v>1</v>
      </c>
      <c r="G560" s="33" t="n">
        <v>45750</v>
      </c>
      <c r="H560" s="33" t="n">
        <v>45750</v>
      </c>
      <c r="I560" s="31" t="s">
        <v>995</v>
      </c>
      <c r="J560" s="30" t="s">
        <v>372</v>
      </c>
      <c r="K560" s="31" t="s">
        <v>374</v>
      </c>
      <c r="L560" s="32" t="n">
        <v>1</v>
      </c>
      <c r="M560" s="34" t="s">
        <v>375</v>
      </c>
      <c r="N560" s="31" t="s">
        <v>376</v>
      </c>
      <c r="O560" s="32" t="n">
        <v>1</v>
      </c>
      <c r="P560" s="15" t="n">
        <f aca="false">IF(A560="","",IF(O560&lt;&gt;"",O560,IF(L560&lt;&gt;"",L560,F560)))</f>
        <v>1</v>
      </c>
    </row>
    <row r="561" customFormat="false" ht="15" hidden="false" customHeight="true" outlineLevel="0" collapsed="false">
      <c r="A561" s="26" t="s">
        <v>72</v>
      </c>
      <c r="B561" s="26" t="s">
        <v>73</v>
      </c>
      <c r="C561" s="14" t="n">
        <f aca="false">IF(A561="","",IFERROR(VLOOKUP(A561,'Recert Status'!$A$8:$C$400,3,FALSE()),""))</f>
        <v>46752</v>
      </c>
      <c r="D561" s="18" t="s">
        <v>908</v>
      </c>
      <c r="E561" s="26" t="n">
        <v>29668</v>
      </c>
      <c r="F561" s="27" t="n">
        <v>1</v>
      </c>
      <c r="G561" s="28" t="n">
        <v>45867</v>
      </c>
      <c r="H561" s="28" t="n">
        <v>45867</v>
      </c>
      <c r="I561" s="18" t="s">
        <v>912</v>
      </c>
      <c r="J561" s="26" t="s">
        <v>511</v>
      </c>
      <c r="K561" s="18" t="s">
        <v>509</v>
      </c>
      <c r="L561" s="27" t="n">
        <v>1</v>
      </c>
      <c r="M561" s="35" t="s">
        <v>386</v>
      </c>
      <c r="N561" s="18" t="s">
        <v>387</v>
      </c>
      <c r="O561" s="27" t="n">
        <v>1</v>
      </c>
      <c r="P561" s="15" t="n">
        <f aca="false">IF(A561="","",IF(O561&lt;&gt;"",O561,IF(L561&lt;&gt;"",L561,F561)))</f>
        <v>1</v>
      </c>
    </row>
    <row r="562" customFormat="false" ht="15" hidden="false" customHeight="true" outlineLevel="0" collapsed="false">
      <c r="A562" s="30" t="s">
        <v>72</v>
      </c>
      <c r="B562" s="30" t="s">
        <v>73</v>
      </c>
      <c r="C562" s="21" t="n">
        <f aca="false">IF(A562="","",IFERROR(VLOOKUP(A562,'Recert Status'!$A$8:$C$400,3,FALSE()),""))</f>
        <v>46752</v>
      </c>
      <c r="D562" s="31" t="s">
        <v>996</v>
      </c>
      <c r="E562" s="30" t="n">
        <v>57435</v>
      </c>
      <c r="F562" s="32" t="n">
        <v>1</v>
      </c>
      <c r="G562" s="33" t="n">
        <v>45948</v>
      </c>
      <c r="H562" s="33" t="n">
        <v>45948</v>
      </c>
      <c r="I562" s="31" t="s">
        <v>997</v>
      </c>
      <c r="J562" s="30" t="s">
        <v>593</v>
      </c>
      <c r="K562" s="31" t="s">
        <v>436</v>
      </c>
      <c r="L562" s="32" t="n">
        <v>1</v>
      </c>
      <c r="M562" s="35" t="s">
        <v>386</v>
      </c>
      <c r="N562" s="31" t="s">
        <v>387</v>
      </c>
      <c r="O562" s="32" t="n">
        <v>1</v>
      </c>
      <c r="P562" s="15" t="n">
        <f aca="false">IF(A562="","",IF(O562&lt;&gt;"",O562,IF(L562&lt;&gt;"",L562,F562)))</f>
        <v>1</v>
      </c>
    </row>
    <row r="563" customFormat="false" ht="15" hidden="false" customHeight="true" outlineLevel="0" collapsed="false">
      <c r="A563" s="26" t="s">
        <v>72</v>
      </c>
      <c r="B563" s="26" t="s">
        <v>73</v>
      </c>
      <c r="C563" s="14" t="n">
        <f aca="false">IF(A563="","",IFERROR(VLOOKUP(A563,'Recert Status'!$A$8:$C$400,3,FALSE()),""))</f>
        <v>46752</v>
      </c>
      <c r="D563" s="18" t="s">
        <v>804</v>
      </c>
      <c r="E563" s="26" t="s">
        <v>389</v>
      </c>
      <c r="F563" s="27" t="n">
        <v>1</v>
      </c>
      <c r="G563" s="28" t="n">
        <v>46039</v>
      </c>
      <c r="H563" s="28" t="n">
        <v>46039</v>
      </c>
      <c r="I563" s="18" t="s">
        <v>805</v>
      </c>
      <c r="J563" s="26" t="s">
        <v>389</v>
      </c>
      <c r="K563" s="18" t="s">
        <v>451</v>
      </c>
      <c r="L563" s="27" t="n">
        <v>1</v>
      </c>
      <c r="M563" s="35" t="s">
        <v>386</v>
      </c>
      <c r="N563" s="18" t="s">
        <v>387</v>
      </c>
      <c r="O563" s="27" t="n">
        <v>1</v>
      </c>
      <c r="P563" s="15" t="n">
        <f aca="false">IF(A563="","",IF(O563&lt;&gt;"",O563,IF(L563&lt;&gt;"",L563,F563)))</f>
        <v>1</v>
      </c>
    </row>
    <row r="564" customFormat="false" ht="15" hidden="false" customHeight="true" outlineLevel="0" collapsed="false">
      <c r="A564" s="30" t="s">
        <v>72</v>
      </c>
      <c r="B564" s="30" t="s">
        <v>73</v>
      </c>
      <c r="C564" s="21" t="n">
        <f aca="false">IF(A564="","",IFERROR(VLOOKUP(A564,'Recert Status'!$A$8:$C$400,3,FALSE()),""))</f>
        <v>46752</v>
      </c>
      <c r="D564" s="31" t="s">
        <v>474</v>
      </c>
      <c r="E564" s="30" t="s">
        <v>389</v>
      </c>
      <c r="F564" s="32" t="n">
        <v>1</v>
      </c>
      <c r="G564" s="33" t="n">
        <v>46204</v>
      </c>
      <c r="H564" s="33" t="n">
        <v>46204</v>
      </c>
      <c r="I564" s="31" t="s">
        <v>475</v>
      </c>
      <c r="J564" s="30" t="s">
        <v>389</v>
      </c>
      <c r="K564" s="31" t="s">
        <v>476</v>
      </c>
      <c r="L564" s="32" t="n">
        <v>1</v>
      </c>
      <c r="M564" s="35" t="s">
        <v>386</v>
      </c>
      <c r="N564" s="31" t="s">
        <v>387</v>
      </c>
      <c r="O564" s="32" t="n">
        <v>1</v>
      </c>
      <c r="P564" s="15" t="n">
        <f aca="false">IF(A564="","",IF(O564&lt;&gt;"",O564,IF(L564&lt;&gt;"",L564,F564)))</f>
        <v>1</v>
      </c>
    </row>
    <row r="565" customFormat="false" ht="15" hidden="false" customHeight="true" outlineLevel="0" collapsed="false">
      <c r="A565" s="26" t="s">
        <v>72</v>
      </c>
      <c r="B565" s="26" t="s">
        <v>73</v>
      </c>
      <c r="C565" s="14" t="n">
        <f aca="false">IF(A565="","",IFERROR(VLOOKUP(A565,'Recert Status'!$A$8:$C$400,3,FALSE()),""))</f>
        <v>46752</v>
      </c>
      <c r="D565" s="18" t="s">
        <v>387</v>
      </c>
      <c r="E565" s="26" t="s">
        <v>389</v>
      </c>
      <c r="F565" s="27" t="n">
        <v>1</v>
      </c>
      <c r="G565" s="28" t="n">
        <v>46231</v>
      </c>
      <c r="H565" s="28" t="n">
        <v>46231</v>
      </c>
      <c r="I565" s="18" t="s">
        <v>998</v>
      </c>
      <c r="J565" s="26" t="s">
        <v>389</v>
      </c>
      <c r="K565" s="18" t="s">
        <v>451</v>
      </c>
      <c r="L565" s="27" t="n">
        <v>1</v>
      </c>
      <c r="M565" s="35" t="s">
        <v>386</v>
      </c>
      <c r="N565" s="18" t="s">
        <v>387</v>
      </c>
      <c r="O565" s="27" t="n">
        <v>1</v>
      </c>
      <c r="P565" s="15" t="n">
        <f aca="false">IF(A565="","",IF(O565&lt;&gt;"",O565,IF(L565&lt;&gt;"",L565,F565)))</f>
        <v>1</v>
      </c>
    </row>
    <row r="566" customFormat="false" ht="15" hidden="false" customHeight="true" outlineLevel="0" collapsed="false">
      <c r="A566" s="30" t="s">
        <v>72</v>
      </c>
      <c r="B566" s="30" t="s">
        <v>73</v>
      </c>
      <c r="C566" s="21" t="n">
        <f aca="false">IF(A566="","",IFERROR(VLOOKUP(A566,'Recert Status'!$A$8:$C$400,3,FALSE()),""))</f>
        <v>46752</v>
      </c>
      <c r="D566" s="31" t="s">
        <v>806</v>
      </c>
      <c r="E566" s="30" t="s">
        <v>452</v>
      </c>
      <c r="F566" s="32" t="n">
        <v>1</v>
      </c>
      <c r="G566" s="33" t="n">
        <v>46039</v>
      </c>
      <c r="H566" s="33" t="n">
        <v>46039</v>
      </c>
      <c r="I566" s="31" t="s">
        <v>807</v>
      </c>
      <c r="J566" s="30" t="s">
        <v>452</v>
      </c>
      <c r="K566" s="31" t="s">
        <v>808</v>
      </c>
      <c r="L566" s="32" t="n">
        <v>1</v>
      </c>
      <c r="M566" s="36" t="s">
        <v>396</v>
      </c>
      <c r="N566" s="31" t="s">
        <v>397</v>
      </c>
      <c r="O566" s="32" t="n">
        <v>1</v>
      </c>
      <c r="P566" s="15" t="n">
        <f aca="false">IF(A566="","",IF(O566&lt;&gt;"",O566,IF(L566&lt;&gt;"",L566,F566)))</f>
        <v>1</v>
      </c>
    </row>
    <row r="567" customFormat="false" ht="15" hidden="false" customHeight="true" outlineLevel="0" collapsed="false">
      <c r="A567" s="26" t="s">
        <v>72</v>
      </c>
      <c r="B567" s="26" t="s">
        <v>73</v>
      </c>
      <c r="C567" s="14" t="n">
        <f aca="false">IF(A567="","",IFERROR(VLOOKUP(A567,'Recert Status'!$A$8:$C$400,3,FALSE()),""))</f>
        <v>46752</v>
      </c>
      <c r="D567" s="18" t="s">
        <v>397</v>
      </c>
      <c r="E567" s="26" t="s">
        <v>452</v>
      </c>
      <c r="F567" s="27" t="n">
        <v>1</v>
      </c>
      <c r="G567" s="28" t="n">
        <v>46246</v>
      </c>
      <c r="H567" s="28" t="n">
        <v>46246</v>
      </c>
      <c r="I567" s="18" t="s">
        <v>478</v>
      </c>
      <c r="J567" s="26" t="s">
        <v>452</v>
      </c>
      <c r="K567" s="18" t="s">
        <v>385</v>
      </c>
      <c r="L567" s="27" t="n">
        <v>1</v>
      </c>
      <c r="M567" s="36" t="s">
        <v>396</v>
      </c>
      <c r="N567" s="18" t="s">
        <v>397</v>
      </c>
      <c r="O567" s="27" t="n">
        <v>1</v>
      </c>
      <c r="P567" s="15" t="n">
        <f aca="false">IF(A567="","",IF(O567&lt;&gt;"",O567,IF(L567&lt;&gt;"",L567,F567)))</f>
        <v>1</v>
      </c>
    </row>
    <row r="568" customFormat="false" ht="15" hidden="false" customHeight="true" outlineLevel="0" collapsed="false">
      <c r="A568" s="30" t="s">
        <v>72</v>
      </c>
      <c r="B568" s="30" t="s">
        <v>73</v>
      </c>
      <c r="C568" s="21" t="n">
        <f aca="false">IF(A568="","",IFERROR(VLOOKUP(A568,'Recert Status'!$A$8:$C$400,3,FALSE()),""))</f>
        <v>46752</v>
      </c>
      <c r="D568" s="31" t="s">
        <v>415</v>
      </c>
      <c r="E568" s="30" t="s">
        <v>416</v>
      </c>
      <c r="F568" s="32" t="n">
        <v>1</v>
      </c>
      <c r="G568" s="33" t="n">
        <v>45825</v>
      </c>
      <c r="H568" s="33" t="n">
        <v>45825</v>
      </c>
      <c r="I568" s="31" t="s">
        <v>920</v>
      </c>
      <c r="J568" s="30" t="s">
        <v>416</v>
      </c>
      <c r="K568" s="31" t="s">
        <v>418</v>
      </c>
      <c r="L568" s="32" t="n">
        <v>1</v>
      </c>
      <c r="M568" s="39" t="s">
        <v>413</v>
      </c>
      <c r="N568" s="31" t="s">
        <v>414</v>
      </c>
      <c r="O568" s="32" t="n">
        <v>1</v>
      </c>
      <c r="P568" s="15" t="n">
        <f aca="false">IF(A568="","",IF(O568&lt;&gt;"",O568,IF(L568&lt;&gt;"",L568,F568)))</f>
        <v>1</v>
      </c>
    </row>
    <row r="569" customFormat="false" ht="15" hidden="false" customHeight="true" outlineLevel="0" collapsed="false">
      <c r="A569" s="26" t="s">
        <v>72</v>
      </c>
      <c r="B569" s="26" t="s">
        <v>73</v>
      </c>
      <c r="C569" s="14" t="n">
        <f aca="false">IF(A569="","",IFERROR(VLOOKUP(A569,'Recert Status'!$A$8:$C$400,3,FALSE()),""))</f>
        <v>46752</v>
      </c>
      <c r="D569" s="18" t="s">
        <v>457</v>
      </c>
      <c r="E569" s="26" t="s">
        <v>416</v>
      </c>
      <c r="F569" s="27" t="n">
        <v>2</v>
      </c>
      <c r="G569" s="28" t="n">
        <v>45861</v>
      </c>
      <c r="H569" s="28" t="n">
        <v>45861</v>
      </c>
      <c r="I569" s="18" t="s">
        <v>921</v>
      </c>
      <c r="J569" s="26" t="s">
        <v>416</v>
      </c>
      <c r="K569" s="18" t="s">
        <v>418</v>
      </c>
      <c r="L569" s="27" t="n">
        <v>2</v>
      </c>
      <c r="M569" s="39" t="s">
        <v>413</v>
      </c>
      <c r="N569" s="18" t="s">
        <v>414</v>
      </c>
      <c r="O569" s="27" t="n">
        <v>2</v>
      </c>
      <c r="P569" s="15" t="n">
        <f aca="false">IF(A569="","",IF(O569&lt;&gt;"",O569,IF(L569&lt;&gt;"",L569,F569)))</f>
        <v>2</v>
      </c>
    </row>
    <row r="570" customFormat="false" ht="15" hidden="false" customHeight="true" outlineLevel="0" collapsed="false">
      <c r="A570" s="30" t="s">
        <v>72</v>
      </c>
      <c r="B570" s="30" t="s">
        <v>73</v>
      </c>
      <c r="C570" s="21" t="n">
        <f aca="false">IF(A570="","",IFERROR(VLOOKUP(A570,'Recert Status'!$A$8:$C$400,3,FALSE()),""))</f>
        <v>46752</v>
      </c>
      <c r="D570" s="31" t="s">
        <v>414</v>
      </c>
      <c r="E570" s="30" t="s">
        <v>416</v>
      </c>
      <c r="F570" s="32" t="n">
        <v>2</v>
      </c>
      <c r="G570" s="33" t="n">
        <v>46217</v>
      </c>
      <c r="H570" s="33" t="n">
        <v>46217</v>
      </c>
      <c r="I570" s="31" t="s">
        <v>460</v>
      </c>
      <c r="J570" s="30" t="s">
        <v>416</v>
      </c>
      <c r="K570" s="31" t="s">
        <v>418</v>
      </c>
      <c r="L570" s="32" t="n">
        <v>2</v>
      </c>
      <c r="M570" s="39" t="s">
        <v>413</v>
      </c>
      <c r="N570" s="31" t="s">
        <v>414</v>
      </c>
      <c r="O570" s="32" t="n">
        <v>2</v>
      </c>
      <c r="P570" s="15" t="n">
        <f aca="false">IF(A570="","",IF(O570&lt;&gt;"",O570,IF(L570&lt;&gt;"",L570,F570)))</f>
        <v>2</v>
      </c>
    </row>
    <row r="571" customFormat="false" ht="15" hidden="false" customHeight="true" outlineLevel="0" collapsed="false">
      <c r="A571" s="26" t="s">
        <v>72</v>
      </c>
      <c r="B571" s="26" t="s">
        <v>73</v>
      </c>
      <c r="C571" s="14" t="n">
        <f aca="false">IF(A571="","",IFERROR(VLOOKUP(A571,'Recert Status'!$A$8:$C$400,3,FALSE()),""))</f>
        <v>46752</v>
      </c>
      <c r="D571" s="18" t="s">
        <v>414</v>
      </c>
      <c r="E571" s="26" t="s">
        <v>416</v>
      </c>
      <c r="F571" s="27" t="n">
        <v>2</v>
      </c>
      <c r="G571" s="28" t="n">
        <v>46219</v>
      </c>
      <c r="H571" s="28" t="n">
        <v>46219</v>
      </c>
      <c r="I571" s="18" t="s">
        <v>567</v>
      </c>
      <c r="J571" s="26" t="s">
        <v>416</v>
      </c>
      <c r="K571" s="18" t="s">
        <v>418</v>
      </c>
      <c r="L571" s="27" t="n">
        <v>2</v>
      </c>
      <c r="M571" s="39" t="s">
        <v>413</v>
      </c>
      <c r="N571" s="18" t="s">
        <v>414</v>
      </c>
      <c r="O571" s="27" t="n">
        <v>2</v>
      </c>
      <c r="P571" s="15" t="n">
        <f aca="false">IF(A571="","",IF(O571&lt;&gt;"",O571,IF(L571&lt;&gt;"",L571,F571)))</f>
        <v>2</v>
      </c>
    </row>
    <row r="572" customFormat="false" ht="15" hidden="false" customHeight="true" outlineLevel="0" collapsed="false">
      <c r="A572" s="30" t="s">
        <v>72</v>
      </c>
      <c r="B572" s="30" t="s">
        <v>73</v>
      </c>
      <c r="C572" s="21" t="n">
        <f aca="false">IF(A572="","",IFERROR(VLOOKUP(A572,'Recert Status'!$A$8:$C$400,3,FALSE()),""))</f>
        <v>46752</v>
      </c>
      <c r="D572" s="31" t="s">
        <v>414</v>
      </c>
      <c r="E572" s="30" t="s">
        <v>416</v>
      </c>
      <c r="F572" s="32" t="n">
        <v>1.5</v>
      </c>
      <c r="G572" s="33" t="n">
        <v>46241</v>
      </c>
      <c r="H572" s="33" t="n">
        <v>46241</v>
      </c>
      <c r="I572" s="31" t="s">
        <v>536</v>
      </c>
      <c r="J572" s="30" t="s">
        <v>416</v>
      </c>
      <c r="K572" s="31" t="s">
        <v>418</v>
      </c>
      <c r="L572" s="32" t="n">
        <v>1.5</v>
      </c>
      <c r="M572" s="39" t="s">
        <v>413</v>
      </c>
      <c r="N572" s="31" t="s">
        <v>414</v>
      </c>
      <c r="O572" s="32" t="n">
        <v>1.5</v>
      </c>
      <c r="P572" s="15" t="n">
        <f aca="false">IF(A572="","",IF(O572&lt;&gt;"",O572,IF(L572&lt;&gt;"",L572,F572)))</f>
        <v>1.5</v>
      </c>
    </row>
    <row r="573" customFormat="false" ht="15" hidden="false" customHeight="true" outlineLevel="0" collapsed="false">
      <c r="A573" s="26" t="s">
        <v>74</v>
      </c>
      <c r="B573" s="26" t="s">
        <v>75</v>
      </c>
      <c r="C573" s="14" t="n">
        <f aca="false">IF(A573="","",IFERROR(VLOOKUP(A573,'Recert Status'!$A$8:$C$400,3,FALSE()),""))</f>
        <v>46387</v>
      </c>
      <c r="D573" s="18" t="s">
        <v>924</v>
      </c>
      <c r="E573" s="26" t="s">
        <v>363</v>
      </c>
      <c r="F573" s="27" t="n">
        <v>0.5</v>
      </c>
      <c r="G573" s="28" t="n">
        <v>45824</v>
      </c>
      <c r="H573" s="28" t="n">
        <v>45824</v>
      </c>
      <c r="I573" s="18" t="s">
        <v>925</v>
      </c>
      <c r="J573" s="26" t="s">
        <v>363</v>
      </c>
      <c r="K573" s="18" t="s">
        <v>365</v>
      </c>
      <c r="L573" s="27" t="n">
        <v>0.5</v>
      </c>
      <c r="M573" s="29" t="s">
        <v>366</v>
      </c>
      <c r="N573" s="18" t="s">
        <v>367</v>
      </c>
      <c r="O573" s="27" t="n">
        <v>0.5</v>
      </c>
      <c r="P573" s="15" t="n">
        <f aca="false">IF(A573="","",IF(O573&lt;&gt;"",O573,IF(L573&lt;&gt;"",L573,F573)))</f>
        <v>0.5</v>
      </c>
    </row>
    <row r="574" customFormat="false" ht="15" hidden="false" customHeight="true" outlineLevel="0" collapsed="false">
      <c r="A574" s="30" t="s">
        <v>74</v>
      </c>
      <c r="B574" s="30" t="s">
        <v>75</v>
      </c>
      <c r="C574" s="21" t="n">
        <f aca="false">IF(A574="","",IFERROR(VLOOKUP(A574,'Recert Status'!$A$8:$C$400,3,FALSE()),""))</f>
        <v>46387</v>
      </c>
      <c r="D574" s="31" t="s">
        <v>419</v>
      </c>
      <c r="E574" s="30" t="n">
        <v>57433</v>
      </c>
      <c r="F574" s="32" t="n">
        <v>1</v>
      </c>
      <c r="G574" s="33" t="n">
        <v>45956</v>
      </c>
      <c r="H574" s="33" t="n">
        <v>45956</v>
      </c>
      <c r="I574" s="31" t="s">
        <v>420</v>
      </c>
      <c r="J574" s="30" t="s">
        <v>421</v>
      </c>
      <c r="K574" s="31" t="s">
        <v>422</v>
      </c>
      <c r="L574" s="32" t="n">
        <v>1</v>
      </c>
      <c r="M574" s="40" t="s">
        <v>423</v>
      </c>
      <c r="N574" s="31" t="s">
        <v>424</v>
      </c>
      <c r="O574" s="32" t="n">
        <v>1</v>
      </c>
      <c r="P574" s="15" t="n">
        <f aca="false">IF(A574="","",IF(O574&lt;&gt;"",O574,IF(L574&lt;&gt;"",L574,F574)))</f>
        <v>1</v>
      </c>
    </row>
    <row r="575" customFormat="false" ht="15" hidden="false" customHeight="true" outlineLevel="0" collapsed="false">
      <c r="A575" s="26" t="s">
        <v>74</v>
      </c>
      <c r="B575" s="26" t="s">
        <v>75</v>
      </c>
      <c r="C575" s="14" t="n">
        <f aca="false">IF(A575="","",IFERROR(VLOOKUP(A575,'Recert Status'!$A$8:$C$400,3,FALSE()),""))</f>
        <v>46387</v>
      </c>
      <c r="D575" s="18" t="s">
        <v>999</v>
      </c>
      <c r="E575" s="26" t="s">
        <v>426</v>
      </c>
      <c r="F575" s="27" t="n">
        <v>1</v>
      </c>
      <c r="G575" s="28" t="n">
        <v>45866</v>
      </c>
      <c r="H575" s="28" t="n">
        <v>45866</v>
      </c>
      <c r="I575" s="18" t="s">
        <v>1000</v>
      </c>
      <c r="J575" s="26" t="s">
        <v>426</v>
      </c>
      <c r="K575" s="18" t="s">
        <v>428</v>
      </c>
      <c r="L575" s="27" t="n">
        <v>1</v>
      </c>
      <c r="M575" s="41" t="s">
        <v>429</v>
      </c>
      <c r="N575" s="18" t="s">
        <v>430</v>
      </c>
      <c r="O575" s="27" t="n">
        <v>1</v>
      </c>
      <c r="P575" s="15" t="n">
        <f aca="false">IF(A575="","",IF(O575&lt;&gt;"",O575,IF(L575&lt;&gt;"",L575,F575)))</f>
        <v>1</v>
      </c>
    </row>
    <row r="576" customFormat="false" ht="15" hidden="false" customHeight="true" outlineLevel="0" collapsed="false">
      <c r="A576" s="30" t="s">
        <v>74</v>
      </c>
      <c r="B576" s="30" t="s">
        <v>75</v>
      </c>
      <c r="C576" s="21" t="n">
        <f aca="false">IF(A576="","",IFERROR(VLOOKUP(A576,'Recert Status'!$A$8:$C$400,3,FALSE()),""))</f>
        <v>46387</v>
      </c>
      <c r="D576" s="31" t="s">
        <v>431</v>
      </c>
      <c r="E576" s="30" t="s">
        <v>426</v>
      </c>
      <c r="F576" s="32" t="n">
        <v>2</v>
      </c>
      <c r="G576" s="33" t="n">
        <v>45971</v>
      </c>
      <c r="H576" s="33" t="n">
        <v>45971</v>
      </c>
      <c r="I576" s="31" t="s">
        <v>432</v>
      </c>
      <c r="J576" s="30" t="s">
        <v>426</v>
      </c>
      <c r="K576" s="31" t="s">
        <v>428</v>
      </c>
      <c r="L576" s="32" t="n">
        <v>2</v>
      </c>
      <c r="M576" s="41" t="s">
        <v>429</v>
      </c>
      <c r="N576" s="31" t="s">
        <v>430</v>
      </c>
      <c r="O576" s="32" t="n">
        <v>2</v>
      </c>
      <c r="P576" s="15" t="n">
        <f aca="false">IF(A576="","",IF(O576&lt;&gt;"",O576,IF(L576&lt;&gt;"",L576,F576)))</f>
        <v>2</v>
      </c>
    </row>
    <row r="577" customFormat="false" ht="15" hidden="false" customHeight="true" outlineLevel="0" collapsed="false">
      <c r="A577" s="26" t="s">
        <v>74</v>
      </c>
      <c r="B577" s="26" t="s">
        <v>75</v>
      </c>
      <c r="C577" s="14" t="n">
        <f aca="false">IF(A577="","",IFERROR(VLOOKUP(A577,'Recert Status'!$A$8:$C$400,3,FALSE()),""))</f>
        <v>46387</v>
      </c>
      <c r="D577" s="18" t="s">
        <v>927</v>
      </c>
      <c r="E577" s="26" t="s">
        <v>426</v>
      </c>
      <c r="F577" s="27" t="n">
        <v>2</v>
      </c>
      <c r="G577" s="28" t="n">
        <v>46196</v>
      </c>
      <c r="H577" s="28" t="n">
        <v>46196</v>
      </c>
      <c r="I577" s="18" t="s">
        <v>928</v>
      </c>
      <c r="J577" s="26" t="s">
        <v>426</v>
      </c>
      <c r="K577" s="18" t="s">
        <v>526</v>
      </c>
      <c r="L577" s="27" t="n">
        <v>2</v>
      </c>
      <c r="M577" s="41" t="s">
        <v>429</v>
      </c>
      <c r="N577" s="18" t="s">
        <v>430</v>
      </c>
      <c r="O577" s="27" t="n">
        <v>2</v>
      </c>
      <c r="P577" s="15" t="n">
        <f aca="false">IF(A577="","",IF(O577&lt;&gt;"",O577,IF(L577&lt;&gt;"",L577,F577)))</f>
        <v>2</v>
      </c>
    </row>
    <row r="578" customFormat="false" ht="15" hidden="false" customHeight="true" outlineLevel="0" collapsed="false">
      <c r="A578" s="30" t="s">
        <v>74</v>
      </c>
      <c r="B578" s="30" t="s">
        <v>75</v>
      </c>
      <c r="C578" s="21" t="n">
        <f aca="false">IF(A578="","",IFERROR(VLOOKUP(A578,'Recert Status'!$A$8:$C$400,3,FALSE()),""))</f>
        <v>46387</v>
      </c>
      <c r="D578" s="31" t="s">
        <v>1001</v>
      </c>
      <c r="E578" s="30" t="s">
        <v>452</v>
      </c>
      <c r="F578" s="32" t="n">
        <v>1</v>
      </c>
      <c r="G578" s="33" t="n">
        <v>46145</v>
      </c>
      <c r="H578" s="33" t="n">
        <v>46145</v>
      </c>
      <c r="I578" s="31" t="s">
        <v>1002</v>
      </c>
      <c r="J578" s="30" t="s">
        <v>452</v>
      </c>
      <c r="K578" s="31" t="s">
        <v>1003</v>
      </c>
      <c r="L578" s="32" t="n">
        <v>1</v>
      </c>
      <c r="M578" s="34" t="s">
        <v>375</v>
      </c>
      <c r="N578" s="31" t="s">
        <v>376</v>
      </c>
      <c r="O578" s="32" t="n">
        <v>1</v>
      </c>
      <c r="P578" s="15" t="n">
        <f aca="false">IF(A578="","",IF(O578&lt;&gt;"",O578,IF(L578&lt;&gt;"",L578,F578)))</f>
        <v>1</v>
      </c>
    </row>
    <row r="579" customFormat="false" ht="15" hidden="false" customHeight="true" outlineLevel="0" collapsed="false">
      <c r="A579" s="26" t="s">
        <v>74</v>
      </c>
      <c r="B579" s="26" t="s">
        <v>75</v>
      </c>
      <c r="C579" s="14" t="n">
        <f aca="false">IF(A579="","",IFERROR(VLOOKUP(A579,'Recert Status'!$A$8:$C$400,3,FALSE()),""))</f>
        <v>46387</v>
      </c>
      <c r="D579" s="18" t="s">
        <v>1004</v>
      </c>
      <c r="E579" s="26" t="s">
        <v>389</v>
      </c>
      <c r="F579" s="27" t="n">
        <v>1</v>
      </c>
      <c r="G579" s="28" t="n">
        <v>45752</v>
      </c>
      <c r="H579" s="28" t="n">
        <v>45752</v>
      </c>
      <c r="I579" s="18" t="s">
        <v>1005</v>
      </c>
      <c r="J579" s="26" t="s">
        <v>389</v>
      </c>
      <c r="K579" s="18" t="s">
        <v>495</v>
      </c>
      <c r="L579" s="27" t="n">
        <v>1</v>
      </c>
      <c r="M579" s="35" t="s">
        <v>386</v>
      </c>
      <c r="N579" s="18" t="s">
        <v>387</v>
      </c>
      <c r="O579" s="27" t="n">
        <v>1</v>
      </c>
      <c r="P579" s="15" t="n">
        <f aca="false">IF(A579="","",IF(O579&lt;&gt;"",O579,IF(L579&lt;&gt;"",L579,F579)))</f>
        <v>1</v>
      </c>
    </row>
    <row r="580" customFormat="false" ht="15" hidden="false" customHeight="true" outlineLevel="0" collapsed="false">
      <c r="A580" s="30" t="s">
        <v>74</v>
      </c>
      <c r="B580" s="30" t="s">
        <v>75</v>
      </c>
      <c r="C580" s="21" t="n">
        <f aca="false">IF(A580="","",IFERROR(VLOOKUP(A580,'Recert Status'!$A$8:$C$400,3,FALSE()),""))</f>
        <v>46387</v>
      </c>
      <c r="D580" s="31" t="s">
        <v>437</v>
      </c>
      <c r="E580" s="30" t="n">
        <v>29743</v>
      </c>
      <c r="F580" s="32" t="n">
        <v>1</v>
      </c>
      <c r="G580" s="33" t="n">
        <v>45833</v>
      </c>
      <c r="H580" s="33" t="n">
        <v>45833</v>
      </c>
      <c r="I580" s="31" t="s">
        <v>438</v>
      </c>
      <c r="J580" s="30" t="s">
        <v>439</v>
      </c>
      <c r="K580" s="31" t="s">
        <v>440</v>
      </c>
      <c r="L580" s="32" t="n">
        <v>1</v>
      </c>
      <c r="M580" s="35" t="s">
        <v>386</v>
      </c>
      <c r="N580" s="31" t="s">
        <v>387</v>
      </c>
      <c r="O580" s="32" t="n">
        <v>1</v>
      </c>
      <c r="P580" s="15" t="n">
        <f aca="false">IF(A580="","",IF(O580&lt;&gt;"",O580,IF(L580&lt;&gt;"",L580,F580)))</f>
        <v>1</v>
      </c>
    </row>
    <row r="581" customFormat="false" ht="15" hidden="false" customHeight="true" outlineLevel="0" collapsed="false">
      <c r="A581" s="26" t="s">
        <v>74</v>
      </c>
      <c r="B581" s="26" t="s">
        <v>75</v>
      </c>
      <c r="C581" s="14" t="n">
        <f aca="false">IF(A581="","",IFERROR(VLOOKUP(A581,'Recert Status'!$A$8:$C$400,3,FALSE()),""))</f>
        <v>46387</v>
      </c>
      <c r="D581" s="18" t="s">
        <v>441</v>
      </c>
      <c r="E581" s="26" t="n">
        <v>29743</v>
      </c>
      <c r="F581" s="27" t="n">
        <v>1</v>
      </c>
      <c r="G581" s="28" t="n">
        <v>45833</v>
      </c>
      <c r="H581" s="28" t="n">
        <v>45833</v>
      </c>
      <c r="I581" s="18" t="s">
        <v>442</v>
      </c>
      <c r="J581" s="26" t="s">
        <v>439</v>
      </c>
      <c r="K581" s="18" t="s">
        <v>443</v>
      </c>
      <c r="L581" s="27" t="n">
        <v>1</v>
      </c>
      <c r="M581" s="35" t="s">
        <v>386</v>
      </c>
      <c r="N581" s="18" t="s">
        <v>387</v>
      </c>
      <c r="O581" s="27" t="n">
        <v>1</v>
      </c>
      <c r="P581" s="15" t="n">
        <f aca="false">IF(A581="","",IF(O581&lt;&gt;"",O581,IF(L581&lt;&gt;"",L581,F581)))</f>
        <v>1</v>
      </c>
    </row>
    <row r="582" customFormat="false" ht="15" hidden="false" customHeight="true" outlineLevel="0" collapsed="false">
      <c r="A582" s="30" t="s">
        <v>74</v>
      </c>
      <c r="B582" s="30" t="s">
        <v>75</v>
      </c>
      <c r="C582" s="21" t="n">
        <f aca="false">IF(A582="","",IFERROR(VLOOKUP(A582,'Recert Status'!$A$8:$C$400,3,FALSE()),""))</f>
        <v>46387</v>
      </c>
      <c r="D582" s="31" t="s">
        <v>929</v>
      </c>
      <c r="E582" s="30" t="n">
        <v>29784</v>
      </c>
      <c r="F582" s="32" t="n">
        <v>0.5</v>
      </c>
      <c r="G582" s="33" t="n">
        <v>45878</v>
      </c>
      <c r="H582" s="33" t="n">
        <v>45878</v>
      </c>
      <c r="I582" s="31" t="s">
        <v>930</v>
      </c>
      <c r="J582" s="30" t="s">
        <v>435</v>
      </c>
      <c r="K582" s="31" t="s">
        <v>931</v>
      </c>
      <c r="L582" s="32" t="n">
        <v>0.5</v>
      </c>
      <c r="M582" s="35" t="s">
        <v>386</v>
      </c>
      <c r="N582" s="31" t="s">
        <v>387</v>
      </c>
      <c r="O582" s="32" t="n">
        <v>0.5</v>
      </c>
      <c r="P582" s="15" t="n">
        <f aca="false">IF(A582="","",IF(O582&lt;&gt;"",O582,IF(L582&lt;&gt;"",L582,F582)))</f>
        <v>0.5</v>
      </c>
    </row>
    <row r="583" customFormat="false" ht="15" hidden="false" customHeight="true" outlineLevel="0" collapsed="false">
      <c r="A583" s="26" t="s">
        <v>74</v>
      </c>
      <c r="B583" s="26" t="s">
        <v>75</v>
      </c>
      <c r="C583" s="14" t="n">
        <f aca="false">IF(A583="","",IFERROR(VLOOKUP(A583,'Recert Status'!$A$8:$C$400,3,FALSE()),""))</f>
        <v>46387</v>
      </c>
      <c r="D583" s="18" t="s">
        <v>736</v>
      </c>
      <c r="E583" s="26" t="n">
        <v>35513</v>
      </c>
      <c r="F583" s="27" t="n">
        <v>2</v>
      </c>
      <c r="G583" s="28" t="n">
        <v>45884</v>
      </c>
      <c r="H583" s="28" t="n">
        <v>45884</v>
      </c>
      <c r="I583" s="18" t="s">
        <v>737</v>
      </c>
      <c r="J583" s="26" t="s">
        <v>384</v>
      </c>
      <c r="K583" s="18" t="s">
        <v>385</v>
      </c>
      <c r="L583" s="27" t="n">
        <v>2</v>
      </c>
      <c r="M583" s="35" t="s">
        <v>386</v>
      </c>
      <c r="N583" s="18" t="s">
        <v>387</v>
      </c>
      <c r="O583" s="27" t="n">
        <v>2</v>
      </c>
      <c r="P583" s="15" t="n">
        <f aca="false">IF(A583="","",IF(O583&lt;&gt;"",O583,IF(L583&lt;&gt;"",L583,F583)))</f>
        <v>2</v>
      </c>
    </row>
    <row r="584" customFormat="false" ht="15" hidden="false" customHeight="true" outlineLevel="0" collapsed="false">
      <c r="A584" s="30" t="s">
        <v>74</v>
      </c>
      <c r="B584" s="30" t="s">
        <v>75</v>
      </c>
      <c r="C584" s="21" t="n">
        <f aca="false">IF(A584="","",IFERROR(VLOOKUP(A584,'Recert Status'!$A$8:$C$400,3,FALSE()),""))</f>
        <v>46387</v>
      </c>
      <c r="D584" s="31" t="s">
        <v>444</v>
      </c>
      <c r="E584" s="30" t="n">
        <v>29675</v>
      </c>
      <c r="F584" s="32" t="n">
        <v>1</v>
      </c>
      <c r="G584" s="33" t="n">
        <v>45971</v>
      </c>
      <c r="H584" s="33" t="n">
        <v>45971</v>
      </c>
      <c r="I584" s="31" t="s">
        <v>445</v>
      </c>
      <c r="J584" s="30" t="s">
        <v>406</v>
      </c>
      <c r="K584" s="31" t="s">
        <v>446</v>
      </c>
      <c r="L584" s="32" t="n">
        <v>1</v>
      </c>
      <c r="M584" s="35" t="s">
        <v>386</v>
      </c>
      <c r="N584" s="31" t="s">
        <v>387</v>
      </c>
      <c r="O584" s="32" t="n">
        <v>1</v>
      </c>
      <c r="P584" s="15" t="n">
        <f aca="false">IF(A584="","",IF(O584&lt;&gt;"",O584,IF(L584&lt;&gt;"",L584,F584)))</f>
        <v>1</v>
      </c>
    </row>
    <row r="585" customFormat="false" ht="15" hidden="false" customHeight="true" outlineLevel="0" collapsed="false">
      <c r="A585" s="26" t="s">
        <v>74</v>
      </c>
      <c r="B585" s="26" t="s">
        <v>75</v>
      </c>
      <c r="C585" s="14" t="n">
        <f aca="false">IF(A585="","",IFERROR(VLOOKUP(A585,'Recert Status'!$A$8:$C$400,3,FALSE()),""))</f>
        <v>46387</v>
      </c>
      <c r="D585" s="18" t="s">
        <v>387</v>
      </c>
      <c r="E585" s="26" t="s">
        <v>389</v>
      </c>
      <c r="F585" s="27" t="n">
        <v>1</v>
      </c>
      <c r="G585" s="28" t="n">
        <v>46208</v>
      </c>
      <c r="H585" s="28" t="n">
        <v>46208</v>
      </c>
      <c r="I585" s="18" t="s">
        <v>932</v>
      </c>
      <c r="J585" s="26" t="s">
        <v>389</v>
      </c>
      <c r="K585" s="18" t="s">
        <v>451</v>
      </c>
      <c r="L585" s="27" t="n">
        <v>1</v>
      </c>
      <c r="M585" s="35" t="s">
        <v>386</v>
      </c>
      <c r="N585" s="18" t="s">
        <v>387</v>
      </c>
      <c r="O585" s="27" t="n">
        <v>1</v>
      </c>
      <c r="P585" s="15" t="n">
        <f aca="false">IF(A585="","",IF(O585&lt;&gt;"",O585,IF(L585&lt;&gt;"",L585,F585)))</f>
        <v>1</v>
      </c>
    </row>
    <row r="586" customFormat="false" ht="15" hidden="false" customHeight="true" outlineLevel="0" collapsed="false">
      <c r="A586" s="30" t="s">
        <v>74</v>
      </c>
      <c r="B586" s="30" t="s">
        <v>75</v>
      </c>
      <c r="C586" s="21" t="n">
        <f aca="false">IF(A586="","",IFERROR(VLOOKUP(A586,'Recert Status'!$A$8:$C$400,3,FALSE()),""))</f>
        <v>46387</v>
      </c>
      <c r="D586" s="31" t="s">
        <v>1006</v>
      </c>
      <c r="E586" s="30" t="s">
        <v>452</v>
      </c>
      <c r="F586" s="32" t="n">
        <v>1</v>
      </c>
      <c r="G586" s="33" t="n">
        <v>45752</v>
      </c>
      <c r="H586" s="33" t="n">
        <v>45752</v>
      </c>
      <c r="I586" s="31" t="s">
        <v>1007</v>
      </c>
      <c r="J586" s="30" t="s">
        <v>452</v>
      </c>
      <c r="K586" s="31" t="s">
        <v>385</v>
      </c>
      <c r="L586" s="32" t="n">
        <v>1</v>
      </c>
      <c r="M586" s="36" t="s">
        <v>396</v>
      </c>
      <c r="N586" s="31" t="s">
        <v>397</v>
      </c>
      <c r="O586" s="32" t="n">
        <v>1</v>
      </c>
      <c r="P586" s="15" t="n">
        <f aca="false">IF(A586="","",IF(O586&lt;&gt;"",O586,IF(L586&lt;&gt;"",L586,F586)))</f>
        <v>1</v>
      </c>
    </row>
    <row r="587" customFormat="false" ht="15" hidden="false" customHeight="true" outlineLevel="0" collapsed="false">
      <c r="A587" s="26" t="s">
        <v>74</v>
      </c>
      <c r="B587" s="26" t="s">
        <v>75</v>
      </c>
      <c r="C587" s="14" t="n">
        <f aca="false">IF(A587="","",IFERROR(VLOOKUP(A587,'Recert Status'!$A$8:$C$400,3,FALSE()),""))</f>
        <v>46387</v>
      </c>
      <c r="D587" s="18" t="s">
        <v>560</v>
      </c>
      <c r="E587" s="26" t="s">
        <v>452</v>
      </c>
      <c r="F587" s="27" t="n">
        <v>1</v>
      </c>
      <c r="G587" s="28" t="n">
        <v>46109</v>
      </c>
      <c r="H587" s="28" t="n">
        <v>46109</v>
      </c>
      <c r="I587" s="18" t="s">
        <v>1008</v>
      </c>
      <c r="J587" s="26" t="s">
        <v>452</v>
      </c>
      <c r="K587" s="18" t="s">
        <v>385</v>
      </c>
      <c r="L587" s="27" t="n">
        <v>1</v>
      </c>
      <c r="M587" s="36" t="s">
        <v>396</v>
      </c>
      <c r="N587" s="18" t="s">
        <v>397</v>
      </c>
      <c r="O587" s="27" t="n">
        <v>1</v>
      </c>
      <c r="P587" s="15" t="n">
        <f aca="false">IF(A587="","",IF(O587&lt;&gt;"",O587,IF(L587&lt;&gt;"",L587,F587)))</f>
        <v>1</v>
      </c>
    </row>
    <row r="588" customFormat="false" ht="15" hidden="false" customHeight="true" outlineLevel="0" collapsed="false">
      <c r="A588" s="30" t="s">
        <v>74</v>
      </c>
      <c r="B588" s="30" t="s">
        <v>75</v>
      </c>
      <c r="C588" s="21" t="n">
        <f aca="false">IF(A588="","",IFERROR(VLOOKUP(A588,'Recert Status'!$A$8:$C$400,3,FALSE()),""))</f>
        <v>46387</v>
      </c>
      <c r="D588" s="31" t="s">
        <v>397</v>
      </c>
      <c r="E588" s="30" t="s">
        <v>452</v>
      </c>
      <c r="F588" s="32" t="n">
        <v>1</v>
      </c>
      <c r="G588" s="33" t="n">
        <v>46244</v>
      </c>
      <c r="H588" s="33" t="n">
        <v>46244</v>
      </c>
      <c r="I588" s="31" t="s">
        <v>453</v>
      </c>
      <c r="J588" s="30" t="s">
        <v>452</v>
      </c>
      <c r="K588" s="31" t="s">
        <v>385</v>
      </c>
      <c r="L588" s="32" t="n">
        <v>1</v>
      </c>
      <c r="M588" s="36" t="s">
        <v>396</v>
      </c>
      <c r="N588" s="31" t="s">
        <v>397</v>
      </c>
      <c r="O588" s="32" t="n">
        <v>1</v>
      </c>
      <c r="P588" s="15" t="n">
        <f aca="false">IF(A588="","",IF(O588&lt;&gt;"",O588,IF(L588&lt;&gt;"",L588,F588)))</f>
        <v>1</v>
      </c>
    </row>
    <row r="589" customFormat="false" ht="15" hidden="false" customHeight="true" outlineLevel="0" collapsed="false">
      <c r="A589" s="26" t="s">
        <v>74</v>
      </c>
      <c r="B589" s="26" t="s">
        <v>75</v>
      </c>
      <c r="C589" s="14" t="n">
        <f aca="false">IF(A589="","",IFERROR(VLOOKUP(A589,'Recert Status'!$A$8:$C$400,3,FALSE()),""))</f>
        <v>46387</v>
      </c>
      <c r="D589" s="18" t="s">
        <v>403</v>
      </c>
      <c r="E589" s="26" t="s">
        <v>399</v>
      </c>
      <c r="F589" s="27" t="n">
        <v>1</v>
      </c>
      <c r="G589" s="28" t="n">
        <v>46269</v>
      </c>
      <c r="H589" s="28" t="n">
        <v>46269</v>
      </c>
      <c r="I589" s="18" t="s">
        <v>479</v>
      </c>
      <c r="J589" s="26" t="s">
        <v>399</v>
      </c>
      <c r="K589" s="18" t="s">
        <v>401</v>
      </c>
      <c r="L589" s="27" t="n">
        <v>1</v>
      </c>
      <c r="M589" s="37" t="s">
        <v>402</v>
      </c>
      <c r="N589" s="18" t="s">
        <v>403</v>
      </c>
      <c r="O589" s="27" t="n">
        <v>1</v>
      </c>
      <c r="P589" s="15" t="n">
        <f aca="false">IF(A589="","",IF(O589&lt;&gt;"",O589,IF(L589&lt;&gt;"",L589,F589)))</f>
        <v>1</v>
      </c>
    </row>
    <row r="590" customFormat="false" ht="15" hidden="false" customHeight="true" outlineLevel="0" collapsed="false">
      <c r="A590" s="30" t="s">
        <v>74</v>
      </c>
      <c r="B590" s="30" t="s">
        <v>75</v>
      </c>
      <c r="C590" s="21" t="n">
        <f aca="false">IF(A590="","",IFERROR(VLOOKUP(A590,'Recert Status'!$A$8:$C$400,3,FALSE()),""))</f>
        <v>46387</v>
      </c>
      <c r="D590" s="31" t="s">
        <v>409</v>
      </c>
      <c r="E590" s="30" t="s">
        <v>480</v>
      </c>
      <c r="F590" s="32" t="n">
        <v>1</v>
      </c>
      <c r="G590" s="33" t="n">
        <v>46256</v>
      </c>
      <c r="H590" s="33" t="n">
        <v>46256</v>
      </c>
      <c r="I590" s="31" t="s">
        <v>481</v>
      </c>
      <c r="J590" s="30" t="s">
        <v>480</v>
      </c>
      <c r="K590" s="31" t="s">
        <v>482</v>
      </c>
      <c r="L590" s="32" t="n">
        <v>1</v>
      </c>
      <c r="M590" s="38" t="s">
        <v>408</v>
      </c>
      <c r="N590" s="31" t="s">
        <v>409</v>
      </c>
      <c r="O590" s="32" t="n">
        <v>1</v>
      </c>
      <c r="P590" s="15" t="n">
        <f aca="false">IF(A590="","",IF(O590&lt;&gt;"",O590,IF(L590&lt;&gt;"",L590,F590)))</f>
        <v>1</v>
      </c>
    </row>
    <row r="591" customFormat="false" ht="15" hidden="false" customHeight="true" outlineLevel="0" collapsed="false">
      <c r="A591" s="26" t="s">
        <v>74</v>
      </c>
      <c r="B591" s="26" t="s">
        <v>75</v>
      </c>
      <c r="C591" s="14" t="n">
        <f aca="false">IF(A591="","",IFERROR(VLOOKUP(A591,'Recert Status'!$A$8:$C$400,3,FALSE()),""))</f>
        <v>46387</v>
      </c>
      <c r="D591" s="18" t="s">
        <v>934</v>
      </c>
      <c r="E591" s="26" t="s">
        <v>416</v>
      </c>
      <c r="F591" s="27" t="n">
        <v>1</v>
      </c>
      <c r="G591" s="28" t="n">
        <v>45824</v>
      </c>
      <c r="H591" s="28" t="n">
        <v>45824</v>
      </c>
      <c r="I591" s="18" t="s">
        <v>935</v>
      </c>
      <c r="J591" s="26" t="s">
        <v>416</v>
      </c>
      <c r="K591" s="18" t="s">
        <v>418</v>
      </c>
      <c r="L591" s="27" t="n">
        <v>1</v>
      </c>
      <c r="M591" s="39" t="s">
        <v>413</v>
      </c>
      <c r="N591" s="18" t="s">
        <v>414</v>
      </c>
      <c r="O591" s="27" t="n">
        <v>1</v>
      </c>
      <c r="P591" s="15" t="n">
        <f aca="false">IF(A591="","",IF(O591&lt;&gt;"",O591,IF(L591&lt;&gt;"",L591,F591)))</f>
        <v>1</v>
      </c>
    </row>
    <row r="592" customFormat="false" ht="15" hidden="false" customHeight="true" outlineLevel="0" collapsed="false">
      <c r="A592" s="30" t="s">
        <v>74</v>
      </c>
      <c r="B592" s="30" t="s">
        <v>75</v>
      </c>
      <c r="C592" s="21" t="n">
        <f aca="false">IF(A592="","",IFERROR(VLOOKUP(A592,'Recert Status'!$A$8:$C$400,3,FALSE()),""))</f>
        <v>46387</v>
      </c>
      <c r="D592" s="31" t="s">
        <v>1009</v>
      </c>
      <c r="E592" s="30" t="s">
        <v>416</v>
      </c>
      <c r="F592" s="32" t="n">
        <v>1</v>
      </c>
      <c r="G592" s="33" t="n">
        <v>45854</v>
      </c>
      <c r="H592" s="33" t="n">
        <v>45854</v>
      </c>
      <c r="I592" s="31" t="s">
        <v>1010</v>
      </c>
      <c r="J592" s="30" t="s">
        <v>416</v>
      </c>
      <c r="K592" s="31" t="s">
        <v>456</v>
      </c>
      <c r="L592" s="32" t="n">
        <v>1</v>
      </c>
      <c r="M592" s="39" t="s">
        <v>413</v>
      </c>
      <c r="N592" s="31" t="s">
        <v>414</v>
      </c>
      <c r="O592" s="32" t="n">
        <v>1</v>
      </c>
      <c r="P592" s="15" t="n">
        <f aca="false">IF(A592="","",IF(O592&lt;&gt;"",O592,IF(L592&lt;&gt;"",L592,F592)))</f>
        <v>1</v>
      </c>
    </row>
    <row r="593" customFormat="false" ht="15" hidden="false" customHeight="true" outlineLevel="0" collapsed="false">
      <c r="A593" s="26" t="s">
        <v>74</v>
      </c>
      <c r="B593" s="26" t="s">
        <v>75</v>
      </c>
      <c r="C593" s="14" t="n">
        <f aca="false">IF(A593="","",IFERROR(VLOOKUP(A593,'Recert Status'!$A$8:$C$400,3,FALSE()),""))</f>
        <v>46387</v>
      </c>
      <c r="D593" s="18" t="s">
        <v>457</v>
      </c>
      <c r="E593" s="26" t="s">
        <v>416</v>
      </c>
      <c r="F593" s="27" t="n">
        <v>2</v>
      </c>
      <c r="G593" s="28" t="n">
        <v>45860</v>
      </c>
      <c r="H593" s="28" t="n">
        <v>45860</v>
      </c>
      <c r="I593" s="18" t="s">
        <v>458</v>
      </c>
      <c r="J593" s="26" t="s">
        <v>416</v>
      </c>
      <c r="K593" s="18" t="s">
        <v>459</v>
      </c>
      <c r="L593" s="27" t="n">
        <v>2</v>
      </c>
      <c r="M593" s="39" t="s">
        <v>413</v>
      </c>
      <c r="N593" s="18" t="s">
        <v>414</v>
      </c>
      <c r="O593" s="27" t="n">
        <v>2</v>
      </c>
      <c r="P593" s="15" t="n">
        <f aca="false">IF(A593="","",IF(O593&lt;&gt;"",O593,IF(L593&lt;&gt;"",L593,F593)))</f>
        <v>2</v>
      </c>
    </row>
    <row r="594" customFormat="false" ht="15" hidden="false" customHeight="true" outlineLevel="0" collapsed="false">
      <c r="A594" s="30" t="s">
        <v>74</v>
      </c>
      <c r="B594" s="30" t="s">
        <v>75</v>
      </c>
      <c r="C594" s="21" t="n">
        <f aca="false">IF(A594="","",IFERROR(VLOOKUP(A594,'Recert Status'!$A$8:$C$400,3,FALSE()),""))</f>
        <v>46387</v>
      </c>
      <c r="D594" s="31" t="s">
        <v>488</v>
      </c>
      <c r="E594" s="30" t="s">
        <v>416</v>
      </c>
      <c r="F594" s="32" t="n">
        <v>1</v>
      </c>
      <c r="G594" s="33" t="n">
        <v>46127</v>
      </c>
      <c r="H594" s="33" t="n">
        <v>46127</v>
      </c>
      <c r="I594" s="31" t="s">
        <v>534</v>
      </c>
      <c r="J594" s="30" t="s">
        <v>416</v>
      </c>
      <c r="K594" s="31" t="s">
        <v>490</v>
      </c>
      <c r="L594" s="32" t="n">
        <v>1</v>
      </c>
      <c r="M594" s="39" t="s">
        <v>413</v>
      </c>
      <c r="N594" s="31" t="s">
        <v>414</v>
      </c>
      <c r="O594" s="32" t="n">
        <v>1</v>
      </c>
      <c r="P594" s="15" t="n">
        <f aca="false">IF(A594="","",IF(O594&lt;&gt;"",O594,IF(L594&lt;&gt;"",L594,F594)))</f>
        <v>1</v>
      </c>
    </row>
    <row r="595" customFormat="false" ht="15" hidden="false" customHeight="true" outlineLevel="0" collapsed="false">
      <c r="A595" s="26" t="s">
        <v>74</v>
      </c>
      <c r="B595" s="26" t="s">
        <v>75</v>
      </c>
      <c r="C595" s="14" t="n">
        <f aca="false">IF(A595="","",IFERROR(VLOOKUP(A595,'Recert Status'!$A$8:$C$400,3,FALSE()),""))</f>
        <v>46387</v>
      </c>
      <c r="D595" s="18" t="s">
        <v>414</v>
      </c>
      <c r="E595" s="26" t="s">
        <v>416</v>
      </c>
      <c r="F595" s="27" t="n">
        <v>2</v>
      </c>
      <c r="G595" s="28" t="n">
        <v>46217</v>
      </c>
      <c r="H595" s="28" t="n">
        <v>46217</v>
      </c>
      <c r="I595" s="18" t="s">
        <v>460</v>
      </c>
      <c r="J595" s="26" t="s">
        <v>416</v>
      </c>
      <c r="K595" s="18" t="s">
        <v>418</v>
      </c>
      <c r="L595" s="27" t="n">
        <v>2</v>
      </c>
      <c r="M595" s="39" t="s">
        <v>413</v>
      </c>
      <c r="N595" s="18" t="s">
        <v>414</v>
      </c>
      <c r="O595" s="27" t="n">
        <v>2</v>
      </c>
      <c r="P595" s="15" t="n">
        <f aca="false">IF(A595="","",IF(O595&lt;&gt;"",O595,IF(L595&lt;&gt;"",L595,F595)))</f>
        <v>2</v>
      </c>
    </row>
    <row r="596" customFormat="false" ht="15" hidden="false" customHeight="true" outlineLevel="0" collapsed="false">
      <c r="A596" s="30" t="s">
        <v>76</v>
      </c>
      <c r="B596" s="30" t="s">
        <v>77</v>
      </c>
      <c r="C596" s="21" t="n">
        <f aca="false">IF(A596="","",IFERROR(VLOOKUP(A596,'Recert Status'!$A$8:$C$400,3,FALSE()),""))</f>
        <v>46752</v>
      </c>
      <c r="D596" s="31" t="s">
        <v>496</v>
      </c>
      <c r="E596" s="30" t="s">
        <v>542</v>
      </c>
      <c r="F596" s="32" t="n">
        <v>4</v>
      </c>
      <c r="G596" s="33" t="n">
        <v>45961</v>
      </c>
      <c r="H596" s="33" t="n">
        <v>45961</v>
      </c>
      <c r="I596" s="31" t="s">
        <v>587</v>
      </c>
      <c r="J596" s="30" t="s">
        <v>542</v>
      </c>
      <c r="K596" s="31" t="s">
        <v>422</v>
      </c>
      <c r="L596" s="32" t="n">
        <v>4</v>
      </c>
      <c r="M596" s="40" t="s">
        <v>423</v>
      </c>
      <c r="N596" s="31" t="s">
        <v>424</v>
      </c>
      <c r="O596" s="32" t="n">
        <v>4</v>
      </c>
      <c r="P596" s="15" t="n">
        <f aca="false">IF(A596="","",IF(O596&lt;&gt;"",O596,IF(L596&lt;&gt;"",L596,F596)))</f>
        <v>4</v>
      </c>
    </row>
    <row r="597" customFormat="false" ht="15" hidden="false" customHeight="true" outlineLevel="0" collapsed="false">
      <c r="A597" s="26" t="s">
        <v>76</v>
      </c>
      <c r="B597" s="26" t="s">
        <v>77</v>
      </c>
      <c r="C597" s="14" t="n">
        <f aca="false">IF(A597="","",IFERROR(VLOOKUP(A597,'Recert Status'!$A$8:$C$400,3,FALSE()),""))</f>
        <v>46752</v>
      </c>
      <c r="D597" s="18" t="s">
        <v>387</v>
      </c>
      <c r="E597" s="26" t="s">
        <v>389</v>
      </c>
      <c r="F597" s="27" t="n">
        <v>1</v>
      </c>
      <c r="G597" s="28" t="n">
        <v>46241</v>
      </c>
      <c r="H597" s="28" t="n">
        <v>46241</v>
      </c>
      <c r="I597" s="18" t="s">
        <v>1011</v>
      </c>
      <c r="J597" s="26" t="s">
        <v>389</v>
      </c>
      <c r="K597" s="18" t="s">
        <v>451</v>
      </c>
      <c r="L597" s="27" t="n">
        <v>1</v>
      </c>
      <c r="M597" s="35" t="s">
        <v>386</v>
      </c>
      <c r="N597" s="18" t="s">
        <v>387</v>
      </c>
      <c r="O597" s="27" t="n">
        <v>1</v>
      </c>
      <c r="P597" s="15" t="n">
        <f aca="false">IF(A597="","",IF(O597&lt;&gt;"",O597,IF(L597&lt;&gt;"",L597,F597)))</f>
        <v>1</v>
      </c>
    </row>
    <row r="598" customFormat="false" ht="15" hidden="false" customHeight="true" outlineLevel="0" collapsed="false">
      <c r="A598" s="30" t="s">
        <v>76</v>
      </c>
      <c r="B598" s="30" t="s">
        <v>77</v>
      </c>
      <c r="C598" s="21" t="n">
        <f aca="false">IF(A598="","",IFERROR(VLOOKUP(A598,'Recert Status'!$A$8:$C$400,3,FALSE()),""))</f>
        <v>46752</v>
      </c>
      <c r="D598" s="31" t="s">
        <v>597</v>
      </c>
      <c r="E598" s="30" t="n">
        <v>29735</v>
      </c>
      <c r="F598" s="32" t="n">
        <v>4</v>
      </c>
      <c r="G598" s="33" t="n">
        <v>45961</v>
      </c>
      <c r="H598" s="33" t="n">
        <v>45961</v>
      </c>
      <c r="I598" s="31" t="s">
        <v>598</v>
      </c>
      <c r="J598" s="30" t="s">
        <v>599</v>
      </c>
      <c r="K598" s="31" t="s">
        <v>600</v>
      </c>
      <c r="L598" s="32" t="n">
        <v>4</v>
      </c>
      <c r="M598" s="36" t="s">
        <v>396</v>
      </c>
      <c r="N598" s="31" t="s">
        <v>397</v>
      </c>
      <c r="O598" s="32" t="n">
        <v>4</v>
      </c>
      <c r="P598" s="15" t="n">
        <f aca="false">IF(A598="","",IF(O598&lt;&gt;"",O598,IF(L598&lt;&gt;"",L598,F598)))</f>
        <v>4</v>
      </c>
    </row>
    <row r="599" customFormat="false" ht="15" hidden="false" customHeight="true" outlineLevel="0" collapsed="false">
      <c r="A599" s="26" t="s">
        <v>76</v>
      </c>
      <c r="B599" s="26" t="s">
        <v>77</v>
      </c>
      <c r="C599" s="14" t="n">
        <f aca="false">IF(A599="","",IFERROR(VLOOKUP(A599,'Recert Status'!$A$8:$C$400,3,FALSE()),""))</f>
        <v>46752</v>
      </c>
      <c r="D599" s="18" t="s">
        <v>397</v>
      </c>
      <c r="E599" s="26" t="s">
        <v>452</v>
      </c>
      <c r="F599" s="27" t="n">
        <v>1</v>
      </c>
      <c r="G599" s="28" t="n">
        <v>46244</v>
      </c>
      <c r="H599" s="28" t="n">
        <v>46244</v>
      </c>
      <c r="I599" s="18" t="s">
        <v>577</v>
      </c>
      <c r="J599" s="26" t="s">
        <v>452</v>
      </c>
      <c r="K599" s="18" t="s">
        <v>385</v>
      </c>
      <c r="L599" s="27" t="n">
        <v>1</v>
      </c>
      <c r="M599" s="36" t="s">
        <v>396</v>
      </c>
      <c r="N599" s="18" t="s">
        <v>397</v>
      </c>
      <c r="O599" s="27" t="n">
        <v>1</v>
      </c>
      <c r="P599" s="15" t="n">
        <f aca="false">IF(A599="","",IF(O599&lt;&gt;"",O599,IF(L599&lt;&gt;"",L599,F599)))</f>
        <v>1</v>
      </c>
    </row>
    <row r="600" customFormat="false" ht="15" hidden="false" customHeight="true" outlineLevel="0" collapsed="false">
      <c r="A600" s="30" t="s">
        <v>76</v>
      </c>
      <c r="B600" s="30" t="s">
        <v>77</v>
      </c>
      <c r="C600" s="21" t="n">
        <f aca="false">IF(A600="","",IFERROR(VLOOKUP(A600,'Recert Status'!$A$8:$C$400,3,FALSE()),""))</f>
        <v>46752</v>
      </c>
      <c r="D600" s="31" t="s">
        <v>488</v>
      </c>
      <c r="E600" s="30" t="s">
        <v>416</v>
      </c>
      <c r="F600" s="32" t="n">
        <v>1</v>
      </c>
      <c r="G600" s="33" t="n">
        <v>46139</v>
      </c>
      <c r="H600" s="33" t="n">
        <v>46139</v>
      </c>
      <c r="I600" s="31" t="s">
        <v>610</v>
      </c>
      <c r="J600" s="30" t="s">
        <v>416</v>
      </c>
      <c r="K600" s="31" t="s">
        <v>490</v>
      </c>
      <c r="L600" s="32" t="n">
        <v>1</v>
      </c>
      <c r="M600" s="39" t="s">
        <v>413</v>
      </c>
      <c r="N600" s="31" t="s">
        <v>414</v>
      </c>
      <c r="O600" s="32" t="n">
        <v>1</v>
      </c>
      <c r="P600" s="15" t="n">
        <f aca="false">IF(A600="","",IF(O600&lt;&gt;"",O600,IF(L600&lt;&gt;"",L600,F600)))</f>
        <v>1</v>
      </c>
    </row>
    <row r="601" customFormat="false" ht="15" hidden="false" customHeight="true" outlineLevel="0" collapsed="false">
      <c r="A601" s="26" t="s">
        <v>76</v>
      </c>
      <c r="B601" s="26" t="s">
        <v>77</v>
      </c>
      <c r="C601" s="14" t="n">
        <f aca="false">IF(A601="","",IFERROR(VLOOKUP(A601,'Recert Status'!$A$8:$C$400,3,FALSE()),""))</f>
        <v>46752</v>
      </c>
      <c r="D601" s="18" t="s">
        <v>414</v>
      </c>
      <c r="E601" s="26" t="s">
        <v>416</v>
      </c>
      <c r="F601" s="27" t="n">
        <v>2</v>
      </c>
      <c r="G601" s="28" t="n">
        <v>46217</v>
      </c>
      <c r="H601" s="28" t="n">
        <v>46217</v>
      </c>
      <c r="I601" s="18" t="s">
        <v>460</v>
      </c>
      <c r="J601" s="26" t="s">
        <v>416</v>
      </c>
      <c r="K601" s="18" t="s">
        <v>418</v>
      </c>
      <c r="L601" s="27" t="n">
        <v>2</v>
      </c>
      <c r="M601" s="39" t="s">
        <v>413</v>
      </c>
      <c r="N601" s="18" t="s">
        <v>414</v>
      </c>
      <c r="O601" s="27" t="n">
        <v>2</v>
      </c>
      <c r="P601" s="15" t="n">
        <f aca="false">IF(A601="","",IF(O601&lt;&gt;"",O601,IF(L601&lt;&gt;"",L601,F601)))</f>
        <v>2</v>
      </c>
    </row>
    <row r="602" customFormat="false" ht="15" hidden="false" customHeight="true" outlineLevel="0" collapsed="false">
      <c r="A602" s="30" t="s">
        <v>78</v>
      </c>
      <c r="B602" s="30" t="s">
        <v>79</v>
      </c>
      <c r="C602" s="21" t="n">
        <f aca="false">IF(A602="","",IFERROR(VLOOKUP(A602,'Recert Status'!$A$8:$C$400,3,FALSE()),""))</f>
        <v>46752</v>
      </c>
      <c r="D602" s="31" t="s">
        <v>1012</v>
      </c>
      <c r="E602" s="30" t="s">
        <v>372</v>
      </c>
      <c r="F602" s="32" t="n">
        <v>1</v>
      </c>
      <c r="G602" s="33" t="n">
        <v>46135</v>
      </c>
      <c r="H602" s="33" t="n">
        <v>46135</v>
      </c>
      <c r="I602" s="31" t="s">
        <v>1013</v>
      </c>
      <c r="J602" s="30" t="s">
        <v>372</v>
      </c>
      <c r="K602" s="31" t="s">
        <v>374</v>
      </c>
      <c r="L602" s="32" t="n">
        <v>1</v>
      </c>
      <c r="M602" s="34" t="s">
        <v>375</v>
      </c>
      <c r="N602" s="31" t="s">
        <v>376</v>
      </c>
      <c r="O602" s="32" t="n">
        <v>1</v>
      </c>
      <c r="P602" s="15" t="n">
        <f aca="false">IF(A602="","",IF(O602&lt;&gt;"",O602,IF(L602&lt;&gt;"",L602,F602)))</f>
        <v>1</v>
      </c>
    </row>
    <row r="603" customFormat="false" ht="15" hidden="false" customHeight="true" outlineLevel="0" collapsed="false">
      <c r="A603" s="26" t="s">
        <v>78</v>
      </c>
      <c r="B603" s="26" t="s">
        <v>79</v>
      </c>
      <c r="C603" s="14" t="n">
        <f aca="false">IF(A603="","",IFERROR(VLOOKUP(A603,'Recert Status'!$A$8:$C$400,3,FALSE()),""))</f>
        <v>46752</v>
      </c>
      <c r="D603" s="18" t="s">
        <v>613</v>
      </c>
      <c r="E603" s="26" t="n">
        <v>29784</v>
      </c>
      <c r="F603" s="27" t="n">
        <v>0.5</v>
      </c>
      <c r="G603" s="28" t="n">
        <v>45670</v>
      </c>
      <c r="H603" s="28" t="n">
        <v>45670</v>
      </c>
      <c r="I603" s="18" t="s">
        <v>614</v>
      </c>
      <c r="J603" s="26" t="s">
        <v>435</v>
      </c>
      <c r="K603" s="18" t="s">
        <v>468</v>
      </c>
      <c r="L603" s="27" t="n">
        <v>0.5</v>
      </c>
      <c r="M603" s="35" t="s">
        <v>386</v>
      </c>
      <c r="N603" s="18" t="s">
        <v>387</v>
      </c>
      <c r="O603" s="27" t="n">
        <v>0.5</v>
      </c>
      <c r="P603" s="15" t="n">
        <f aca="false">IF(A603="","",IF(O603&lt;&gt;"",O603,IF(L603&lt;&gt;"",L603,F603)))</f>
        <v>0.5</v>
      </c>
    </row>
    <row r="604" customFormat="false" ht="15" hidden="false" customHeight="true" outlineLevel="0" collapsed="false">
      <c r="A604" s="30" t="s">
        <v>78</v>
      </c>
      <c r="B604" s="30" t="s">
        <v>79</v>
      </c>
      <c r="C604" s="21" t="n">
        <f aca="false">IF(A604="","",IFERROR(VLOOKUP(A604,'Recert Status'!$A$8:$C$400,3,FALSE()),""))</f>
        <v>46752</v>
      </c>
      <c r="D604" s="31" t="s">
        <v>647</v>
      </c>
      <c r="E604" s="30" t="n">
        <v>29675</v>
      </c>
      <c r="F604" s="32" t="n">
        <v>1</v>
      </c>
      <c r="G604" s="33" t="n">
        <v>45840</v>
      </c>
      <c r="H604" s="33" t="n">
        <v>45840</v>
      </c>
      <c r="I604" s="31" t="s">
        <v>648</v>
      </c>
      <c r="J604" s="30" t="s">
        <v>406</v>
      </c>
      <c r="K604" s="31" t="s">
        <v>385</v>
      </c>
      <c r="L604" s="32" t="n">
        <v>1</v>
      </c>
      <c r="M604" s="35" t="s">
        <v>386</v>
      </c>
      <c r="N604" s="31" t="s">
        <v>387</v>
      </c>
      <c r="O604" s="32" t="n">
        <v>1</v>
      </c>
      <c r="P604" s="15" t="n">
        <f aca="false">IF(A604="","",IF(O604&lt;&gt;"",O604,IF(L604&lt;&gt;"",L604,F604)))</f>
        <v>1</v>
      </c>
    </row>
    <row r="605" customFormat="false" ht="15" hidden="false" customHeight="true" outlineLevel="0" collapsed="false">
      <c r="A605" s="26" t="s">
        <v>78</v>
      </c>
      <c r="B605" s="26" t="s">
        <v>79</v>
      </c>
      <c r="C605" s="14" t="n">
        <f aca="false">IF(A605="","",IFERROR(VLOOKUP(A605,'Recert Status'!$A$8:$C$400,3,FALSE()),""))</f>
        <v>46752</v>
      </c>
      <c r="D605" s="18" t="s">
        <v>1014</v>
      </c>
      <c r="E605" s="26" t="n">
        <v>29675</v>
      </c>
      <c r="F605" s="27" t="n">
        <v>0.5</v>
      </c>
      <c r="G605" s="28" t="n">
        <v>45925</v>
      </c>
      <c r="H605" s="28" t="n">
        <v>45925</v>
      </c>
      <c r="I605" s="18" t="s">
        <v>1015</v>
      </c>
      <c r="J605" s="26" t="s">
        <v>406</v>
      </c>
      <c r="K605" s="18" t="s">
        <v>451</v>
      </c>
      <c r="L605" s="27" t="n">
        <v>0.5</v>
      </c>
      <c r="M605" s="35" t="s">
        <v>386</v>
      </c>
      <c r="N605" s="18" t="s">
        <v>514</v>
      </c>
      <c r="O605" s="27" t="n">
        <v>0.5</v>
      </c>
      <c r="P605" s="15" t="n">
        <f aca="false">IF(A605="","",IF(O605&lt;&gt;"",O605,IF(L605&lt;&gt;"",L605,F605)))</f>
        <v>0.5</v>
      </c>
    </row>
    <row r="606" customFormat="false" ht="15" hidden="false" customHeight="true" outlineLevel="0" collapsed="false">
      <c r="A606" s="30" t="s">
        <v>78</v>
      </c>
      <c r="B606" s="30" t="s">
        <v>79</v>
      </c>
      <c r="C606" s="21" t="n">
        <f aca="false">IF(A606="","",IFERROR(VLOOKUP(A606,'Recert Status'!$A$8:$C$400,3,FALSE()),""))</f>
        <v>46752</v>
      </c>
      <c r="D606" s="31" t="s">
        <v>1016</v>
      </c>
      <c r="E606" s="30" t="s">
        <v>389</v>
      </c>
      <c r="F606" s="32" t="n">
        <v>1</v>
      </c>
      <c r="G606" s="33" t="n">
        <v>45940</v>
      </c>
      <c r="H606" s="33" t="n">
        <v>45940</v>
      </c>
      <c r="I606" s="31" t="s">
        <v>1017</v>
      </c>
      <c r="J606" s="30" t="s">
        <v>389</v>
      </c>
      <c r="K606" s="31" t="s">
        <v>1018</v>
      </c>
      <c r="L606" s="32" t="n">
        <v>1</v>
      </c>
      <c r="M606" s="35" t="s">
        <v>386</v>
      </c>
      <c r="N606" s="31" t="s">
        <v>387</v>
      </c>
      <c r="O606" s="32" t="n">
        <v>1</v>
      </c>
      <c r="P606" s="15" t="n">
        <f aca="false">IF(A606="","",IF(O606&lt;&gt;"",O606,IF(L606&lt;&gt;"",L606,F606)))</f>
        <v>1</v>
      </c>
    </row>
    <row r="607" customFormat="false" ht="15" hidden="false" customHeight="true" outlineLevel="0" collapsed="false">
      <c r="A607" s="26" t="s">
        <v>78</v>
      </c>
      <c r="B607" s="26" t="s">
        <v>79</v>
      </c>
      <c r="C607" s="14" t="n">
        <f aca="false">IF(A607="","",IFERROR(VLOOKUP(A607,'Recert Status'!$A$8:$C$400,3,FALSE()),""))</f>
        <v>46752</v>
      </c>
      <c r="D607" s="18" t="s">
        <v>913</v>
      </c>
      <c r="E607" s="26" t="n">
        <v>29784</v>
      </c>
      <c r="F607" s="27" t="n">
        <v>0.5</v>
      </c>
      <c r="G607" s="28" t="n">
        <v>46000</v>
      </c>
      <c r="H607" s="28" t="n">
        <v>46000</v>
      </c>
      <c r="I607" s="18" t="s">
        <v>1019</v>
      </c>
      <c r="J607" s="26" t="s">
        <v>435</v>
      </c>
      <c r="K607" s="18" t="s">
        <v>468</v>
      </c>
      <c r="L607" s="27" t="n">
        <v>0.5</v>
      </c>
      <c r="M607" s="35" t="s">
        <v>386</v>
      </c>
      <c r="N607" s="18" t="s">
        <v>387</v>
      </c>
      <c r="O607" s="27" t="n">
        <v>0.5</v>
      </c>
      <c r="P607" s="15" t="n">
        <f aca="false">IF(A607="","",IF(O607&lt;&gt;"",O607,IF(L607&lt;&gt;"",L607,F607)))</f>
        <v>0.5</v>
      </c>
    </row>
    <row r="608" customFormat="false" ht="15" hidden="false" customHeight="true" outlineLevel="0" collapsed="false">
      <c r="A608" s="30" t="s">
        <v>78</v>
      </c>
      <c r="B608" s="30" t="s">
        <v>79</v>
      </c>
      <c r="C608" s="21" t="n">
        <f aca="false">IF(A608="","",IFERROR(VLOOKUP(A608,'Recert Status'!$A$8:$C$400,3,FALSE()),""))</f>
        <v>46752</v>
      </c>
      <c r="D608" s="31" t="s">
        <v>474</v>
      </c>
      <c r="E608" s="30" t="s">
        <v>389</v>
      </c>
      <c r="F608" s="32" t="n">
        <v>1</v>
      </c>
      <c r="G608" s="33" t="n">
        <v>46204</v>
      </c>
      <c r="H608" s="33" t="n">
        <v>46204</v>
      </c>
      <c r="I608" s="31" t="s">
        <v>475</v>
      </c>
      <c r="J608" s="30" t="s">
        <v>389</v>
      </c>
      <c r="K608" s="31" t="s">
        <v>476</v>
      </c>
      <c r="L608" s="32" t="n">
        <v>1</v>
      </c>
      <c r="M608" s="35" t="s">
        <v>386</v>
      </c>
      <c r="N608" s="31" t="s">
        <v>387</v>
      </c>
      <c r="O608" s="32" t="n">
        <v>1</v>
      </c>
      <c r="P608" s="15" t="n">
        <f aca="false">IF(A608="","",IF(O608&lt;&gt;"",O608,IF(L608&lt;&gt;"",L608,F608)))</f>
        <v>1</v>
      </c>
    </row>
    <row r="609" customFormat="false" ht="15" hidden="false" customHeight="true" outlineLevel="0" collapsed="false">
      <c r="A609" s="26" t="s">
        <v>78</v>
      </c>
      <c r="B609" s="26" t="s">
        <v>79</v>
      </c>
      <c r="C609" s="14" t="n">
        <f aca="false">IF(A609="","",IFERROR(VLOOKUP(A609,'Recert Status'!$A$8:$C$400,3,FALSE()),""))</f>
        <v>46752</v>
      </c>
      <c r="D609" s="18" t="s">
        <v>717</v>
      </c>
      <c r="E609" s="26" t="s">
        <v>416</v>
      </c>
      <c r="F609" s="27" t="n">
        <v>1</v>
      </c>
      <c r="G609" s="28" t="n">
        <v>45826</v>
      </c>
      <c r="H609" s="28" t="n">
        <v>45826</v>
      </c>
      <c r="I609" s="18" t="s">
        <v>1020</v>
      </c>
      <c r="J609" s="26" t="s">
        <v>416</v>
      </c>
      <c r="K609" s="18" t="s">
        <v>1021</v>
      </c>
      <c r="L609" s="27" t="n">
        <v>1</v>
      </c>
      <c r="M609" s="39" t="s">
        <v>413</v>
      </c>
      <c r="N609" s="18" t="s">
        <v>414</v>
      </c>
      <c r="O609" s="27" t="n">
        <v>1</v>
      </c>
      <c r="P609" s="15" t="n">
        <f aca="false">IF(A609="","",IF(O609&lt;&gt;"",O609,IF(L609&lt;&gt;"",L609,F609)))</f>
        <v>1</v>
      </c>
    </row>
    <row r="610" customFormat="false" ht="15" hidden="false" customHeight="true" outlineLevel="0" collapsed="false">
      <c r="A610" s="30" t="s">
        <v>78</v>
      </c>
      <c r="B610" s="30" t="s">
        <v>79</v>
      </c>
      <c r="C610" s="21" t="n">
        <f aca="false">IF(A610="","",IFERROR(VLOOKUP(A610,'Recert Status'!$A$8:$C$400,3,FALSE()),""))</f>
        <v>46752</v>
      </c>
      <c r="D610" s="31" t="s">
        <v>414</v>
      </c>
      <c r="E610" s="30" t="s">
        <v>416</v>
      </c>
      <c r="F610" s="32" t="n">
        <v>2</v>
      </c>
      <c r="G610" s="33" t="n">
        <v>46219</v>
      </c>
      <c r="H610" s="33" t="n">
        <v>46219</v>
      </c>
      <c r="I610" s="31" t="s">
        <v>567</v>
      </c>
      <c r="J610" s="30" t="s">
        <v>416</v>
      </c>
      <c r="K610" s="31" t="s">
        <v>418</v>
      </c>
      <c r="L610" s="32" t="n">
        <v>2</v>
      </c>
      <c r="M610" s="39" t="s">
        <v>413</v>
      </c>
      <c r="N610" s="31" t="s">
        <v>414</v>
      </c>
      <c r="O610" s="32" t="n">
        <v>2</v>
      </c>
      <c r="P610" s="15" t="n">
        <f aca="false">IF(A610="","",IF(O610&lt;&gt;"",O610,IF(L610&lt;&gt;"",L610,F610)))</f>
        <v>2</v>
      </c>
    </row>
    <row r="611" customFormat="false" ht="15" hidden="false" customHeight="true" outlineLevel="0" collapsed="false">
      <c r="A611" s="26" t="s">
        <v>80</v>
      </c>
      <c r="B611" s="26" t="s">
        <v>81</v>
      </c>
      <c r="C611" s="14" t="n">
        <f aca="false">IF(A611="","",IFERROR(VLOOKUP(A611,'Recert Status'!$A$8:$C$400,3,FALSE()),""))</f>
        <v>46752</v>
      </c>
      <c r="D611" s="18" t="s">
        <v>362</v>
      </c>
      <c r="E611" s="26" t="s">
        <v>363</v>
      </c>
      <c r="F611" s="27" t="n">
        <v>1</v>
      </c>
      <c r="G611" s="28" t="n">
        <v>45912</v>
      </c>
      <c r="H611" s="28" t="n">
        <v>45912</v>
      </c>
      <c r="I611" s="18" t="s">
        <v>961</v>
      </c>
      <c r="J611" s="26" t="s">
        <v>363</v>
      </c>
      <c r="K611" s="18" t="s">
        <v>495</v>
      </c>
      <c r="L611" s="27" t="n">
        <v>1</v>
      </c>
      <c r="M611" s="29" t="s">
        <v>366</v>
      </c>
      <c r="N611" s="18" t="s">
        <v>367</v>
      </c>
      <c r="O611" s="27" t="n">
        <v>1</v>
      </c>
      <c r="P611" s="15" t="n">
        <f aca="false">IF(A611="","",IF(O611&lt;&gt;"",O611,IF(L611&lt;&gt;"",L611,F611)))</f>
        <v>1</v>
      </c>
    </row>
    <row r="612" customFormat="false" ht="15" hidden="false" customHeight="true" outlineLevel="0" collapsed="false">
      <c r="A612" s="30" t="s">
        <v>80</v>
      </c>
      <c r="B612" s="30" t="s">
        <v>81</v>
      </c>
      <c r="C612" s="21" t="n">
        <f aca="false">IF(A612="","",IFERROR(VLOOKUP(A612,'Recert Status'!$A$8:$C$400,3,FALSE()),""))</f>
        <v>46752</v>
      </c>
      <c r="D612" s="31" t="s">
        <v>632</v>
      </c>
      <c r="E612" s="30" t="n">
        <v>29675</v>
      </c>
      <c r="F612" s="32" t="n">
        <v>0.5</v>
      </c>
      <c r="G612" s="33" t="n">
        <v>45855</v>
      </c>
      <c r="H612" s="33" t="n">
        <v>45855</v>
      </c>
      <c r="I612" s="31" t="s">
        <v>633</v>
      </c>
      <c r="J612" s="30" t="s">
        <v>406</v>
      </c>
      <c r="K612" s="31" t="s">
        <v>422</v>
      </c>
      <c r="L612" s="32" t="n">
        <v>0.5</v>
      </c>
      <c r="M612" s="40" t="s">
        <v>423</v>
      </c>
      <c r="N612" s="31" t="s">
        <v>424</v>
      </c>
      <c r="O612" s="32" t="n">
        <v>0.5</v>
      </c>
      <c r="P612" s="15" t="n">
        <f aca="false">IF(A612="","",IF(O612&lt;&gt;"",O612,IF(L612&lt;&gt;"",L612,F612)))</f>
        <v>0.5</v>
      </c>
    </row>
    <row r="613" customFormat="false" ht="15" hidden="false" customHeight="true" outlineLevel="0" collapsed="false">
      <c r="A613" s="26" t="s">
        <v>80</v>
      </c>
      <c r="B613" s="26" t="s">
        <v>81</v>
      </c>
      <c r="C613" s="14" t="n">
        <f aca="false">IF(A613="","",IFERROR(VLOOKUP(A613,'Recert Status'!$A$8:$C$400,3,FALSE()),""))</f>
        <v>46752</v>
      </c>
      <c r="D613" s="18" t="s">
        <v>1022</v>
      </c>
      <c r="E613" s="26" t="s">
        <v>426</v>
      </c>
      <c r="F613" s="27" t="n">
        <v>0.5</v>
      </c>
      <c r="G613" s="28" t="n">
        <v>45810</v>
      </c>
      <c r="H613" s="28" t="n">
        <v>45810</v>
      </c>
      <c r="I613" s="18" t="s">
        <v>1023</v>
      </c>
      <c r="J613" s="26" t="s">
        <v>426</v>
      </c>
      <c r="K613" s="18" t="s">
        <v>428</v>
      </c>
      <c r="L613" s="27" t="n">
        <v>0.5</v>
      </c>
      <c r="M613" s="41" t="s">
        <v>429</v>
      </c>
      <c r="N613" s="18" t="s">
        <v>430</v>
      </c>
      <c r="O613" s="27" t="n">
        <v>0.5</v>
      </c>
      <c r="P613" s="15" t="n">
        <f aca="false">IF(A613="","",IF(O613&lt;&gt;"",O613,IF(L613&lt;&gt;"",L613,F613)))</f>
        <v>0.5</v>
      </c>
    </row>
    <row r="614" customFormat="false" ht="15" hidden="false" customHeight="true" outlineLevel="0" collapsed="false">
      <c r="A614" s="30" t="s">
        <v>80</v>
      </c>
      <c r="B614" s="30" t="s">
        <v>81</v>
      </c>
      <c r="C614" s="21" t="n">
        <f aca="false">IF(A614="","",IFERROR(VLOOKUP(A614,'Recert Status'!$A$8:$C$400,3,FALSE()),""))</f>
        <v>46752</v>
      </c>
      <c r="D614" s="31" t="s">
        <v>962</v>
      </c>
      <c r="E614" s="30" t="s">
        <v>426</v>
      </c>
      <c r="F614" s="32" t="n">
        <v>1</v>
      </c>
      <c r="G614" s="33" t="n">
        <v>45912</v>
      </c>
      <c r="H614" s="33" t="n">
        <v>45912</v>
      </c>
      <c r="I614" s="31" t="s">
        <v>961</v>
      </c>
      <c r="J614" s="30" t="s">
        <v>426</v>
      </c>
      <c r="K614" s="31" t="s">
        <v>495</v>
      </c>
      <c r="L614" s="32" t="n">
        <v>1</v>
      </c>
      <c r="M614" s="41" t="s">
        <v>429</v>
      </c>
      <c r="N614" s="31" t="s">
        <v>430</v>
      </c>
      <c r="O614" s="32" t="n">
        <v>1</v>
      </c>
      <c r="P614" s="15" t="n">
        <f aca="false">IF(A614="","",IF(O614&lt;&gt;"",O614,IF(L614&lt;&gt;"",L614,F614)))</f>
        <v>1</v>
      </c>
    </row>
    <row r="615" customFormat="false" ht="15" hidden="false" customHeight="true" outlineLevel="0" collapsed="false">
      <c r="A615" s="26" t="s">
        <v>80</v>
      </c>
      <c r="B615" s="26" t="s">
        <v>81</v>
      </c>
      <c r="C615" s="14" t="n">
        <f aca="false">IF(A615="","",IFERROR(VLOOKUP(A615,'Recert Status'!$A$8:$C$400,3,FALSE()),""))</f>
        <v>46752</v>
      </c>
      <c r="D615" s="18" t="s">
        <v>1024</v>
      </c>
      <c r="E615" s="26" t="n">
        <v>57433</v>
      </c>
      <c r="F615" s="27" t="n">
        <v>2</v>
      </c>
      <c r="G615" s="28" t="n">
        <v>45960</v>
      </c>
      <c r="H615" s="28" t="n">
        <v>45960</v>
      </c>
      <c r="I615" s="18" t="s">
        <v>1025</v>
      </c>
      <c r="J615" s="26" t="s">
        <v>421</v>
      </c>
      <c r="K615" s="18" t="s">
        <v>428</v>
      </c>
      <c r="L615" s="27" t="n">
        <v>2</v>
      </c>
      <c r="M615" s="41" t="s">
        <v>429</v>
      </c>
      <c r="N615" s="18" t="s">
        <v>430</v>
      </c>
      <c r="O615" s="27" t="n">
        <v>2</v>
      </c>
      <c r="P615" s="15" t="n">
        <f aca="false">IF(A615="","",IF(O615&lt;&gt;"",O615,IF(L615&lt;&gt;"",L615,F615)))</f>
        <v>2</v>
      </c>
    </row>
    <row r="616" customFormat="false" ht="15" hidden="false" customHeight="true" outlineLevel="0" collapsed="false">
      <c r="A616" s="30" t="s">
        <v>80</v>
      </c>
      <c r="B616" s="30" t="s">
        <v>81</v>
      </c>
      <c r="C616" s="21" t="n">
        <f aca="false">IF(A616="","",IFERROR(VLOOKUP(A616,'Recert Status'!$A$8:$C$400,3,FALSE()),""))</f>
        <v>46752</v>
      </c>
      <c r="D616" s="31" t="s">
        <v>508</v>
      </c>
      <c r="E616" s="30" t="s">
        <v>426</v>
      </c>
      <c r="F616" s="32" t="n">
        <v>1.5</v>
      </c>
      <c r="G616" s="33" t="n">
        <v>45973</v>
      </c>
      <c r="H616" s="33" t="n">
        <v>45973</v>
      </c>
      <c r="I616" s="31" t="s">
        <v>731</v>
      </c>
      <c r="J616" s="30" t="s">
        <v>426</v>
      </c>
      <c r="K616" s="31" t="s">
        <v>428</v>
      </c>
      <c r="L616" s="32" t="n">
        <v>1.5</v>
      </c>
      <c r="M616" s="41" t="s">
        <v>429</v>
      </c>
      <c r="N616" s="31" t="s">
        <v>430</v>
      </c>
      <c r="O616" s="32" t="n">
        <v>1.5</v>
      </c>
      <c r="P616" s="15" t="n">
        <f aca="false">IF(A616="","",IF(O616&lt;&gt;"",O616,IF(L616&lt;&gt;"",L616,F616)))</f>
        <v>1.5</v>
      </c>
    </row>
    <row r="617" customFormat="false" ht="15" hidden="false" customHeight="true" outlineLevel="0" collapsed="false">
      <c r="A617" s="26" t="s">
        <v>80</v>
      </c>
      <c r="B617" s="26" t="s">
        <v>81</v>
      </c>
      <c r="C617" s="14" t="n">
        <f aca="false">IF(A617="","",IFERROR(VLOOKUP(A617,'Recert Status'!$A$8:$C$400,3,FALSE()),""))</f>
        <v>46752</v>
      </c>
      <c r="D617" s="18" t="s">
        <v>371</v>
      </c>
      <c r="E617" s="26" t="s">
        <v>372</v>
      </c>
      <c r="F617" s="27" t="n">
        <v>0.5</v>
      </c>
      <c r="G617" s="28" t="n">
        <v>45771</v>
      </c>
      <c r="H617" s="28" t="n">
        <v>45771</v>
      </c>
      <c r="I617" s="18" t="s">
        <v>1026</v>
      </c>
      <c r="J617" s="26" t="s">
        <v>372</v>
      </c>
      <c r="K617" s="18" t="s">
        <v>374</v>
      </c>
      <c r="L617" s="27" t="n">
        <v>0.5</v>
      </c>
      <c r="M617" s="34" t="s">
        <v>375</v>
      </c>
      <c r="N617" s="18" t="s">
        <v>376</v>
      </c>
      <c r="O617" s="27" t="n">
        <v>0.5</v>
      </c>
      <c r="P617" s="15" t="n">
        <f aca="false">IF(A617="","",IF(O617&lt;&gt;"",O617,IF(L617&lt;&gt;"",L617,F617)))</f>
        <v>0.5</v>
      </c>
    </row>
    <row r="618" customFormat="false" ht="15" hidden="false" customHeight="true" outlineLevel="0" collapsed="false">
      <c r="A618" s="30" t="s">
        <v>80</v>
      </c>
      <c r="B618" s="30" t="s">
        <v>81</v>
      </c>
      <c r="C618" s="21" t="n">
        <f aca="false">IF(A618="","",IFERROR(VLOOKUP(A618,'Recert Status'!$A$8:$C$400,3,FALSE()),""))</f>
        <v>46752</v>
      </c>
      <c r="D618" s="31" t="s">
        <v>741</v>
      </c>
      <c r="E618" s="30" t="s">
        <v>389</v>
      </c>
      <c r="F618" s="32" t="n">
        <v>1</v>
      </c>
      <c r="G618" s="33" t="n">
        <v>45973</v>
      </c>
      <c r="H618" s="33" t="n">
        <v>45973</v>
      </c>
      <c r="I618" s="31" t="s">
        <v>731</v>
      </c>
      <c r="J618" s="30" t="s">
        <v>389</v>
      </c>
      <c r="K618" s="31" t="s">
        <v>509</v>
      </c>
      <c r="L618" s="32" t="n">
        <v>1</v>
      </c>
      <c r="M618" s="35" t="s">
        <v>386</v>
      </c>
      <c r="N618" s="31" t="s">
        <v>387</v>
      </c>
      <c r="O618" s="32" t="n">
        <v>1</v>
      </c>
      <c r="P618" s="15" t="n">
        <f aca="false">IF(A618="","",IF(O618&lt;&gt;"",O618,IF(L618&lt;&gt;"",L618,F618)))</f>
        <v>1</v>
      </c>
    </row>
    <row r="619" customFormat="false" ht="15" hidden="false" customHeight="true" outlineLevel="0" collapsed="false">
      <c r="A619" s="26" t="s">
        <v>80</v>
      </c>
      <c r="B619" s="26" t="s">
        <v>81</v>
      </c>
      <c r="C619" s="14" t="n">
        <f aca="false">IF(A619="","",IFERROR(VLOOKUP(A619,'Recert Status'!$A$8:$C$400,3,FALSE()),""))</f>
        <v>46752</v>
      </c>
      <c r="D619" s="18" t="s">
        <v>1027</v>
      </c>
      <c r="E619" s="26" t="s">
        <v>1028</v>
      </c>
      <c r="F619" s="27" t="n">
        <v>1</v>
      </c>
      <c r="G619" s="28" t="n">
        <v>45973</v>
      </c>
      <c r="H619" s="28" t="n">
        <v>45973</v>
      </c>
      <c r="I619" s="18" t="s">
        <v>1029</v>
      </c>
      <c r="J619" s="26" t="s">
        <v>1028</v>
      </c>
      <c r="K619" s="18" t="s">
        <v>766</v>
      </c>
      <c r="L619" s="27" t="n">
        <v>1</v>
      </c>
      <c r="M619" s="35" t="s">
        <v>386</v>
      </c>
      <c r="N619" s="18" t="s">
        <v>514</v>
      </c>
      <c r="O619" s="27" t="n">
        <v>1</v>
      </c>
      <c r="P619" s="15" t="n">
        <f aca="false">IF(A619="","",IF(O619&lt;&gt;"",O619,IF(L619&lt;&gt;"",L619,F619)))</f>
        <v>1</v>
      </c>
    </row>
    <row r="620" customFormat="false" ht="15" hidden="false" customHeight="true" outlineLevel="0" collapsed="false">
      <c r="A620" s="30" t="s">
        <v>80</v>
      </c>
      <c r="B620" s="30" t="s">
        <v>81</v>
      </c>
      <c r="C620" s="21" t="n">
        <f aca="false">IF(A620="","",IFERROR(VLOOKUP(A620,'Recert Status'!$A$8:$C$400,3,FALSE()),""))</f>
        <v>46752</v>
      </c>
      <c r="D620" s="31" t="s">
        <v>742</v>
      </c>
      <c r="E620" s="30" t="n">
        <v>29668</v>
      </c>
      <c r="F620" s="32" t="n">
        <v>1.5</v>
      </c>
      <c r="G620" s="33" t="n">
        <v>45973</v>
      </c>
      <c r="H620" s="33" t="n">
        <v>45973</v>
      </c>
      <c r="I620" s="31" t="s">
        <v>743</v>
      </c>
      <c r="J620" s="30" t="s">
        <v>511</v>
      </c>
      <c r="K620" s="31" t="s">
        <v>509</v>
      </c>
      <c r="L620" s="32" t="n">
        <v>1.5</v>
      </c>
      <c r="M620" s="35" t="s">
        <v>386</v>
      </c>
      <c r="N620" s="31" t="s">
        <v>387</v>
      </c>
      <c r="O620" s="32" t="n">
        <v>1.5</v>
      </c>
      <c r="P620" s="15" t="n">
        <f aca="false">IF(A620="","",IF(O620&lt;&gt;"",O620,IF(L620&lt;&gt;"",L620,F620)))</f>
        <v>1.5</v>
      </c>
    </row>
    <row r="621" customFormat="false" ht="15" hidden="false" customHeight="true" outlineLevel="0" collapsed="false">
      <c r="A621" s="26" t="s">
        <v>80</v>
      </c>
      <c r="B621" s="26" t="s">
        <v>81</v>
      </c>
      <c r="C621" s="14" t="n">
        <f aca="false">IF(A621="","",IFERROR(VLOOKUP(A621,'Recert Status'!$A$8:$C$400,3,FALSE()),""))</f>
        <v>46752</v>
      </c>
      <c r="D621" s="18" t="s">
        <v>682</v>
      </c>
      <c r="E621" s="26" t="n">
        <v>29675</v>
      </c>
      <c r="F621" s="27" t="n">
        <v>1</v>
      </c>
      <c r="G621" s="28" t="n">
        <v>45987</v>
      </c>
      <c r="H621" s="28" t="n">
        <v>45987</v>
      </c>
      <c r="I621" s="18" t="s">
        <v>683</v>
      </c>
      <c r="J621" s="26" t="s">
        <v>406</v>
      </c>
      <c r="K621" s="18" t="s">
        <v>446</v>
      </c>
      <c r="L621" s="27" t="n">
        <v>1</v>
      </c>
      <c r="M621" s="35" t="s">
        <v>386</v>
      </c>
      <c r="N621" s="18" t="s">
        <v>387</v>
      </c>
      <c r="O621" s="27" t="n">
        <v>1</v>
      </c>
      <c r="P621" s="15" t="n">
        <f aca="false">IF(A621="","",IF(O621&lt;&gt;"",O621,IF(L621&lt;&gt;"",L621,F621)))</f>
        <v>1</v>
      </c>
    </row>
    <row r="622" customFormat="false" ht="15" hidden="false" customHeight="true" outlineLevel="0" collapsed="false">
      <c r="A622" s="30" t="s">
        <v>80</v>
      </c>
      <c r="B622" s="30" t="s">
        <v>81</v>
      </c>
      <c r="C622" s="21" t="n">
        <f aca="false">IF(A622="","",IFERROR(VLOOKUP(A622,'Recert Status'!$A$8:$C$400,3,FALSE()),""))</f>
        <v>46752</v>
      </c>
      <c r="D622" s="31" t="s">
        <v>1030</v>
      </c>
      <c r="E622" s="30" t="s">
        <v>389</v>
      </c>
      <c r="F622" s="32" t="n">
        <v>2</v>
      </c>
      <c r="G622" s="33" t="n">
        <v>46071</v>
      </c>
      <c r="H622" s="33" t="n">
        <v>46071</v>
      </c>
      <c r="I622" s="31" t="s">
        <v>1031</v>
      </c>
      <c r="J622" s="30" t="s">
        <v>389</v>
      </c>
      <c r="K622" s="31" t="s">
        <v>395</v>
      </c>
      <c r="L622" s="32" t="n">
        <v>2</v>
      </c>
      <c r="M622" s="35" t="s">
        <v>386</v>
      </c>
      <c r="N622" s="31" t="s">
        <v>387</v>
      </c>
      <c r="O622" s="32" t="n">
        <v>2</v>
      </c>
      <c r="P622" s="15" t="n">
        <f aca="false">IF(A622="","",IF(O622&lt;&gt;"",O622,IF(L622&lt;&gt;"",L622,F622)))</f>
        <v>2</v>
      </c>
    </row>
    <row r="623" customFormat="false" ht="15" hidden="false" customHeight="true" outlineLevel="0" collapsed="false">
      <c r="A623" s="26" t="s">
        <v>80</v>
      </c>
      <c r="B623" s="26" t="s">
        <v>81</v>
      </c>
      <c r="C623" s="14" t="n">
        <f aca="false">IF(A623="","",IFERROR(VLOOKUP(A623,'Recert Status'!$A$8:$C$400,3,FALSE()),""))</f>
        <v>46752</v>
      </c>
      <c r="D623" s="18" t="s">
        <v>387</v>
      </c>
      <c r="E623" s="26" t="s">
        <v>389</v>
      </c>
      <c r="F623" s="27" t="n">
        <v>1</v>
      </c>
      <c r="G623" s="28" t="n">
        <v>46233</v>
      </c>
      <c r="H623" s="28" t="n">
        <v>46233</v>
      </c>
      <c r="I623" s="18" t="s">
        <v>1032</v>
      </c>
      <c r="J623" s="26" t="s">
        <v>389</v>
      </c>
      <c r="K623" s="18" t="s">
        <v>468</v>
      </c>
      <c r="L623" s="27" t="n">
        <v>1</v>
      </c>
      <c r="M623" s="35" t="s">
        <v>386</v>
      </c>
      <c r="N623" s="18" t="s">
        <v>387</v>
      </c>
      <c r="O623" s="27" t="n">
        <v>1</v>
      </c>
      <c r="P623" s="15" t="n">
        <f aca="false">IF(A623="","",IF(O623&lt;&gt;"",O623,IF(L623&lt;&gt;"",L623,F623)))</f>
        <v>1</v>
      </c>
    </row>
    <row r="624" customFormat="false" ht="15" hidden="false" customHeight="true" outlineLevel="0" collapsed="false">
      <c r="A624" s="30" t="s">
        <v>80</v>
      </c>
      <c r="B624" s="30" t="s">
        <v>81</v>
      </c>
      <c r="C624" s="21" t="n">
        <f aca="false">IF(A624="","",IFERROR(VLOOKUP(A624,'Recert Status'!$A$8:$C$400,3,FALSE()),""))</f>
        <v>46752</v>
      </c>
      <c r="D624" s="31" t="s">
        <v>744</v>
      </c>
      <c r="E624" s="30" t="s">
        <v>452</v>
      </c>
      <c r="F624" s="32" t="n">
        <v>4</v>
      </c>
      <c r="G624" s="33" t="n">
        <v>45973</v>
      </c>
      <c r="H624" s="33" t="n">
        <v>45973</v>
      </c>
      <c r="I624" s="31" t="s">
        <v>731</v>
      </c>
      <c r="J624" s="30" t="s">
        <v>452</v>
      </c>
      <c r="K624" s="31" t="s">
        <v>385</v>
      </c>
      <c r="L624" s="32" t="n">
        <v>4</v>
      </c>
      <c r="M624" s="36" t="s">
        <v>396</v>
      </c>
      <c r="N624" s="31" t="s">
        <v>397</v>
      </c>
      <c r="O624" s="32" t="n">
        <v>4</v>
      </c>
      <c r="P624" s="15" t="n">
        <f aca="false">IF(A624="","",IF(O624&lt;&gt;"",O624,IF(L624&lt;&gt;"",L624,F624)))</f>
        <v>4</v>
      </c>
    </row>
    <row r="625" customFormat="false" ht="15" hidden="false" customHeight="true" outlineLevel="0" collapsed="false">
      <c r="A625" s="26" t="s">
        <v>80</v>
      </c>
      <c r="B625" s="26" t="s">
        <v>81</v>
      </c>
      <c r="C625" s="14" t="n">
        <f aca="false">IF(A625="","",IFERROR(VLOOKUP(A625,'Recert Status'!$A$8:$C$400,3,FALSE()),""))</f>
        <v>46752</v>
      </c>
      <c r="D625" s="18" t="s">
        <v>397</v>
      </c>
      <c r="E625" s="26" t="s">
        <v>452</v>
      </c>
      <c r="F625" s="27" t="n">
        <v>1</v>
      </c>
      <c r="G625" s="28" t="n">
        <v>46245</v>
      </c>
      <c r="H625" s="28" t="n">
        <v>46245</v>
      </c>
      <c r="I625" s="18" t="s">
        <v>605</v>
      </c>
      <c r="J625" s="26" t="s">
        <v>452</v>
      </c>
      <c r="K625" s="18" t="s">
        <v>385</v>
      </c>
      <c r="L625" s="27" t="n">
        <v>1</v>
      </c>
      <c r="M625" s="36" t="s">
        <v>396</v>
      </c>
      <c r="N625" s="18" t="s">
        <v>397</v>
      </c>
      <c r="O625" s="27" t="n">
        <v>1</v>
      </c>
      <c r="P625" s="15" t="n">
        <f aca="false">IF(A625="","",IF(O625&lt;&gt;"",O625,IF(L625&lt;&gt;"",L625,F625)))</f>
        <v>1</v>
      </c>
    </row>
    <row r="626" customFormat="false" ht="15" hidden="false" customHeight="true" outlineLevel="0" collapsed="false">
      <c r="A626" s="30" t="s">
        <v>80</v>
      </c>
      <c r="B626" s="30" t="s">
        <v>81</v>
      </c>
      <c r="C626" s="21" t="n">
        <f aca="false">IF(A626="","",IFERROR(VLOOKUP(A626,'Recert Status'!$A$8:$C$400,3,FALSE()),""))</f>
        <v>46752</v>
      </c>
      <c r="D626" s="31" t="s">
        <v>1033</v>
      </c>
      <c r="E626" s="30" t="s">
        <v>399</v>
      </c>
      <c r="F626" s="32" t="n">
        <v>1</v>
      </c>
      <c r="G626" s="33" t="n">
        <v>45663</v>
      </c>
      <c r="H626" s="33" t="n">
        <v>45663</v>
      </c>
      <c r="I626" s="31" t="s">
        <v>1034</v>
      </c>
      <c r="J626" s="30" t="s">
        <v>399</v>
      </c>
      <c r="K626" s="31" t="s">
        <v>401</v>
      </c>
      <c r="L626" s="32" t="n">
        <v>1</v>
      </c>
      <c r="M626" s="37" t="s">
        <v>402</v>
      </c>
      <c r="N626" s="31" t="s">
        <v>403</v>
      </c>
      <c r="O626" s="32" t="n">
        <v>1</v>
      </c>
      <c r="P626" s="15" t="n">
        <f aca="false">IF(A626="","",IF(O626&lt;&gt;"",O626,IF(L626&lt;&gt;"",L626,F626)))</f>
        <v>1</v>
      </c>
    </row>
    <row r="627" customFormat="false" ht="15" hidden="false" customHeight="true" outlineLevel="0" collapsed="false">
      <c r="A627" s="26" t="s">
        <v>80</v>
      </c>
      <c r="B627" s="26" t="s">
        <v>81</v>
      </c>
      <c r="C627" s="14" t="n">
        <f aca="false">IF(A627="","",IFERROR(VLOOKUP(A627,'Recert Status'!$A$8:$C$400,3,FALSE()),""))</f>
        <v>46752</v>
      </c>
      <c r="D627" s="18" t="s">
        <v>670</v>
      </c>
      <c r="E627" s="26" t="s">
        <v>416</v>
      </c>
      <c r="F627" s="27" t="n">
        <v>2</v>
      </c>
      <c r="G627" s="28" t="n">
        <v>45861</v>
      </c>
      <c r="H627" s="28" t="n">
        <v>45861</v>
      </c>
      <c r="I627" s="18" t="s">
        <v>671</v>
      </c>
      <c r="J627" s="26" t="s">
        <v>416</v>
      </c>
      <c r="K627" s="18" t="s">
        <v>418</v>
      </c>
      <c r="L627" s="27" t="n">
        <v>2</v>
      </c>
      <c r="M627" s="39" t="s">
        <v>413</v>
      </c>
      <c r="N627" s="18" t="s">
        <v>514</v>
      </c>
      <c r="O627" s="27" t="n">
        <v>2</v>
      </c>
      <c r="P627" s="15" t="n">
        <f aca="false">IF(A627="","",IF(O627&lt;&gt;"",O627,IF(L627&lt;&gt;"",L627,F627)))</f>
        <v>2</v>
      </c>
    </row>
    <row r="628" customFormat="false" ht="15" hidden="false" customHeight="true" outlineLevel="0" collapsed="false">
      <c r="A628" s="30" t="s">
        <v>80</v>
      </c>
      <c r="B628" s="30" t="s">
        <v>81</v>
      </c>
      <c r="C628" s="21" t="n">
        <f aca="false">IF(A628="","",IFERROR(VLOOKUP(A628,'Recert Status'!$A$8:$C$400,3,FALSE()),""))</f>
        <v>46752</v>
      </c>
      <c r="D628" s="31" t="s">
        <v>672</v>
      </c>
      <c r="E628" s="30" t="s">
        <v>416</v>
      </c>
      <c r="F628" s="32" t="n">
        <v>1</v>
      </c>
      <c r="G628" s="33" t="n">
        <v>45933</v>
      </c>
      <c r="H628" s="33" t="n">
        <v>45933</v>
      </c>
      <c r="I628" s="31" t="s">
        <v>673</v>
      </c>
      <c r="J628" s="30" t="s">
        <v>416</v>
      </c>
      <c r="K628" s="31" t="s">
        <v>674</v>
      </c>
      <c r="L628" s="32" t="n">
        <v>1</v>
      </c>
      <c r="M628" s="39" t="s">
        <v>413</v>
      </c>
      <c r="N628" s="31" t="s">
        <v>414</v>
      </c>
      <c r="O628" s="32" t="n">
        <v>1</v>
      </c>
      <c r="P628" s="15" t="n">
        <f aca="false">IF(A628="","",IF(O628&lt;&gt;"",O628,IF(L628&lt;&gt;"",L628,F628)))</f>
        <v>1</v>
      </c>
    </row>
    <row r="629" customFormat="false" ht="15" hidden="false" customHeight="true" outlineLevel="0" collapsed="false">
      <c r="A629" s="26" t="s">
        <v>80</v>
      </c>
      <c r="B629" s="26" t="s">
        <v>81</v>
      </c>
      <c r="C629" s="14" t="n">
        <f aca="false">IF(A629="","",IFERROR(VLOOKUP(A629,'Recert Status'!$A$8:$C$400,3,FALSE()),""))</f>
        <v>46752</v>
      </c>
      <c r="D629" s="18" t="s">
        <v>414</v>
      </c>
      <c r="E629" s="26" t="s">
        <v>416</v>
      </c>
      <c r="F629" s="27" t="n">
        <v>2</v>
      </c>
      <c r="G629" s="28" t="n">
        <v>46218</v>
      </c>
      <c r="H629" s="28" t="n">
        <v>46218</v>
      </c>
      <c r="I629" s="18" t="s">
        <v>535</v>
      </c>
      <c r="J629" s="26" t="s">
        <v>416</v>
      </c>
      <c r="K629" s="18" t="s">
        <v>418</v>
      </c>
      <c r="L629" s="27" t="n">
        <v>2</v>
      </c>
      <c r="M629" s="39" t="s">
        <v>413</v>
      </c>
      <c r="N629" s="18" t="s">
        <v>414</v>
      </c>
      <c r="O629" s="27" t="n">
        <v>2</v>
      </c>
      <c r="P629" s="15" t="n">
        <f aca="false">IF(A629="","",IF(O629&lt;&gt;"",O629,IF(L629&lt;&gt;"",L629,F629)))</f>
        <v>2</v>
      </c>
    </row>
    <row r="630" customFormat="false" ht="15" hidden="false" customHeight="true" outlineLevel="0" collapsed="false">
      <c r="A630" s="30" t="s">
        <v>82</v>
      </c>
      <c r="B630" s="30" t="s">
        <v>83</v>
      </c>
      <c r="C630" s="21" t="n">
        <f aca="false">IF(A630="","",IFERROR(VLOOKUP(A630,'Recert Status'!$A$8:$C$400,3,FALSE()),""))</f>
        <v>46752</v>
      </c>
      <c r="D630" s="31" t="s">
        <v>367</v>
      </c>
      <c r="E630" s="30" t="s">
        <v>363</v>
      </c>
      <c r="F630" s="32" t="n">
        <v>1</v>
      </c>
      <c r="G630" s="33" t="n">
        <v>46224</v>
      </c>
      <c r="H630" s="33" t="n">
        <v>46224</v>
      </c>
      <c r="I630" s="31" t="s">
        <v>1035</v>
      </c>
      <c r="J630" s="30" t="s">
        <v>363</v>
      </c>
      <c r="K630" s="31" t="s">
        <v>1036</v>
      </c>
      <c r="L630" s="32" t="n">
        <v>1</v>
      </c>
      <c r="M630" s="29" t="s">
        <v>366</v>
      </c>
      <c r="N630" s="31" t="s">
        <v>367</v>
      </c>
      <c r="O630" s="32" t="n">
        <v>1</v>
      </c>
      <c r="P630" s="15" t="n">
        <f aca="false">IF(A630="","",IF(O630&lt;&gt;"",O630,IF(L630&lt;&gt;"",L630,F630)))</f>
        <v>1</v>
      </c>
    </row>
    <row r="631" customFormat="false" ht="15" hidden="false" customHeight="true" outlineLevel="0" collapsed="false">
      <c r="A631" s="26" t="s">
        <v>82</v>
      </c>
      <c r="B631" s="26" t="s">
        <v>83</v>
      </c>
      <c r="C631" s="14" t="n">
        <f aca="false">IF(A631="","",IFERROR(VLOOKUP(A631,'Recert Status'!$A$8:$C$400,3,FALSE()),""))</f>
        <v>46752</v>
      </c>
      <c r="D631" s="18" t="s">
        <v>496</v>
      </c>
      <c r="E631" s="26" t="s">
        <v>542</v>
      </c>
      <c r="F631" s="27" t="n">
        <v>4</v>
      </c>
      <c r="G631" s="28" t="n">
        <v>45961</v>
      </c>
      <c r="H631" s="28" t="n">
        <v>45961</v>
      </c>
      <c r="I631" s="18" t="s">
        <v>587</v>
      </c>
      <c r="J631" s="26" t="s">
        <v>542</v>
      </c>
      <c r="K631" s="18" t="s">
        <v>422</v>
      </c>
      <c r="L631" s="27" t="n">
        <v>4</v>
      </c>
      <c r="M631" s="40" t="s">
        <v>423</v>
      </c>
      <c r="N631" s="18" t="s">
        <v>424</v>
      </c>
      <c r="O631" s="27" t="n">
        <v>4</v>
      </c>
      <c r="P631" s="15" t="n">
        <f aca="false">IF(A631="","",IF(O631&lt;&gt;"",O631,IF(L631&lt;&gt;"",L631,F631)))</f>
        <v>4</v>
      </c>
    </row>
    <row r="632" customFormat="false" ht="15" hidden="false" customHeight="true" outlineLevel="0" collapsed="false">
      <c r="A632" s="30" t="s">
        <v>82</v>
      </c>
      <c r="B632" s="30" t="s">
        <v>83</v>
      </c>
      <c r="C632" s="21" t="n">
        <f aca="false">IF(A632="","",IFERROR(VLOOKUP(A632,'Recert Status'!$A$8:$C$400,3,FALSE()),""))</f>
        <v>46752</v>
      </c>
      <c r="D632" s="31" t="s">
        <v>430</v>
      </c>
      <c r="E632" s="30" t="s">
        <v>426</v>
      </c>
      <c r="F632" s="32" t="n">
        <v>1</v>
      </c>
      <c r="G632" s="33" t="n">
        <v>46224</v>
      </c>
      <c r="H632" s="33" t="n">
        <v>46224</v>
      </c>
      <c r="I632" s="31" t="s">
        <v>1037</v>
      </c>
      <c r="J632" s="30" t="s">
        <v>426</v>
      </c>
      <c r="K632" s="31" t="s">
        <v>428</v>
      </c>
      <c r="L632" s="32" t="n">
        <v>1</v>
      </c>
      <c r="M632" s="41" t="s">
        <v>429</v>
      </c>
      <c r="N632" s="31" t="s">
        <v>430</v>
      </c>
      <c r="O632" s="32" t="n">
        <v>1</v>
      </c>
      <c r="P632" s="15" t="n">
        <f aca="false">IF(A632="","",IF(O632&lt;&gt;"",O632,IF(L632&lt;&gt;"",L632,F632)))</f>
        <v>1</v>
      </c>
    </row>
    <row r="633" customFormat="false" ht="15" hidden="false" customHeight="true" outlineLevel="0" collapsed="false">
      <c r="A633" s="26" t="s">
        <v>82</v>
      </c>
      <c r="B633" s="26" t="s">
        <v>83</v>
      </c>
      <c r="C633" s="14" t="n">
        <f aca="false">IF(A633="","",IFERROR(VLOOKUP(A633,'Recert Status'!$A$8:$C$400,3,FALSE()),""))</f>
        <v>46752</v>
      </c>
      <c r="D633" s="18" t="s">
        <v>387</v>
      </c>
      <c r="E633" s="26" t="s">
        <v>389</v>
      </c>
      <c r="F633" s="27" t="n">
        <v>1</v>
      </c>
      <c r="G633" s="28" t="n">
        <v>46209</v>
      </c>
      <c r="H633" s="28" t="n">
        <v>46209</v>
      </c>
      <c r="I633" s="18" t="s">
        <v>1038</v>
      </c>
      <c r="J633" s="26" t="s">
        <v>389</v>
      </c>
      <c r="K633" s="18" t="s">
        <v>451</v>
      </c>
      <c r="L633" s="27" t="n">
        <v>1</v>
      </c>
      <c r="M633" s="35" t="s">
        <v>386</v>
      </c>
      <c r="N633" s="18" t="s">
        <v>387</v>
      </c>
      <c r="O633" s="27" t="n">
        <v>1</v>
      </c>
      <c r="P633" s="15" t="n">
        <f aca="false">IF(A633="","",IF(O633&lt;&gt;"",O633,IF(L633&lt;&gt;"",L633,F633)))</f>
        <v>1</v>
      </c>
    </row>
    <row r="634" customFormat="false" ht="15" hidden="false" customHeight="true" outlineLevel="0" collapsed="false">
      <c r="A634" s="30" t="s">
        <v>82</v>
      </c>
      <c r="B634" s="30" t="s">
        <v>83</v>
      </c>
      <c r="C634" s="21" t="n">
        <f aca="false">IF(A634="","",IFERROR(VLOOKUP(A634,'Recert Status'!$A$8:$C$400,3,FALSE()),""))</f>
        <v>46752</v>
      </c>
      <c r="D634" s="31" t="s">
        <v>387</v>
      </c>
      <c r="E634" s="30" t="s">
        <v>389</v>
      </c>
      <c r="F634" s="32" t="n">
        <v>1</v>
      </c>
      <c r="G634" s="33" t="n">
        <v>46224</v>
      </c>
      <c r="H634" s="33" t="n">
        <v>46224</v>
      </c>
      <c r="I634" s="31" t="s">
        <v>1039</v>
      </c>
      <c r="J634" s="30" t="s">
        <v>389</v>
      </c>
      <c r="K634" s="31" t="s">
        <v>1040</v>
      </c>
      <c r="L634" s="32" t="n">
        <v>1</v>
      </c>
      <c r="M634" s="35" t="s">
        <v>386</v>
      </c>
      <c r="N634" s="31" t="s">
        <v>387</v>
      </c>
      <c r="O634" s="32" t="n">
        <v>1</v>
      </c>
      <c r="P634" s="15" t="n">
        <f aca="false">IF(A634="","",IF(O634&lt;&gt;"",O634,IF(L634&lt;&gt;"",L634,F634)))</f>
        <v>1</v>
      </c>
    </row>
    <row r="635" customFormat="false" ht="15" hidden="false" customHeight="true" outlineLevel="0" collapsed="false">
      <c r="A635" s="26" t="s">
        <v>82</v>
      </c>
      <c r="B635" s="26" t="s">
        <v>83</v>
      </c>
      <c r="C635" s="14" t="n">
        <f aca="false">IF(A635="","",IFERROR(VLOOKUP(A635,'Recert Status'!$A$8:$C$400,3,FALSE()),""))</f>
        <v>46752</v>
      </c>
      <c r="D635" s="18" t="s">
        <v>387</v>
      </c>
      <c r="E635" s="26" t="s">
        <v>389</v>
      </c>
      <c r="F635" s="27" t="n">
        <v>1</v>
      </c>
      <c r="G635" s="28" t="n">
        <v>46233</v>
      </c>
      <c r="H635" s="28" t="n">
        <v>46233</v>
      </c>
      <c r="I635" s="18" t="s">
        <v>1032</v>
      </c>
      <c r="J635" s="26" t="s">
        <v>389</v>
      </c>
      <c r="K635" s="18" t="s">
        <v>468</v>
      </c>
      <c r="L635" s="27" t="n">
        <v>1</v>
      </c>
      <c r="M635" s="35" t="s">
        <v>386</v>
      </c>
      <c r="N635" s="18" t="s">
        <v>387</v>
      </c>
      <c r="O635" s="27" t="n">
        <v>1</v>
      </c>
      <c r="P635" s="15" t="n">
        <f aca="false">IF(A635="","",IF(O635&lt;&gt;"",O635,IF(L635&lt;&gt;"",L635,F635)))</f>
        <v>1</v>
      </c>
    </row>
    <row r="636" customFormat="false" ht="15" hidden="false" customHeight="true" outlineLevel="0" collapsed="false">
      <c r="A636" s="30" t="s">
        <v>82</v>
      </c>
      <c r="B636" s="30" t="s">
        <v>83</v>
      </c>
      <c r="C636" s="21" t="n">
        <f aca="false">IF(A636="","",IFERROR(VLOOKUP(A636,'Recert Status'!$A$8:$C$400,3,FALSE()),""))</f>
        <v>46752</v>
      </c>
      <c r="D636" s="31" t="s">
        <v>597</v>
      </c>
      <c r="E636" s="30" t="n">
        <v>29735</v>
      </c>
      <c r="F636" s="32" t="n">
        <v>4</v>
      </c>
      <c r="G636" s="33" t="n">
        <v>45961</v>
      </c>
      <c r="H636" s="33" t="n">
        <v>45961</v>
      </c>
      <c r="I636" s="31" t="s">
        <v>598</v>
      </c>
      <c r="J636" s="30" t="s">
        <v>599</v>
      </c>
      <c r="K636" s="31" t="s">
        <v>600</v>
      </c>
      <c r="L636" s="32" t="n">
        <v>4</v>
      </c>
      <c r="M636" s="36" t="s">
        <v>396</v>
      </c>
      <c r="N636" s="31" t="s">
        <v>397</v>
      </c>
      <c r="O636" s="32" t="n">
        <v>4</v>
      </c>
      <c r="P636" s="15" t="n">
        <f aca="false">IF(A636="","",IF(O636&lt;&gt;"",O636,IF(L636&lt;&gt;"",L636,F636)))</f>
        <v>4</v>
      </c>
    </row>
    <row r="637" customFormat="false" ht="15" hidden="false" customHeight="true" outlineLevel="0" collapsed="false">
      <c r="A637" s="26" t="s">
        <v>82</v>
      </c>
      <c r="B637" s="26" t="s">
        <v>83</v>
      </c>
      <c r="C637" s="14" t="n">
        <f aca="false">IF(A637="","",IFERROR(VLOOKUP(A637,'Recert Status'!$A$8:$C$400,3,FALSE()),""))</f>
        <v>46752</v>
      </c>
      <c r="D637" s="18" t="s">
        <v>397</v>
      </c>
      <c r="E637" s="26" t="s">
        <v>452</v>
      </c>
      <c r="F637" s="27" t="n">
        <v>1</v>
      </c>
      <c r="G637" s="28" t="n">
        <v>46245</v>
      </c>
      <c r="H637" s="28" t="n">
        <v>46245</v>
      </c>
      <c r="I637" s="18" t="s">
        <v>605</v>
      </c>
      <c r="J637" s="26" t="s">
        <v>452</v>
      </c>
      <c r="K637" s="18" t="s">
        <v>385</v>
      </c>
      <c r="L637" s="27" t="n">
        <v>1</v>
      </c>
      <c r="M637" s="36" t="s">
        <v>396</v>
      </c>
      <c r="N637" s="18" t="s">
        <v>397</v>
      </c>
      <c r="O637" s="27" t="n">
        <v>1</v>
      </c>
      <c r="P637" s="15" t="n">
        <f aca="false">IF(A637="","",IF(O637&lt;&gt;"",O637,IF(L637&lt;&gt;"",L637,F637)))</f>
        <v>1</v>
      </c>
    </row>
    <row r="638" customFormat="false" ht="15" hidden="false" customHeight="true" outlineLevel="0" collapsed="false">
      <c r="A638" s="30" t="s">
        <v>82</v>
      </c>
      <c r="B638" s="30" t="s">
        <v>83</v>
      </c>
      <c r="C638" s="21" t="n">
        <f aca="false">IF(A638="","",IFERROR(VLOOKUP(A638,'Recert Status'!$A$8:$C$400,3,FALSE()),""))</f>
        <v>46752</v>
      </c>
      <c r="D638" s="31" t="s">
        <v>488</v>
      </c>
      <c r="E638" s="30" t="s">
        <v>416</v>
      </c>
      <c r="F638" s="32" t="n">
        <v>1</v>
      </c>
      <c r="G638" s="33" t="n">
        <v>46125</v>
      </c>
      <c r="H638" s="33" t="n">
        <v>46125</v>
      </c>
      <c r="I638" s="31" t="s">
        <v>608</v>
      </c>
      <c r="J638" s="30" t="s">
        <v>416</v>
      </c>
      <c r="K638" s="31" t="s">
        <v>490</v>
      </c>
      <c r="L638" s="32" t="n">
        <v>1</v>
      </c>
      <c r="M638" s="39" t="s">
        <v>413</v>
      </c>
      <c r="N638" s="31" t="s">
        <v>414</v>
      </c>
      <c r="O638" s="32" t="n">
        <v>1</v>
      </c>
      <c r="P638" s="15" t="n">
        <f aca="false">IF(A638="","",IF(O638&lt;&gt;"",O638,IF(L638&lt;&gt;"",L638,F638)))</f>
        <v>1</v>
      </c>
    </row>
    <row r="639" customFormat="false" ht="15" hidden="false" customHeight="true" outlineLevel="0" collapsed="false">
      <c r="A639" s="26" t="s">
        <v>82</v>
      </c>
      <c r="B639" s="26" t="s">
        <v>83</v>
      </c>
      <c r="C639" s="14" t="n">
        <f aca="false">IF(A639="","",IFERROR(VLOOKUP(A639,'Recert Status'!$A$8:$C$400,3,FALSE()),""))</f>
        <v>46752</v>
      </c>
      <c r="D639" s="18" t="s">
        <v>414</v>
      </c>
      <c r="E639" s="26" t="s">
        <v>416</v>
      </c>
      <c r="F639" s="27" t="n">
        <v>2</v>
      </c>
      <c r="G639" s="28" t="n">
        <v>46218</v>
      </c>
      <c r="H639" s="28" t="n">
        <v>46218</v>
      </c>
      <c r="I639" s="18" t="s">
        <v>535</v>
      </c>
      <c r="J639" s="26" t="s">
        <v>416</v>
      </c>
      <c r="K639" s="18" t="s">
        <v>418</v>
      </c>
      <c r="L639" s="27" t="n">
        <v>2</v>
      </c>
      <c r="M639" s="39" t="s">
        <v>413</v>
      </c>
      <c r="N639" s="18" t="s">
        <v>414</v>
      </c>
      <c r="O639" s="27" t="n">
        <v>2</v>
      </c>
      <c r="P639" s="15" t="n">
        <f aca="false">IF(A639="","",IF(O639&lt;&gt;"",O639,IF(L639&lt;&gt;"",L639,F639)))</f>
        <v>2</v>
      </c>
    </row>
    <row r="640" customFormat="false" ht="15" hidden="false" customHeight="true" outlineLevel="0" collapsed="false">
      <c r="A640" s="30" t="s">
        <v>84</v>
      </c>
      <c r="B640" s="30"/>
      <c r="C640" s="21" t="n">
        <f aca="false">IF(A640="","",IFERROR(VLOOKUP(A640,'Recert Status'!$A$8:$C$400,3,FALSE()),""))</f>
        <v>0</v>
      </c>
      <c r="D640" s="31" t="s">
        <v>753</v>
      </c>
      <c r="E640" s="30" t="s">
        <v>363</v>
      </c>
      <c r="F640" s="32" t="n">
        <v>0.5</v>
      </c>
      <c r="G640" s="33" t="n">
        <v>45694</v>
      </c>
      <c r="H640" s="33" t="n">
        <v>45694</v>
      </c>
      <c r="I640" s="31" t="s">
        <v>754</v>
      </c>
      <c r="J640" s="30" t="s">
        <v>363</v>
      </c>
      <c r="K640" s="31" t="s">
        <v>370</v>
      </c>
      <c r="L640" s="32" t="n">
        <v>0.5</v>
      </c>
      <c r="M640" s="29" t="s">
        <v>366</v>
      </c>
      <c r="N640" s="31" t="s">
        <v>367</v>
      </c>
      <c r="O640" s="32" t="n">
        <v>0.5</v>
      </c>
      <c r="P640" s="15" t="n">
        <f aca="false">IF(A640="","",IF(O640&lt;&gt;"",O640,IF(L640&lt;&gt;"",L640,F640)))</f>
        <v>0.5</v>
      </c>
    </row>
    <row r="641" customFormat="false" ht="15" hidden="false" customHeight="true" outlineLevel="0" collapsed="false">
      <c r="A641" s="26" t="s">
        <v>84</v>
      </c>
      <c r="B641" s="26"/>
      <c r="C641" s="14" t="n">
        <f aca="false">IF(A641="","",IFERROR(VLOOKUP(A641,'Recert Status'!$A$8:$C$400,3,FALSE()),""))</f>
        <v>0</v>
      </c>
      <c r="D641" s="18" t="s">
        <v>753</v>
      </c>
      <c r="E641" s="26" t="s">
        <v>363</v>
      </c>
      <c r="F641" s="27" t="n">
        <v>0.5</v>
      </c>
      <c r="G641" s="28" t="n">
        <v>45742</v>
      </c>
      <c r="H641" s="28" t="n">
        <v>45742</v>
      </c>
      <c r="I641" s="18" t="s">
        <v>755</v>
      </c>
      <c r="J641" s="26" t="s">
        <v>363</v>
      </c>
      <c r="K641" s="18" t="s">
        <v>370</v>
      </c>
      <c r="L641" s="27" t="n">
        <v>0.5</v>
      </c>
      <c r="M641" s="29" t="s">
        <v>366</v>
      </c>
      <c r="N641" s="18" t="s">
        <v>367</v>
      </c>
      <c r="O641" s="27" t="n">
        <v>0.5</v>
      </c>
      <c r="P641" s="15" t="n">
        <f aca="false">IF(A641="","",IF(O641&lt;&gt;"",O641,IF(L641&lt;&gt;"",L641,F641)))</f>
        <v>0.5</v>
      </c>
    </row>
    <row r="642" customFormat="false" ht="15" hidden="false" customHeight="true" outlineLevel="0" collapsed="false">
      <c r="A642" s="30" t="s">
        <v>84</v>
      </c>
      <c r="B642" s="30"/>
      <c r="C642" s="21" t="n">
        <f aca="false">IF(A642="","",IFERROR(VLOOKUP(A642,'Recert Status'!$A$8:$C$400,3,FALSE()),""))</f>
        <v>0</v>
      </c>
      <c r="D642" s="31" t="s">
        <v>753</v>
      </c>
      <c r="E642" s="30" t="s">
        <v>363</v>
      </c>
      <c r="F642" s="32" t="n">
        <v>2</v>
      </c>
      <c r="G642" s="33" t="n">
        <v>46069</v>
      </c>
      <c r="H642" s="33" t="n">
        <v>46069</v>
      </c>
      <c r="I642" s="31" t="s">
        <v>1041</v>
      </c>
      <c r="J642" s="30" t="s">
        <v>363</v>
      </c>
      <c r="K642" s="31" t="s">
        <v>1036</v>
      </c>
      <c r="L642" s="32" t="n">
        <v>2</v>
      </c>
      <c r="M642" s="29" t="s">
        <v>366</v>
      </c>
      <c r="N642" s="31" t="s">
        <v>367</v>
      </c>
      <c r="O642" s="32" t="n">
        <v>2</v>
      </c>
      <c r="P642" s="15" t="n">
        <f aca="false">IF(A642="","",IF(O642&lt;&gt;"",O642,IF(L642&lt;&gt;"",L642,F642)))</f>
        <v>2</v>
      </c>
    </row>
    <row r="643" customFormat="false" ht="15" hidden="false" customHeight="true" outlineLevel="0" collapsed="false">
      <c r="A643" s="26" t="s">
        <v>84</v>
      </c>
      <c r="B643" s="26"/>
      <c r="C643" s="14" t="n">
        <f aca="false">IF(A643="","",IFERROR(VLOOKUP(A643,'Recert Status'!$A$8:$C$400,3,FALSE()),""))</f>
        <v>0</v>
      </c>
      <c r="D643" s="18" t="s">
        <v>584</v>
      </c>
      <c r="E643" s="26" t="s">
        <v>542</v>
      </c>
      <c r="F643" s="27" t="n">
        <v>3</v>
      </c>
      <c r="G643" s="28" t="n">
        <v>45892</v>
      </c>
      <c r="H643" s="28" t="n">
        <v>45892</v>
      </c>
      <c r="I643" s="18" t="s">
        <v>585</v>
      </c>
      <c r="J643" s="26" t="s">
        <v>542</v>
      </c>
      <c r="K643" s="18" t="s">
        <v>586</v>
      </c>
      <c r="L643" s="27" t="n">
        <v>3</v>
      </c>
      <c r="M643" s="40" t="s">
        <v>423</v>
      </c>
      <c r="N643" s="18" t="s">
        <v>424</v>
      </c>
      <c r="O643" s="27" t="n">
        <v>3</v>
      </c>
      <c r="P643" s="15" t="n">
        <f aca="false">IF(A643="","",IF(O643&lt;&gt;"",O643,IF(L643&lt;&gt;"",L643,F643)))</f>
        <v>3</v>
      </c>
    </row>
    <row r="644" customFormat="false" ht="15" hidden="false" customHeight="true" outlineLevel="0" collapsed="false">
      <c r="A644" s="30" t="s">
        <v>84</v>
      </c>
      <c r="B644" s="30"/>
      <c r="C644" s="21" t="n">
        <f aca="false">IF(A644="","",IFERROR(VLOOKUP(A644,'Recert Status'!$A$8:$C$400,3,FALSE()),""))</f>
        <v>0</v>
      </c>
      <c r="D644" s="31" t="s">
        <v>496</v>
      </c>
      <c r="E644" s="30" t="s">
        <v>542</v>
      </c>
      <c r="F644" s="32" t="n">
        <v>4</v>
      </c>
      <c r="G644" s="33" t="n">
        <v>45961</v>
      </c>
      <c r="H644" s="33" t="n">
        <v>45961</v>
      </c>
      <c r="I644" s="31" t="s">
        <v>587</v>
      </c>
      <c r="J644" s="30" t="s">
        <v>542</v>
      </c>
      <c r="K644" s="31" t="s">
        <v>422</v>
      </c>
      <c r="L644" s="32" t="n">
        <v>4</v>
      </c>
      <c r="M644" s="40" t="s">
        <v>423</v>
      </c>
      <c r="N644" s="31" t="s">
        <v>424</v>
      </c>
      <c r="O644" s="32" t="n">
        <v>4</v>
      </c>
      <c r="P644" s="15" t="n">
        <f aca="false">IF(A644="","",IF(O644&lt;&gt;"",O644,IF(L644&lt;&gt;"",L644,F644)))</f>
        <v>4</v>
      </c>
    </row>
    <row r="645" customFormat="false" ht="15" hidden="false" customHeight="true" outlineLevel="0" collapsed="false">
      <c r="A645" s="26" t="s">
        <v>84</v>
      </c>
      <c r="B645" s="26"/>
      <c r="C645" s="14" t="n">
        <f aca="false">IF(A645="","",IFERROR(VLOOKUP(A645,'Recert Status'!$A$8:$C$400,3,FALSE()),""))</f>
        <v>0</v>
      </c>
      <c r="D645" s="18" t="s">
        <v>759</v>
      </c>
      <c r="E645" s="26" t="s">
        <v>426</v>
      </c>
      <c r="F645" s="27" t="n">
        <v>0.5</v>
      </c>
      <c r="G645" s="28" t="n">
        <v>45694</v>
      </c>
      <c r="H645" s="28" t="n">
        <v>45694</v>
      </c>
      <c r="I645" s="18" t="s">
        <v>760</v>
      </c>
      <c r="J645" s="26" t="s">
        <v>426</v>
      </c>
      <c r="K645" s="18" t="s">
        <v>495</v>
      </c>
      <c r="L645" s="27" t="n">
        <v>0.5</v>
      </c>
      <c r="M645" s="41" t="s">
        <v>429</v>
      </c>
      <c r="N645" s="18" t="s">
        <v>430</v>
      </c>
      <c r="O645" s="27" t="n">
        <v>0.5</v>
      </c>
      <c r="P645" s="15" t="n">
        <f aca="false">IF(A645="","",IF(O645&lt;&gt;"",O645,IF(L645&lt;&gt;"",L645,F645)))</f>
        <v>0.5</v>
      </c>
    </row>
    <row r="646" customFormat="false" ht="15" hidden="false" customHeight="true" outlineLevel="0" collapsed="false">
      <c r="A646" s="30" t="s">
        <v>84</v>
      </c>
      <c r="B646" s="30"/>
      <c r="C646" s="21" t="n">
        <f aca="false">IF(A646="","",IFERROR(VLOOKUP(A646,'Recert Status'!$A$8:$C$400,3,FALSE()),""))</f>
        <v>0</v>
      </c>
      <c r="D646" s="31" t="s">
        <v>759</v>
      </c>
      <c r="E646" s="30" t="s">
        <v>426</v>
      </c>
      <c r="F646" s="32" t="n">
        <v>9</v>
      </c>
      <c r="G646" s="33" t="n">
        <v>45955</v>
      </c>
      <c r="H646" s="33" t="n">
        <v>45955</v>
      </c>
      <c r="I646" s="31" t="s">
        <v>761</v>
      </c>
      <c r="J646" s="30" t="s">
        <v>426</v>
      </c>
      <c r="K646" s="31" t="s">
        <v>526</v>
      </c>
      <c r="L646" s="32" t="n">
        <v>1</v>
      </c>
      <c r="M646" s="41" t="s">
        <v>429</v>
      </c>
      <c r="N646" s="31" t="s">
        <v>430</v>
      </c>
      <c r="O646" s="32" t="n">
        <v>1</v>
      </c>
      <c r="P646" s="15" t="n">
        <f aca="false">IF(A646="","",IF(O646&lt;&gt;"",O646,IF(L646&lt;&gt;"",L646,F646)))</f>
        <v>1</v>
      </c>
    </row>
    <row r="647" customFormat="false" ht="15" hidden="false" customHeight="true" outlineLevel="0" collapsed="false">
      <c r="A647" s="26" t="s">
        <v>84</v>
      </c>
      <c r="B647" s="26"/>
      <c r="C647" s="14" t="n">
        <f aca="false">IF(A647="","",IFERROR(VLOOKUP(A647,'Recert Status'!$A$8:$C$400,3,FALSE()),""))</f>
        <v>0</v>
      </c>
      <c r="D647" s="18" t="s">
        <v>471</v>
      </c>
      <c r="E647" s="26" t="s">
        <v>389</v>
      </c>
      <c r="F647" s="27" t="n">
        <v>8</v>
      </c>
      <c r="G647" s="28" t="n">
        <v>45700</v>
      </c>
      <c r="H647" s="28" t="n">
        <v>45700</v>
      </c>
      <c r="I647" s="18" t="s">
        <v>1042</v>
      </c>
      <c r="J647" s="26" t="s">
        <v>389</v>
      </c>
      <c r="K647" s="18" t="s">
        <v>495</v>
      </c>
      <c r="L647" s="27" t="n">
        <v>8</v>
      </c>
      <c r="M647" s="35" t="s">
        <v>386</v>
      </c>
      <c r="N647" s="18" t="s">
        <v>387</v>
      </c>
      <c r="O647" s="27" t="n">
        <v>8</v>
      </c>
      <c r="P647" s="15" t="n">
        <f aca="false">IF(A647="","",IF(O647&lt;&gt;"",O647,IF(L647&lt;&gt;"",L647,F647)))</f>
        <v>8</v>
      </c>
    </row>
    <row r="648" customFormat="false" ht="15" hidden="false" customHeight="true" outlineLevel="0" collapsed="false">
      <c r="A648" s="30" t="s">
        <v>84</v>
      </c>
      <c r="B648" s="30"/>
      <c r="C648" s="21" t="n">
        <f aca="false">IF(A648="","",IFERROR(VLOOKUP(A648,'Recert Status'!$A$8:$C$400,3,FALSE()),""))</f>
        <v>0</v>
      </c>
      <c r="D648" s="31" t="s">
        <v>767</v>
      </c>
      <c r="E648" s="30" t="s">
        <v>389</v>
      </c>
      <c r="F648" s="32" t="n">
        <v>4</v>
      </c>
      <c r="G648" s="33" t="n">
        <v>45973</v>
      </c>
      <c r="H648" s="33" t="n">
        <v>45973</v>
      </c>
      <c r="I648" s="31" t="s">
        <v>768</v>
      </c>
      <c r="J648" s="30" t="s">
        <v>389</v>
      </c>
      <c r="K648" s="31" t="s">
        <v>769</v>
      </c>
      <c r="L648" s="32" t="n">
        <v>4</v>
      </c>
      <c r="M648" s="35" t="s">
        <v>386</v>
      </c>
      <c r="N648" s="31" t="s">
        <v>387</v>
      </c>
      <c r="O648" s="32" t="n">
        <v>4</v>
      </c>
      <c r="P648" s="15" t="n">
        <f aca="false">IF(A648="","",IF(O648&lt;&gt;"",O648,IF(L648&lt;&gt;"",L648,F648)))</f>
        <v>4</v>
      </c>
    </row>
    <row r="649" customFormat="false" ht="15" hidden="false" customHeight="true" outlineLevel="0" collapsed="false">
      <c r="A649" s="26" t="s">
        <v>84</v>
      </c>
      <c r="B649" s="26"/>
      <c r="C649" s="14" t="n">
        <f aca="false">IF(A649="","",IFERROR(VLOOKUP(A649,'Recert Status'!$A$8:$C$400,3,FALSE()),""))</f>
        <v>0</v>
      </c>
      <c r="D649" s="18" t="s">
        <v>471</v>
      </c>
      <c r="E649" s="26" t="s">
        <v>389</v>
      </c>
      <c r="F649" s="27" t="n">
        <v>1</v>
      </c>
      <c r="G649" s="28" t="n">
        <v>46184</v>
      </c>
      <c r="H649" s="28" t="n">
        <v>46184</v>
      </c>
      <c r="I649" s="18" t="s">
        <v>472</v>
      </c>
      <c r="J649" s="26" t="s">
        <v>389</v>
      </c>
      <c r="K649" s="18" t="s">
        <v>473</v>
      </c>
      <c r="L649" s="27" t="n">
        <v>1</v>
      </c>
      <c r="M649" s="35" t="s">
        <v>386</v>
      </c>
      <c r="N649" s="18" t="s">
        <v>387</v>
      </c>
      <c r="O649" s="27" t="n">
        <v>1</v>
      </c>
      <c r="P649" s="15" t="n">
        <f aca="false">IF(A649="","",IF(O649&lt;&gt;"",O649,IF(L649&lt;&gt;"",L649,F649)))</f>
        <v>1</v>
      </c>
    </row>
    <row r="650" customFormat="false" ht="15" hidden="false" customHeight="true" outlineLevel="0" collapsed="false">
      <c r="A650" s="30" t="s">
        <v>84</v>
      </c>
      <c r="B650" s="30"/>
      <c r="C650" s="21" t="n">
        <f aca="false">IF(A650="","",IFERROR(VLOOKUP(A650,'Recert Status'!$A$8:$C$400,3,FALSE()),""))</f>
        <v>0</v>
      </c>
      <c r="D650" s="31" t="s">
        <v>775</v>
      </c>
      <c r="E650" s="30" t="s">
        <v>452</v>
      </c>
      <c r="F650" s="32" t="n">
        <v>0.5</v>
      </c>
      <c r="G650" s="33" t="n">
        <v>45694</v>
      </c>
      <c r="H650" s="33" t="n">
        <v>45694</v>
      </c>
      <c r="I650" s="31" t="s">
        <v>776</v>
      </c>
      <c r="J650" s="30" t="s">
        <v>452</v>
      </c>
      <c r="K650" s="31" t="s">
        <v>385</v>
      </c>
      <c r="L650" s="32" t="n">
        <v>0.5</v>
      </c>
      <c r="M650" s="36" t="s">
        <v>396</v>
      </c>
      <c r="N650" s="31" t="s">
        <v>397</v>
      </c>
      <c r="O650" s="32" t="n">
        <v>0.5</v>
      </c>
      <c r="P650" s="15" t="n">
        <f aca="false">IF(A650="","",IF(O650&lt;&gt;"",O650,IF(L650&lt;&gt;"",L650,F650)))</f>
        <v>0.5</v>
      </c>
    </row>
    <row r="651" customFormat="false" ht="15" hidden="false" customHeight="true" outlineLevel="0" collapsed="false">
      <c r="A651" s="26" t="s">
        <v>84</v>
      </c>
      <c r="B651" s="26"/>
      <c r="C651" s="14" t="n">
        <f aca="false">IF(A651="","",IFERROR(VLOOKUP(A651,'Recert Status'!$A$8:$C$400,3,FALSE()),""))</f>
        <v>0</v>
      </c>
      <c r="D651" s="18" t="s">
        <v>662</v>
      </c>
      <c r="E651" s="26" t="n">
        <v>35513</v>
      </c>
      <c r="F651" s="27" t="n">
        <v>3</v>
      </c>
      <c r="G651" s="28" t="n">
        <v>45973</v>
      </c>
      <c r="H651" s="28" t="n">
        <v>45973</v>
      </c>
      <c r="I651" s="18" t="s">
        <v>777</v>
      </c>
      <c r="J651" s="26" t="s">
        <v>384</v>
      </c>
      <c r="K651" s="18" t="s">
        <v>385</v>
      </c>
      <c r="L651" s="27" t="n">
        <v>3</v>
      </c>
      <c r="M651" s="36" t="s">
        <v>396</v>
      </c>
      <c r="N651" s="18" t="s">
        <v>397</v>
      </c>
      <c r="O651" s="27" t="n">
        <v>3</v>
      </c>
      <c r="P651" s="15" t="n">
        <f aca="false">IF(A651="","",IF(O651&lt;&gt;"",O651,IF(L651&lt;&gt;"",L651,F651)))</f>
        <v>3</v>
      </c>
    </row>
    <row r="652" customFormat="false" ht="15" hidden="false" customHeight="true" outlineLevel="0" collapsed="false">
      <c r="A652" s="30" t="s">
        <v>84</v>
      </c>
      <c r="B652" s="30"/>
      <c r="C652" s="21" t="n">
        <f aca="false">IF(A652="","",IFERROR(VLOOKUP(A652,'Recert Status'!$A$8:$C$400,3,FALSE()),""))</f>
        <v>0</v>
      </c>
      <c r="D652" s="31" t="s">
        <v>1043</v>
      </c>
      <c r="E652" s="30" t="s">
        <v>452</v>
      </c>
      <c r="F652" s="32" t="n">
        <v>1</v>
      </c>
      <c r="G652" s="33" t="n">
        <v>46111</v>
      </c>
      <c r="H652" s="33" t="n">
        <v>46111</v>
      </c>
      <c r="I652" s="31" t="s">
        <v>1044</v>
      </c>
      <c r="J652" s="30" t="s">
        <v>452</v>
      </c>
      <c r="K652" s="31" t="s">
        <v>385</v>
      </c>
      <c r="L652" s="32" t="n">
        <v>1</v>
      </c>
      <c r="M652" s="36" t="s">
        <v>396</v>
      </c>
      <c r="N652" s="31" t="s">
        <v>397</v>
      </c>
      <c r="O652" s="32" t="n">
        <v>1</v>
      </c>
      <c r="P652" s="15" t="n">
        <f aca="false">IF(A652="","",IF(O652&lt;&gt;"",O652,IF(L652&lt;&gt;"",L652,F652)))</f>
        <v>1</v>
      </c>
    </row>
    <row r="653" customFormat="false" ht="15" hidden="false" customHeight="true" outlineLevel="0" collapsed="false">
      <c r="A653" s="26" t="s">
        <v>84</v>
      </c>
      <c r="B653" s="26"/>
      <c r="C653" s="14" t="n">
        <f aca="false">IF(A653="","",IFERROR(VLOOKUP(A653,'Recert Status'!$A$8:$C$400,3,FALSE()),""))</f>
        <v>0</v>
      </c>
      <c r="D653" s="18" t="s">
        <v>775</v>
      </c>
      <c r="E653" s="26" t="s">
        <v>452</v>
      </c>
      <c r="F653" s="27" t="n">
        <v>1</v>
      </c>
      <c r="G653" s="28" t="n">
        <v>46135</v>
      </c>
      <c r="H653" s="28" t="n">
        <v>46135</v>
      </c>
      <c r="I653" s="18" t="s">
        <v>1045</v>
      </c>
      <c r="J653" s="26" t="s">
        <v>452</v>
      </c>
      <c r="K653" s="18" t="s">
        <v>385</v>
      </c>
      <c r="L653" s="27" t="n">
        <v>1</v>
      </c>
      <c r="M653" s="36" t="s">
        <v>396</v>
      </c>
      <c r="N653" s="18" t="s">
        <v>397</v>
      </c>
      <c r="O653" s="27" t="n">
        <v>1</v>
      </c>
      <c r="P653" s="15" t="n">
        <f aca="false">IF(A653="","",IF(O653&lt;&gt;"",O653,IF(L653&lt;&gt;"",L653,F653)))</f>
        <v>1</v>
      </c>
    </row>
    <row r="654" customFormat="false" ht="15" hidden="false" customHeight="true" outlineLevel="0" collapsed="false">
      <c r="A654" s="30" t="s">
        <v>84</v>
      </c>
      <c r="B654" s="30"/>
      <c r="C654" s="21" t="n">
        <f aca="false">IF(A654="","",IFERROR(VLOOKUP(A654,'Recert Status'!$A$8:$C$400,3,FALSE()),""))</f>
        <v>0</v>
      </c>
      <c r="D654" s="31" t="s">
        <v>457</v>
      </c>
      <c r="E654" s="30" t="s">
        <v>416</v>
      </c>
      <c r="F654" s="32" t="n">
        <v>2</v>
      </c>
      <c r="G654" s="33" t="n">
        <v>45859</v>
      </c>
      <c r="H654" s="33" t="n">
        <v>45859</v>
      </c>
      <c r="I654" s="31" t="s">
        <v>780</v>
      </c>
      <c r="J654" s="30" t="s">
        <v>416</v>
      </c>
      <c r="K654" s="31" t="s">
        <v>781</v>
      </c>
      <c r="L654" s="32" t="n">
        <v>2</v>
      </c>
      <c r="M654" s="39" t="s">
        <v>413</v>
      </c>
      <c r="N654" s="31" t="s">
        <v>414</v>
      </c>
      <c r="O654" s="32" t="n">
        <v>2</v>
      </c>
      <c r="P654" s="15" t="n">
        <f aca="false">IF(A654="","",IF(O654&lt;&gt;"",O654,IF(L654&lt;&gt;"",L654,F654)))</f>
        <v>2</v>
      </c>
    </row>
    <row r="655" customFormat="false" ht="15" hidden="false" customHeight="true" outlineLevel="0" collapsed="false">
      <c r="A655" s="26" t="s">
        <v>84</v>
      </c>
      <c r="B655" s="26"/>
      <c r="C655" s="14" t="n">
        <f aca="false">IF(A655="","",IFERROR(VLOOKUP(A655,'Recert Status'!$A$8:$C$400,3,FALSE()),""))</f>
        <v>0</v>
      </c>
      <c r="D655" s="18" t="s">
        <v>488</v>
      </c>
      <c r="E655" s="26" t="s">
        <v>416</v>
      </c>
      <c r="F655" s="27" t="n">
        <v>1</v>
      </c>
      <c r="G655" s="28" t="n">
        <v>46125</v>
      </c>
      <c r="H655" s="28" t="n">
        <v>46125</v>
      </c>
      <c r="I655" s="18" t="s">
        <v>608</v>
      </c>
      <c r="J655" s="26" t="s">
        <v>416</v>
      </c>
      <c r="K655" s="18" t="s">
        <v>490</v>
      </c>
      <c r="L655" s="27" t="n">
        <v>1</v>
      </c>
      <c r="M655" s="39" t="s">
        <v>413</v>
      </c>
      <c r="N655" s="18" t="s">
        <v>414</v>
      </c>
      <c r="O655" s="27" t="n">
        <v>1</v>
      </c>
      <c r="P655" s="15" t="n">
        <f aca="false">IF(A655="","",IF(O655&lt;&gt;"",O655,IF(L655&lt;&gt;"",L655,F655)))</f>
        <v>1</v>
      </c>
    </row>
    <row r="656" customFormat="false" ht="15" hidden="false" customHeight="true" outlineLevel="0" collapsed="false">
      <c r="A656" s="30" t="s">
        <v>84</v>
      </c>
      <c r="B656" s="30"/>
      <c r="C656" s="21" t="n">
        <f aca="false">IF(A656="","",IFERROR(VLOOKUP(A656,'Recert Status'!$A$8:$C$400,3,FALSE()),""))</f>
        <v>0</v>
      </c>
      <c r="D656" s="31" t="s">
        <v>488</v>
      </c>
      <c r="E656" s="30" t="s">
        <v>416</v>
      </c>
      <c r="F656" s="32" t="n">
        <v>1</v>
      </c>
      <c r="G656" s="33" t="n">
        <v>46126</v>
      </c>
      <c r="H656" s="33" t="n">
        <v>46126</v>
      </c>
      <c r="I656" s="31" t="s">
        <v>489</v>
      </c>
      <c r="J656" s="30" t="s">
        <v>416</v>
      </c>
      <c r="K656" s="31" t="s">
        <v>490</v>
      </c>
      <c r="L656" s="32" t="n">
        <v>1</v>
      </c>
      <c r="M656" s="39" t="s">
        <v>413</v>
      </c>
      <c r="N656" s="31" t="s">
        <v>414</v>
      </c>
      <c r="O656" s="32" t="n">
        <v>1</v>
      </c>
      <c r="P656" s="15" t="n">
        <f aca="false">IF(A656="","",IF(O656&lt;&gt;"",O656,IF(L656&lt;&gt;"",L656,F656)))</f>
        <v>1</v>
      </c>
    </row>
    <row r="657" customFormat="false" ht="15" hidden="false" customHeight="true" outlineLevel="0" collapsed="false">
      <c r="A657" s="26" t="s">
        <v>85</v>
      </c>
      <c r="B657" s="26"/>
      <c r="C657" s="14" t="n">
        <f aca="false">IF(A657="","",IFERROR(VLOOKUP(A657,'Recert Status'!$A$8:$C$400,3,FALSE()),""))</f>
        <v>0</v>
      </c>
      <c r="D657" s="18" t="s">
        <v>496</v>
      </c>
      <c r="E657" s="26" t="s">
        <v>542</v>
      </c>
      <c r="F657" s="27" t="n">
        <v>4</v>
      </c>
      <c r="G657" s="28" t="n">
        <v>45961</v>
      </c>
      <c r="H657" s="28" t="n">
        <v>45961</v>
      </c>
      <c r="I657" s="18" t="s">
        <v>587</v>
      </c>
      <c r="J657" s="26" t="s">
        <v>542</v>
      </c>
      <c r="K657" s="18" t="s">
        <v>422</v>
      </c>
      <c r="L657" s="27" t="n">
        <v>4</v>
      </c>
      <c r="M657" s="40" t="s">
        <v>423</v>
      </c>
      <c r="N657" s="18" t="s">
        <v>424</v>
      </c>
      <c r="O657" s="27" t="n">
        <v>4</v>
      </c>
      <c r="P657" s="15" t="n">
        <f aca="false">IF(A657="","",IF(O657&lt;&gt;"",O657,IF(L657&lt;&gt;"",L657,F657)))</f>
        <v>4</v>
      </c>
    </row>
    <row r="658" customFormat="false" ht="15" hidden="false" customHeight="true" outlineLevel="0" collapsed="false">
      <c r="A658" s="30" t="s">
        <v>85</v>
      </c>
      <c r="B658" s="30"/>
      <c r="C658" s="21" t="n">
        <f aca="false">IF(A658="","",IFERROR(VLOOKUP(A658,'Recert Status'!$A$8:$C$400,3,FALSE()),""))</f>
        <v>0</v>
      </c>
      <c r="D658" s="31" t="s">
        <v>597</v>
      </c>
      <c r="E658" s="30" t="n">
        <v>29735</v>
      </c>
      <c r="F658" s="32" t="n">
        <v>4</v>
      </c>
      <c r="G658" s="33" t="n">
        <v>45961</v>
      </c>
      <c r="H658" s="33" t="n">
        <v>45961</v>
      </c>
      <c r="I658" s="31" t="s">
        <v>598</v>
      </c>
      <c r="J658" s="30" t="s">
        <v>599</v>
      </c>
      <c r="K658" s="31" t="s">
        <v>600</v>
      </c>
      <c r="L658" s="32" t="n">
        <v>4</v>
      </c>
      <c r="M658" s="36" t="s">
        <v>396</v>
      </c>
      <c r="N658" s="31" t="s">
        <v>397</v>
      </c>
      <c r="O658" s="32" t="n">
        <v>4</v>
      </c>
      <c r="P658" s="15" t="n">
        <f aca="false">IF(A658="","",IF(O658&lt;&gt;"",O658,IF(L658&lt;&gt;"",L658,F658)))</f>
        <v>4</v>
      </c>
    </row>
    <row r="659" customFormat="false" ht="15" hidden="false" customHeight="true" outlineLevel="0" collapsed="false">
      <c r="A659" s="26" t="s">
        <v>86</v>
      </c>
      <c r="B659" s="26" t="s">
        <v>87</v>
      </c>
      <c r="C659" s="14" t="n">
        <f aca="false">IF(A659="","",IFERROR(VLOOKUP(A659,'Recert Status'!$A$8:$C$400,3,FALSE()),""))</f>
        <v>46387</v>
      </c>
      <c r="D659" s="18" t="s">
        <v>512</v>
      </c>
      <c r="E659" s="26" t="s">
        <v>363</v>
      </c>
      <c r="F659" s="27" t="n">
        <v>2.5</v>
      </c>
      <c r="G659" s="28" t="n">
        <v>45719</v>
      </c>
      <c r="H659" s="28" t="n">
        <v>45719</v>
      </c>
      <c r="I659" s="18" t="s">
        <v>1046</v>
      </c>
      <c r="J659" s="26" t="s">
        <v>363</v>
      </c>
      <c r="K659" s="18" t="s">
        <v>422</v>
      </c>
      <c r="L659" s="27" t="n">
        <v>2.5</v>
      </c>
      <c r="M659" s="29" t="s">
        <v>366</v>
      </c>
      <c r="N659" s="18" t="s">
        <v>367</v>
      </c>
      <c r="O659" s="27" t="n">
        <v>2.5</v>
      </c>
      <c r="P659" s="15" t="n">
        <f aca="false">IF(A659="","",IF(O659&lt;&gt;"",O659,IF(L659&lt;&gt;"",L659,F659)))</f>
        <v>2.5</v>
      </c>
    </row>
    <row r="660" customFormat="false" ht="15" hidden="false" customHeight="true" outlineLevel="0" collapsed="false">
      <c r="A660" s="30" t="s">
        <v>86</v>
      </c>
      <c r="B660" s="30" t="s">
        <v>87</v>
      </c>
      <c r="C660" s="21" t="n">
        <f aca="false">IF(A660="","",IFERROR(VLOOKUP(A660,'Recert Status'!$A$8:$C$400,3,FALSE()),""))</f>
        <v>46387</v>
      </c>
      <c r="D660" s="31" t="s">
        <v>512</v>
      </c>
      <c r="E660" s="30" t="n">
        <v>57404</v>
      </c>
      <c r="F660" s="32" t="n">
        <v>3</v>
      </c>
      <c r="G660" s="33" t="n">
        <v>45971</v>
      </c>
      <c r="H660" s="33" t="n">
        <v>45971</v>
      </c>
      <c r="I660" s="31" t="s">
        <v>1047</v>
      </c>
      <c r="J660" s="30" t="s">
        <v>728</v>
      </c>
      <c r="K660" s="31" t="s">
        <v>407</v>
      </c>
      <c r="L660" s="32" t="n">
        <v>3</v>
      </c>
      <c r="M660" s="29" t="s">
        <v>366</v>
      </c>
      <c r="N660" s="31" t="s">
        <v>367</v>
      </c>
      <c r="O660" s="32" t="n">
        <v>3</v>
      </c>
      <c r="P660" s="15" t="n">
        <f aca="false">IF(A660="","",IF(O660&lt;&gt;"",O660,IF(L660&lt;&gt;"",L660,F660)))</f>
        <v>3</v>
      </c>
    </row>
    <row r="661" customFormat="false" ht="15" hidden="false" customHeight="true" outlineLevel="0" collapsed="false">
      <c r="A661" s="26" t="s">
        <v>86</v>
      </c>
      <c r="B661" s="26" t="s">
        <v>87</v>
      </c>
      <c r="C661" s="14" t="n">
        <f aca="false">IF(A661="","",IFERROR(VLOOKUP(A661,'Recert Status'!$A$8:$C$400,3,FALSE()),""))</f>
        <v>46387</v>
      </c>
      <c r="D661" s="18" t="s">
        <v>425</v>
      </c>
      <c r="E661" s="26" t="s">
        <v>426</v>
      </c>
      <c r="F661" s="27" t="n">
        <v>2</v>
      </c>
      <c r="G661" s="28" t="n">
        <v>45929</v>
      </c>
      <c r="H661" s="28" t="n">
        <v>45929</v>
      </c>
      <c r="I661" s="18" t="s">
        <v>427</v>
      </c>
      <c r="J661" s="26" t="s">
        <v>426</v>
      </c>
      <c r="K661" s="18" t="s">
        <v>428</v>
      </c>
      <c r="L661" s="27" t="n">
        <v>2</v>
      </c>
      <c r="M661" s="41" t="s">
        <v>429</v>
      </c>
      <c r="N661" s="18" t="s">
        <v>430</v>
      </c>
      <c r="O661" s="27" t="n">
        <v>2</v>
      </c>
      <c r="P661" s="15" t="n">
        <f aca="false">IF(A661="","",IF(O661&lt;&gt;"",O661,IF(L661&lt;&gt;"",L661,F661)))</f>
        <v>2</v>
      </c>
    </row>
    <row r="662" customFormat="false" ht="15" hidden="false" customHeight="true" outlineLevel="0" collapsed="false">
      <c r="A662" s="30" t="s">
        <v>86</v>
      </c>
      <c r="B662" s="30" t="s">
        <v>87</v>
      </c>
      <c r="C662" s="21" t="n">
        <f aca="false">IF(A662="","",IFERROR(VLOOKUP(A662,'Recert Status'!$A$8:$C$400,3,FALSE()),""))</f>
        <v>46387</v>
      </c>
      <c r="D662" s="31" t="s">
        <v>512</v>
      </c>
      <c r="E662" s="30" t="s">
        <v>426</v>
      </c>
      <c r="F662" s="32" t="n">
        <v>2</v>
      </c>
      <c r="G662" s="33" t="n">
        <v>45971</v>
      </c>
      <c r="H662" s="33" t="n">
        <v>45971</v>
      </c>
      <c r="I662" s="31" t="s">
        <v>1048</v>
      </c>
      <c r="J662" s="30" t="s">
        <v>426</v>
      </c>
      <c r="K662" s="31" t="s">
        <v>407</v>
      </c>
      <c r="L662" s="32" t="n">
        <v>2</v>
      </c>
      <c r="M662" s="41" t="s">
        <v>429</v>
      </c>
      <c r="N662" s="31" t="s">
        <v>430</v>
      </c>
      <c r="O662" s="32" t="n">
        <v>2</v>
      </c>
      <c r="P662" s="15" t="n">
        <f aca="false">IF(A662="","",IF(O662&lt;&gt;"",O662,IF(L662&lt;&gt;"",L662,F662)))</f>
        <v>2</v>
      </c>
    </row>
    <row r="663" customFormat="false" ht="15" hidden="false" customHeight="true" outlineLevel="0" collapsed="false">
      <c r="A663" s="26" t="s">
        <v>86</v>
      </c>
      <c r="B663" s="26" t="s">
        <v>87</v>
      </c>
      <c r="C663" s="14" t="n">
        <f aca="false">IF(A663="","",IFERROR(VLOOKUP(A663,'Recert Status'!$A$8:$C$400,3,FALSE()),""))</f>
        <v>46387</v>
      </c>
      <c r="D663" s="18" t="s">
        <v>888</v>
      </c>
      <c r="E663" s="26" t="s">
        <v>426</v>
      </c>
      <c r="F663" s="27" t="n">
        <v>1</v>
      </c>
      <c r="G663" s="28" t="n">
        <v>46001</v>
      </c>
      <c r="H663" s="28" t="n">
        <v>46001</v>
      </c>
      <c r="I663" s="18" t="s">
        <v>889</v>
      </c>
      <c r="J663" s="26" t="s">
        <v>426</v>
      </c>
      <c r="K663" s="18" t="s">
        <v>428</v>
      </c>
      <c r="L663" s="27" t="n">
        <v>1</v>
      </c>
      <c r="M663" s="41" t="s">
        <v>429</v>
      </c>
      <c r="N663" s="18" t="s">
        <v>430</v>
      </c>
      <c r="O663" s="27" t="n">
        <v>1</v>
      </c>
      <c r="P663" s="15" t="n">
        <f aca="false">IF(A663="","",IF(O663&lt;&gt;"",O663,IF(L663&lt;&gt;"",L663,F663)))</f>
        <v>1</v>
      </c>
    </row>
    <row r="664" customFormat="false" ht="15" hidden="false" customHeight="true" outlineLevel="0" collapsed="false">
      <c r="A664" s="30" t="s">
        <v>86</v>
      </c>
      <c r="B664" s="30" t="s">
        <v>87</v>
      </c>
      <c r="C664" s="21" t="n">
        <f aca="false">IF(A664="","",IFERROR(VLOOKUP(A664,'Recert Status'!$A$8:$C$400,3,FALSE()),""))</f>
        <v>46387</v>
      </c>
      <c r="D664" s="31" t="s">
        <v>1049</v>
      </c>
      <c r="E664" s="30" t="s">
        <v>426</v>
      </c>
      <c r="F664" s="32" t="n">
        <v>1</v>
      </c>
      <c r="G664" s="33" t="n">
        <v>46097</v>
      </c>
      <c r="H664" s="33" t="n">
        <v>46097</v>
      </c>
      <c r="I664" s="31" t="s">
        <v>1050</v>
      </c>
      <c r="J664" s="30" t="s">
        <v>426</v>
      </c>
      <c r="K664" s="31" t="s">
        <v>407</v>
      </c>
      <c r="L664" s="32" t="n">
        <v>1</v>
      </c>
      <c r="M664" s="41" t="s">
        <v>429</v>
      </c>
      <c r="N664" s="31" t="s">
        <v>430</v>
      </c>
      <c r="O664" s="32" t="n">
        <v>1</v>
      </c>
      <c r="P664" s="15" t="n">
        <f aca="false">IF(A664="","",IF(O664&lt;&gt;"",O664,IF(L664&lt;&gt;"",L664,F664)))</f>
        <v>1</v>
      </c>
    </row>
    <row r="665" customFormat="false" ht="15" hidden="false" customHeight="true" outlineLevel="0" collapsed="false">
      <c r="A665" s="26" t="s">
        <v>86</v>
      </c>
      <c r="B665" s="26" t="s">
        <v>87</v>
      </c>
      <c r="C665" s="14" t="n">
        <f aca="false">IF(A665="","",IFERROR(VLOOKUP(A665,'Recert Status'!$A$8:$C$400,3,FALSE()),""))</f>
        <v>46387</v>
      </c>
      <c r="D665" s="18" t="s">
        <v>512</v>
      </c>
      <c r="E665" s="26" t="s">
        <v>389</v>
      </c>
      <c r="F665" s="27" t="n">
        <v>4</v>
      </c>
      <c r="G665" s="28" t="n">
        <v>45719</v>
      </c>
      <c r="H665" s="28" t="n">
        <v>45719</v>
      </c>
      <c r="I665" s="18" t="s">
        <v>1051</v>
      </c>
      <c r="J665" s="26" t="s">
        <v>389</v>
      </c>
      <c r="K665" s="18" t="s">
        <v>1052</v>
      </c>
      <c r="L665" s="27" t="n">
        <v>4</v>
      </c>
      <c r="M665" s="35" t="s">
        <v>386</v>
      </c>
      <c r="N665" s="18" t="s">
        <v>387</v>
      </c>
      <c r="O665" s="27" t="n">
        <v>4</v>
      </c>
      <c r="P665" s="15" t="n">
        <f aca="false">IF(A665="","",IF(O665&lt;&gt;"",O665,IF(L665&lt;&gt;"",L665,F665)))</f>
        <v>4</v>
      </c>
    </row>
    <row r="666" customFormat="false" ht="15" hidden="false" customHeight="true" outlineLevel="0" collapsed="false">
      <c r="A666" s="30" t="s">
        <v>86</v>
      </c>
      <c r="B666" s="30" t="s">
        <v>87</v>
      </c>
      <c r="C666" s="21" t="n">
        <f aca="false">IF(A666="","",IFERROR(VLOOKUP(A666,'Recert Status'!$A$8:$C$400,3,FALSE()),""))</f>
        <v>46387</v>
      </c>
      <c r="D666" s="31" t="s">
        <v>512</v>
      </c>
      <c r="E666" s="30" t="s">
        <v>389</v>
      </c>
      <c r="F666" s="32" t="n">
        <v>3</v>
      </c>
      <c r="G666" s="33" t="n">
        <v>45971</v>
      </c>
      <c r="H666" s="33" t="n">
        <v>45971</v>
      </c>
      <c r="I666" s="31" t="s">
        <v>1053</v>
      </c>
      <c r="J666" s="30" t="s">
        <v>389</v>
      </c>
      <c r="K666" s="31" t="s">
        <v>407</v>
      </c>
      <c r="L666" s="32" t="n">
        <v>3</v>
      </c>
      <c r="M666" s="35" t="s">
        <v>386</v>
      </c>
      <c r="N666" s="31" t="s">
        <v>387</v>
      </c>
      <c r="O666" s="32" t="n">
        <v>3</v>
      </c>
      <c r="P666" s="15" t="n">
        <f aca="false">IF(A666="","",IF(O666&lt;&gt;"",O666,IF(L666&lt;&gt;"",L666,F666)))</f>
        <v>3</v>
      </c>
    </row>
    <row r="667" customFormat="false" ht="15" hidden="false" customHeight="true" outlineLevel="0" collapsed="false">
      <c r="A667" s="26" t="s">
        <v>86</v>
      </c>
      <c r="B667" s="26" t="s">
        <v>87</v>
      </c>
      <c r="C667" s="14" t="n">
        <f aca="false">IF(A667="","",IFERROR(VLOOKUP(A667,'Recert Status'!$A$8:$C$400,3,FALSE()),""))</f>
        <v>46387</v>
      </c>
      <c r="D667" s="18" t="s">
        <v>512</v>
      </c>
      <c r="E667" s="26" t="n">
        <v>35513</v>
      </c>
      <c r="F667" s="27" t="n">
        <v>4</v>
      </c>
      <c r="G667" s="28" t="n">
        <v>45737</v>
      </c>
      <c r="H667" s="28" t="n">
        <v>45737</v>
      </c>
      <c r="I667" s="18" t="s">
        <v>1054</v>
      </c>
      <c r="J667" s="26" t="s">
        <v>384</v>
      </c>
      <c r="K667" s="18" t="s">
        <v>385</v>
      </c>
      <c r="L667" s="27" t="n">
        <v>4</v>
      </c>
      <c r="M667" s="36" t="s">
        <v>396</v>
      </c>
      <c r="N667" s="18" t="s">
        <v>397</v>
      </c>
      <c r="O667" s="27" t="n">
        <v>4</v>
      </c>
      <c r="P667" s="15" t="n">
        <f aca="false">IF(A667="","",IF(O667&lt;&gt;"",O667,IF(L667&lt;&gt;"",L667,F667)))</f>
        <v>4</v>
      </c>
    </row>
    <row r="668" customFormat="false" ht="15" hidden="false" customHeight="true" outlineLevel="0" collapsed="false">
      <c r="A668" s="30" t="s">
        <v>86</v>
      </c>
      <c r="B668" s="30" t="s">
        <v>87</v>
      </c>
      <c r="C668" s="21" t="n">
        <f aca="false">IF(A668="","",IFERROR(VLOOKUP(A668,'Recert Status'!$A$8:$C$400,3,FALSE()),""))</f>
        <v>46387</v>
      </c>
      <c r="D668" s="31" t="s">
        <v>1055</v>
      </c>
      <c r="E668" s="30" t="n">
        <v>35513</v>
      </c>
      <c r="F668" s="32" t="n">
        <v>1</v>
      </c>
      <c r="G668" s="33" t="n">
        <v>46097</v>
      </c>
      <c r="H668" s="33" t="n">
        <v>46097</v>
      </c>
      <c r="I668" s="31" t="s">
        <v>1056</v>
      </c>
      <c r="J668" s="30" t="s">
        <v>384</v>
      </c>
      <c r="K668" s="31" t="s">
        <v>407</v>
      </c>
      <c r="L668" s="32" t="n">
        <v>1</v>
      </c>
      <c r="M668" s="36" t="s">
        <v>396</v>
      </c>
      <c r="N668" s="31" t="s">
        <v>397</v>
      </c>
      <c r="O668" s="32" t="n">
        <v>1</v>
      </c>
      <c r="P668" s="15" t="n">
        <f aca="false">IF(A668="","",IF(O668&lt;&gt;"",O668,IF(L668&lt;&gt;"",L668,F668)))</f>
        <v>1</v>
      </c>
    </row>
    <row r="669" customFormat="false" ht="15" hidden="false" customHeight="true" outlineLevel="0" collapsed="false">
      <c r="A669" s="26" t="s">
        <v>86</v>
      </c>
      <c r="B669" s="26" t="s">
        <v>87</v>
      </c>
      <c r="C669" s="14" t="n">
        <f aca="false">IF(A669="","",IFERROR(VLOOKUP(A669,'Recert Status'!$A$8:$C$400,3,FALSE()),""))</f>
        <v>46387</v>
      </c>
      <c r="D669" s="18" t="s">
        <v>1057</v>
      </c>
      <c r="E669" s="26" t="s">
        <v>399</v>
      </c>
      <c r="F669" s="27" t="n">
        <v>1</v>
      </c>
      <c r="G669" s="28" t="n">
        <v>46013</v>
      </c>
      <c r="H669" s="28" t="n">
        <v>46013</v>
      </c>
      <c r="I669" s="18" t="s">
        <v>1058</v>
      </c>
      <c r="J669" s="26" t="s">
        <v>399</v>
      </c>
      <c r="K669" s="18" t="s">
        <v>401</v>
      </c>
      <c r="L669" s="27" t="n">
        <v>1</v>
      </c>
      <c r="M669" s="37" t="s">
        <v>402</v>
      </c>
      <c r="N669" s="18" t="s">
        <v>403</v>
      </c>
      <c r="O669" s="27" t="n">
        <v>1</v>
      </c>
      <c r="P669" s="15" t="n">
        <f aca="false">IF(A669="","",IF(O669&lt;&gt;"",O669,IF(L669&lt;&gt;"",L669,F669)))</f>
        <v>1</v>
      </c>
    </row>
    <row r="670" customFormat="false" ht="15" hidden="false" customHeight="true" outlineLevel="0" collapsed="false">
      <c r="A670" s="30" t="s">
        <v>86</v>
      </c>
      <c r="B670" s="30" t="s">
        <v>87</v>
      </c>
      <c r="C670" s="21" t="n">
        <f aca="false">IF(A670="","",IFERROR(VLOOKUP(A670,'Recert Status'!$A$8:$C$400,3,FALSE()),""))</f>
        <v>46387</v>
      </c>
      <c r="D670" s="31" t="s">
        <v>488</v>
      </c>
      <c r="E670" s="30" t="s">
        <v>416</v>
      </c>
      <c r="F670" s="32" t="n">
        <v>1</v>
      </c>
      <c r="G670" s="33" t="n">
        <v>46127</v>
      </c>
      <c r="H670" s="33" t="n">
        <v>46127</v>
      </c>
      <c r="I670" s="31" t="s">
        <v>534</v>
      </c>
      <c r="J670" s="30" t="s">
        <v>416</v>
      </c>
      <c r="K670" s="31" t="s">
        <v>490</v>
      </c>
      <c r="L670" s="32" t="n">
        <v>1</v>
      </c>
      <c r="M670" s="39" t="s">
        <v>413</v>
      </c>
      <c r="N670" s="31" t="s">
        <v>414</v>
      </c>
      <c r="O670" s="32" t="n">
        <v>1</v>
      </c>
      <c r="P670" s="15" t="n">
        <f aca="false">IF(A670="","",IF(O670&lt;&gt;"",O670,IF(L670&lt;&gt;"",L670,F670)))</f>
        <v>1</v>
      </c>
    </row>
    <row r="671" customFormat="false" ht="15" hidden="false" customHeight="true" outlineLevel="0" collapsed="false">
      <c r="A671" s="26" t="s">
        <v>88</v>
      </c>
      <c r="B671" s="26" t="s">
        <v>89</v>
      </c>
      <c r="C671" s="14" t="n">
        <f aca="false">IF(A671="","",IFERROR(VLOOKUP(A671,'Recert Status'!$A$8:$C$400,3,FALSE()),""))</f>
        <v>46752</v>
      </c>
      <c r="D671" s="18" t="s">
        <v>362</v>
      </c>
      <c r="E671" s="26" t="n">
        <v>57394</v>
      </c>
      <c r="F671" s="27" t="n">
        <v>3</v>
      </c>
      <c r="G671" s="28" t="n">
        <v>45971</v>
      </c>
      <c r="H671" s="28" t="n">
        <v>45971</v>
      </c>
      <c r="I671" s="18" t="s">
        <v>922</v>
      </c>
      <c r="J671" s="26" t="s">
        <v>503</v>
      </c>
      <c r="K671" s="18" t="s">
        <v>365</v>
      </c>
      <c r="L671" s="27" t="n">
        <v>1.5</v>
      </c>
      <c r="M671" s="29" t="s">
        <v>366</v>
      </c>
      <c r="N671" s="18" t="s">
        <v>923</v>
      </c>
      <c r="O671" s="27" t="n">
        <v>3</v>
      </c>
      <c r="P671" s="15" t="n">
        <f aca="false">IF(A671="","",IF(O671&lt;&gt;"",O671,IF(L671&lt;&gt;"",L671,F671)))</f>
        <v>3</v>
      </c>
    </row>
    <row r="672" customFormat="false" ht="15" hidden="false" customHeight="true" outlineLevel="0" collapsed="false">
      <c r="A672" s="30" t="s">
        <v>88</v>
      </c>
      <c r="B672" s="30" t="s">
        <v>89</v>
      </c>
      <c r="C672" s="21" t="n">
        <f aca="false">IF(A672="","",IFERROR(VLOOKUP(A672,'Recert Status'!$A$8:$C$400,3,FALSE()),""))</f>
        <v>46752</v>
      </c>
      <c r="D672" s="31" t="s">
        <v>367</v>
      </c>
      <c r="E672" s="30" t="s">
        <v>363</v>
      </c>
      <c r="F672" s="32" t="n">
        <v>1</v>
      </c>
      <c r="G672" s="33" t="n">
        <v>46286</v>
      </c>
      <c r="H672" s="33" t="n">
        <v>46286</v>
      </c>
      <c r="I672" s="31" t="s">
        <v>883</v>
      </c>
      <c r="J672" s="30" t="s">
        <v>363</v>
      </c>
      <c r="K672" s="31" t="s">
        <v>365</v>
      </c>
      <c r="L672" s="32" t="n">
        <v>1</v>
      </c>
      <c r="M672" s="29" t="s">
        <v>366</v>
      </c>
      <c r="N672" s="31" t="s">
        <v>367</v>
      </c>
      <c r="O672" s="32" t="n">
        <v>1</v>
      </c>
      <c r="P672" s="15" t="n">
        <f aca="false">IF(A672="","",IF(O672&lt;&gt;"",O672,IF(L672&lt;&gt;"",L672,F672)))</f>
        <v>1</v>
      </c>
    </row>
    <row r="673" customFormat="false" ht="15" hidden="false" customHeight="true" outlineLevel="0" collapsed="false">
      <c r="A673" s="26" t="s">
        <v>88</v>
      </c>
      <c r="B673" s="26" t="s">
        <v>89</v>
      </c>
      <c r="C673" s="14" t="n">
        <f aca="false">IF(A673="","",IFERROR(VLOOKUP(A673,'Recert Status'!$A$8:$C$400,3,FALSE()),""))</f>
        <v>46752</v>
      </c>
      <c r="D673" s="18" t="s">
        <v>884</v>
      </c>
      <c r="E673" s="26" t="s">
        <v>426</v>
      </c>
      <c r="F673" s="27" t="n">
        <v>2</v>
      </c>
      <c r="G673" s="28" t="n">
        <v>45929</v>
      </c>
      <c r="H673" s="28" t="n">
        <v>45929</v>
      </c>
      <c r="I673" s="18" t="s">
        <v>885</v>
      </c>
      <c r="J673" s="26" t="s">
        <v>426</v>
      </c>
      <c r="K673" s="18" t="s">
        <v>428</v>
      </c>
      <c r="L673" s="27" t="n">
        <v>2</v>
      </c>
      <c r="M673" s="41" t="s">
        <v>429</v>
      </c>
      <c r="N673" s="18" t="s">
        <v>430</v>
      </c>
      <c r="O673" s="27" t="n">
        <v>2</v>
      </c>
      <c r="P673" s="15" t="n">
        <f aca="false">IF(A673="","",IF(O673&lt;&gt;"",O673,IF(L673&lt;&gt;"",L673,F673)))</f>
        <v>2</v>
      </c>
    </row>
    <row r="674" customFormat="false" ht="15" hidden="false" customHeight="true" outlineLevel="0" collapsed="false">
      <c r="A674" s="30" t="s">
        <v>88</v>
      </c>
      <c r="B674" s="30" t="s">
        <v>89</v>
      </c>
      <c r="C674" s="21" t="n">
        <f aca="false">IF(A674="","",IFERROR(VLOOKUP(A674,'Recert Status'!$A$8:$C$400,3,FALSE()),""))</f>
        <v>46752</v>
      </c>
      <c r="D674" s="31" t="s">
        <v>362</v>
      </c>
      <c r="E674" s="30" t="n">
        <v>57394</v>
      </c>
      <c r="F674" s="32" t="n">
        <v>3</v>
      </c>
      <c r="G674" s="33" t="n">
        <v>45971</v>
      </c>
      <c r="H674" s="33" t="n">
        <v>45971</v>
      </c>
      <c r="I674" s="31" t="s">
        <v>922</v>
      </c>
      <c r="J674" s="30" t="s">
        <v>503</v>
      </c>
      <c r="K674" s="31" t="s">
        <v>365</v>
      </c>
      <c r="L674" s="32" t="n">
        <v>1.5</v>
      </c>
      <c r="M674" s="41" t="s">
        <v>429</v>
      </c>
      <c r="N674" s="31" t="s">
        <v>923</v>
      </c>
      <c r="O674" s="32" t="n">
        <v>3</v>
      </c>
      <c r="P674" s="15" t="n">
        <f aca="false">IF(A674="","",IF(O674&lt;&gt;"",O674,IF(L674&lt;&gt;"",L674,F674)))</f>
        <v>3</v>
      </c>
    </row>
    <row r="675" customFormat="false" ht="15" hidden="false" customHeight="true" outlineLevel="0" collapsed="false">
      <c r="A675" s="26" t="s">
        <v>88</v>
      </c>
      <c r="B675" s="26" t="s">
        <v>89</v>
      </c>
      <c r="C675" s="14" t="n">
        <f aca="false">IF(A675="","",IFERROR(VLOOKUP(A675,'Recert Status'!$A$8:$C$400,3,FALSE()),""))</f>
        <v>46752</v>
      </c>
      <c r="D675" s="18" t="s">
        <v>430</v>
      </c>
      <c r="E675" s="26" t="s">
        <v>426</v>
      </c>
      <c r="F675" s="27" t="n">
        <v>1</v>
      </c>
      <c r="G675" s="28" t="n">
        <v>46286</v>
      </c>
      <c r="H675" s="28" t="n">
        <v>46286</v>
      </c>
      <c r="I675" s="18" t="s">
        <v>890</v>
      </c>
      <c r="J675" s="26" t="s">
        <v>426</v>
      </c>
      <c r="K675" s="18" t="s">
        <v>428</v>
      </c>
      <c r="L675" s="27" t="n">
        <v>1</v>
      </c>
      <c r="M675" s="41" t="s">
        <v>429</v>
      </c>
      <c r="N675" s="18" t="s">
        <v>430</v>
      </c>
      <c r="O675" s="27" t="n">
        <v>1</v>
      </c>
      <c r="P675" s="15" t="n">
        <f aca="false">IF(A675="","",IF(O675&lt;&gt;"",O675,IF(L675&lt;&gt;"",L675,F675)))</f>
        <v>1</v>
      </c>
    </row>
    <row r="676" customFormat="false" ht="15" hidden="false" customHeight="true" outlineLevel="0" collapsed="false">
      <c r="A676" s="30" t="s">
        <v>88</v>
      </c>
      <c r="B676" s="30" t="s">
        <v>89</v>
      </c>
      <c r="C676" s="21" t="n">
        <f aca="false">IF(A676="","",IFERROR(VLOOKUP(A676,'Recert Status'!$A$8:$C$400,3,FALSE()),""))</f>
        <v>46752</v>
      </c>
      <c r="D676" s="31" t="s">
        <v>1059</v>
      </c>
      <c r="E676" s="30" t="s">
        <v>389</v>
      </c>
      <c r="F676" s="32" t="n">
        <v>0.5</v>
      </c>
      <c r="G676" s="33" t="n">
        <v>45707</v>
      </c>
      <c r="H676" s="33" t="n">
        <v>45707</v>
      </c>
      <c r="I676" s="31" t="s">
        <v>1060</v>
      </c>
      <c r="J676" s="30" t="s">
        <v>389</v>
      </c>
      <c r="K676" s="31" t="s">
        <v>451</v>
      </c>
      <c r="L676" s="32" t="n">
        <v>0.5</v>
      </c>
      <c r="M676" s="35" t="s">
        <v>386</v>
      </c>
      <c r="N676" s="31" t="s">
        <v>387</v>
      </c>
      <c r="O676" s="32" t="n">
        <v>0.5</v>
      </c>
      <c r="P676" s="15" t="n">
        <f aca="false">IF(A676="","",IF(O676&lt;&gt;"",O676,IF(L676&lt;&gt;"",L676,F676)))</f>
        <v>0.5</v>
      </c>
    </row>
    <row r="677" customFormat="false" ht="15" hidden="false" customHeight="true" outlineLevel="0" collapsed="false">
      <c r="A677" s="26" t="s">
        <v>88</v>
      </c>
      <c r="B677" s="26" t="s">
        <v>89</v>
      </c>
      <c r="C677" s="14" t="n">
        <f aca="false">IF(A677="","",IFERROR(VLOOKUP(A677,'Recert Status'!$A$8:$C$400,3,FALSE()),""))</f>
        <v>46752</v>
      </c>
      <c r="D677" s="18" t="s">
        <v>437</v>
      </c>
      <c r="E677" s="26" t="n">
        <v>29743</v>
      </c>
      <c r="F677" s="27" t="n">
        <v>1</v>
      </c>
      <c r="G677" s="28" t="n">
        <v>45833</v>
      </c>
      <c r="H677" s="28" t="n">
        <v>45833</v>
      </c>
      <c r="I677" s="18" t="s">
        <v>438</v>
      </c>
      <c r="J677" s="26" t="s">
        <v>439</v>
      </c>
      <c r="K677" s="18" t="s">
        <v>440</v>
      </c>
      <c r="L677" s="27" t="n">
        <v>1</v>
      </c>
      <c r="M677" s="35" t="s">
        <v>386</v>
      </c>
      <c r="N677" s="18" t="s">
        <v>387</v>
      </c>
      <c r="O677" s="27" t="n">
        <v>1</v>
      </c>
      <c r="P677" s="15" t="n">
        <f aca="false">IF(A677="","",IF(O677&lt;&gt;"",O677,IF(L677&lt;&gt;"",L677,F677)))</f>
        <v>1</v>
      </c>
    </row>
    <row r="678" customFormat="false" ht="15" hidden="false" customHeight="true" outlineLevel="0" collapsed="false">
      <c r="A678" s="30" t="s">
        <v>88</v>
      </c>
      <c r="B678" s="30" t="s">
        <v>89</v>
      </c>
      <c r="C678" s="21" t="n">
        <f aca="false">IF(A678="","",IFERROR(VLOOKUP(A678,'Recert Status'!$A$8:$C$400,3,FALSE()),""))</f>
        <v>46752</v>
      </c>
      <c r="D678" s="31" t="s">
        <v>441</v>
      </c>
      <c r="E678" s="30" t="n">
        <v>29743</v>
      </c>
      <c r="F678" s="32" t="n">
        <v>1</v>
      </c>
      <c r="G678" s="33" t="n">
        <v>45833</v>
      </c>
      <c r="H678" s="33" t="n">
        <v>45833</v>
      </c>
      <c r="I678" s="31" t="s">
        <v>442</v>
      </c>
      <c r="J678" s="30" t="s">
        <v>439</v>
      </c>
      <c r="K678" s="31" t="s">
        <v>443</v>
      </c>
      <c r="L678" s="32" t="n">
        <v>1</v>
      </c>
      <c r="M678" s="35" t="s">
        <v>386</v>
      </c>
      <c r="N678" s="31" t="s">
        <v>387</v>
      </c>
      <c r="O678" s="32" t="n">
        <v>1</v>
      </c>
      <c r="P678" s="15" t="n">
        <f aca="false">IF(A678="","",IF(O678&lt;&gt;"",O678,IF(L678&lt;&gt;"",L678,F678)))</f>
        <v>1</v>
      </c>
    </row>
    <row r="679" customFormat="false" ht="15" hidden="false" customHeight="true" outlineLevel="0" collapsed="false">
      <c r="A679" s="26" t="s">
        <v>88</v>
      </c>
      <c r="B679" s="26" t="s">
        <v>89</v>
      </c>
      <c r="C679" s="14" t="n">
        <f aca="false">IF(A679="","",IFERROR(VLOOKUP(A679,'Recert Status'!$A$8:$C$400,3,FALSE()),""))</f>
        <v>46752</v>
      </c>
      <c r="D679" s="18" t="s">
        <v>929</v>
      </c>
      <c r="E679" s="26" t="n">
        <v>29784</v>
      </c>
      <c r="F679" s="27" t="n">
        <v>0.5</v>
      </c>
      <c r="G679" s="28" t="n">
        <v>45878</v>
      </c>
      <c r="H679" s="28" t="n">
        <v>45878</v>
      </c>
      <c r="I679" s="18" t="s">
        <v>930</v>
      </c>
      <c r="J679" s="26" t="s">
        <v>435</v>
      </c>
      <c r="K679" s="18" t="s">
        <v>931</v>
      </c>
      <c r="L679" s="27" t="n">
        <v>0.5</v>
      </c>
      <c r="M679" s="35" t="s">
        <v>386</v>
      </c>
      <c r="N679" s="18" t="s">
        <v>387</v>
      </c>
      <c r="O679" s="27" t="n">
        <v>0.5</v>
      </c>
      <c r="P679" s="15" t="n">
        <f aca="false">IF(A679="","",IF(O679&lt;&gt;"",O679,IF(L679&lt;&gt;"",L679,F679)))</f>
        <v>0.5</v>
      </c>
    </row>
    <row r="680" customFormat="false" ht="15" hidden="false" customHeight="true" outlineLevel="0" collapsed="false">
      <c r="A680" s="30" t="s">
        <v>88</v>
      </c>
      <c r="B680" s="30" t="s">
        <v>89</v>
      </c>
      <c r="C680" s="21" t="n">
        <f aca="false">IF(A680="","",IFERROR(VLOOKUP(A680,'Recert Status'!$A$8:$C$400,3,FALSE()),""))</f>
        <v>46752</v>
      </c>
      <c r="D680" s="31" t="s">
        <v>736</v>
      </c>
      <c r="E680" s="30" t="n">
        <v>35513</v>
      </c>
      <c r="F680" s="32" t="n">
        <v>2</v>
      </c>
      <c r="G680" s="33" t="n">
        <v>45884</v>
      </c>
      <c r="H680" s="33" t="n">
        <v>45884</v>
      </c>
      <c r="I680" s="31" t="s">
        <v>737</v>
      </c>
      <c r="J680" s="30" t="s">
        <v>384</v>
      </c>
      <c r="K680" s="31" t="s">
        <v>385</v>
      </c>
      <c r="L680" s="32" t="n">
        <v>2</v>
      </c>
      <c r="M680" s="35" t="s">
        <v>386</v>
      </c>
      <c r="N680" s="31" t="s">
        <v>387</v>
      </c>
      <c r="O680" s="32" t="n">
        <v>2</v>
      </c>
      <c r="P680" s="15" t="n">
        <f aca="false">IF(A680="","",IF(O680&lt;&gt;"",O680,IF(L680&lt;&gt;"",L680,F680)))</f>
        <v>2</v>
      </c>
    </row>
    <row r="681" customFormat="false" ht="15" hidden="false" customHeight="true" outlineLevel="0" collapsed="false">
      <c r="A681" s="26" t="s">
        <v>88</v>
      </c>
      <c r="B681" s="26" t="s">
        <v>89</v>
      </c>
      <c r="C681" s="14" t="n">
        <f aca="false">IF(A681="","",IFERROR(VLOOKUP(A681,'Recert Status'!$A$8:$C$400,3,FALSE()),""))</f>
        <v>46752</v>
      </c>
      <c r="D681" s="18" t="s">
        <v>1061</v>
      </c>
      <c r="E681" s="26" t="n">
        <v>29675</v>
      </c>
      <c r="F681" s="27" t="n">
        <v>1</v>
      </c>
      <c r="G681" s="28" t="n">
        <v>45995</v>
      </c>
      <c r="H681" s="28" t="n">
        <v>45995</v>
      </c>
      <c r="I681" s="18" t="s">
        <v>1062</v>
      </c>
      <c r="J681" s="26" t="s">
        <v>406</v>
      </c>
      <c r="K681" s="18" t="s">
        <v>446</v>
      </c>
      <c r="L681" s="27" t="n">
        <v>1</v>
      </c>
      <c r="M681" s="35" t="s">
        <v>386</v>
      </c>
      <c r="N681" s="18" t="s">
        <v>387</v>
      </c>
      <c r="O681" s="27" t="n">
        <v>1</v>
      </c>
      <c r="P681" s="15" t="n">
        <f aca="false">IF(A681="","",IF(O681&lt;&gt;"",O681,IF(L681&lt;&gt;"",L681,F681)))</f>
        <v>1</v>
      </c>
    </row>
    <row r="682" customFormat="false" ht="15" hidden="false" customHeight="true" outlineLevel="0" collapsed="false">
      <c r="A682" s="30" t="s">
        <v>88</v>
      </c>
      <c r="B682" s="30" t="s">
        <v>89</v>
      </c>
      <c r="C682" s="21" t="n">
        <f aca="false">IF(A682="","",IFERROR(VLOOKUP(A682,'Recert Status'!$A$8:$C$400,3,FALSE()),""))</f>
        <v>46752</v>
      </c>
      <c r="D682" s="31" t="s">
        <v>471</v>
      </c>
      <c r="E682" s="30" t="s">
        <v>389</v>
      </c>
      <c r="F682" s="32" t="n">
        <v>1</v>
      </c>
      <c r="G682" s="33" t="n">
        <v>46184</v>
      </c>
      <c r="H682" s="33" t="n">
        <v>46184</v>
      </c>
      <c r="I682" s="31" t="s">
        <v>472</v>
      </c>
      <c r="J682" s="30" t="s">
        <v>389</v>
      </c>
      <c r="K682" s="31" t="s">
        <v>473</v>
      </c>
      <c r="L682" s="32" t="n">
        <v>1</v>
      </c>
      <c r="M682" s="35" t="s">
        <v>386</v>
      </c>
      <c r="N682" s="31" t="s">
        <v>387</v>
      </c>
      <c r="O682" s="32" t="n">
        <v>1</v>
      </c>
      <c r="P682" s="15" t="n">
        <f aca="false">IF(A682="","",IF(O682&lt;&gt;"",O682,IF(L682&lt;&gt;"",L682,F682)))</f>
        <v>1</v>
      </c>
    </row>
    <row r="683" customFormat="false" ht="15" hidden="false" customHeight="true" outlineLevel="0" collapsed="false">
      <c r="A683" s="26" t="s">
        <v>88</v>
      </c>
      <c r="B683" s="26" t="s">
        <v>89</v>
      </c>
      <c r="C683" s="14" t="n">
        <f aca="false">IF(A683="","",IFERROR(VLOOKUP(A683,'Recert Status'!$A$8:$C$400,3,FALSE()),""))</f>
        <v>46752</v>
      </c>
      <c r="D683" s="18" t="s">
        <v>387</v>
      </c>
      <c r="E683" s="26" t="s">
        <v>389</v>
      </c>
      <c r="F683" s="27" t="n">
        <v>1</v>
      </c>
      <c r="G683" s="28" t="n">
        <v>46232</v>
      </c>
      <c r="H683" s="28" t="n">
        <v>46232</v>
      </c>
      <c r="I683" s="18" t="s">
        <v>1063</v>
      </c>
      <c r="J683" s="26" t="s">
        <v>389</v>
      </c>
      <c r="K683" s="18" t="s">
        <v>451</v>
      </c>
      <c r="L683" s="27" t="n">
        <v>1</v>
      </c>
      <c r="M683" s="35" t="s">
        <v>386</v>
      </c>
      <c r="N683" s="18" t="s">
        <v>387</v>
      </c>
      <c r="O683" s="27" t="n">
        <v>1</v>
      </c>
      <c r="P683" s="15" t="n">
        <f aca="false">IF(A683="","",IF(O683&lt;&gt;"",O683,IF(L683&lt;&gt;"",L683,F683)))</f>
        <v>1</v>
      </c>
    </row>
    <row r="684" customFormat="false" ht="15" hidden="false" customHeight="true" outlineLevel="0" collapsed="false">
      <c r="A684" s="30" t="s">
        <v>88</v>
      </c>
      <c r="B684" s="30" t="s">
        <v>89</v>
      </c>
      <c r="C684" s="21" t="n">
        <f aca="false">IF(A684="","",IFERROR(VLOOKUP(A684,'Recert Status'!$A$8:$C$400,3,FALSE()),""))</f>
        <v>46752</v>
      </c>
      <c r="D684" s="31" t="s">
        <v>387</v>
      </c>
      <c r="E684" s="30" t="s">
        <v>389</v>
      </c>
      <c r="F684" s="32" t="n">
        <v>1</v>
      </c>
      <c r="G684" s="33" t="n">
        <v>46286</v>
      </c>
      <c r="H684" s="33" t="n">
        <v>46286</v>
      </c>
      <c r="I684" s="31" t="s">
        <v>903</v>
      </c>
      <c r="J684" s="30" t="s">
        <v>389</v>
      </c>
      <c r="K684" s="31" t="s">
        <v>904</v>
      </c>
      <c r="L684" s="32" t="n">
        <v>1</v>
      </c>
      <c r="M684" s="35" t="s">
        <v>386</v>
      </c>
      <c r="N684" s="31" t="s">
        <v>387</v>
      </c>
      <c r="O684" s="32" t="n">
        <v>1</v>
      </c>
      <c r="P684" s="15" t="n">
        <f aca="false">IF(A684="","",IF(O684&lt;&gt;"",O684,IF(L684&lt;&gt;"",L684,F684)))</f>
        <v>1</v>
      </c>
    </row>
    <row r="685" customFormat="false" ht="15" hidden="false" customHeight="true" outlineLevel="0" collapsed="false">
      <c r="A685" s="26" t="s">
        <v>88</v>
      </c>
      <c r="B685" s="26" t="s">
        <v>89</v>
      </c>
      <c r="C685" s="14" t="n">
        <f aca="false">IF(A685="","",IFERROR(VLOOKUP(A685,'Recert Status'!$A$8:$C$400,3,FALSE()),""))</f>
        <v>46752</v>
      </c>
      <c r="D685" s="18" t="s">
        <v>397</v>
      </c>
      <c r="E685" s="26" t="s">
        <v>452</v>
      </c>
      <c r="F685" s="27" t="n">
        <v>1</v>
      </c>
      <c r="G685" s="28" t="n">
        <v>46244</v>
      </c>
      <c r="H685" s="28" t="n">
        <v>46244</v>
      </c>
      <c r="I685" s="18" t="s">
        <v>577</v>
      </c>
      <c r="J685" s="26" t="s">
        <v>452</v>
      </c>
      <c r="K685" s="18" t="s">
        <v>385</v>
      </c>
      <c r="L685" s="27" t="n">
        <v>1</v>
      </c>
      <c r="M685" s="36" t="s">
        <v>396</v>
      </c>
      <c r="N685" s="18" t="s">
        <v>397</v>
      </c>
      <c r="O685" s="27" t="n">
        <v>1</v>
      </c>
      <c r="P685" s="15" t="n">
        <f aca="false">IF(A685="","",IF(O685&lt;&gt;"",O685,IF(L685&lt;&gt;"",L685,F685)))</f>
        <v>1</v>
      </c>
    </row>
    <row r="686" customFormat="false" ht="15" hidden="false" customHeight="true" outlineLevel="0" collapsed="false">
      <c r="A686" s="30" t="s">
        <v>88</v>
      </c>
      <c r="B686" s="30" t="s">
        <v>89</v>
      </c>
      <c r="C686" s="21" t="n">
        <f aca="false">IF(A686="","",IFERROR(VLOOKUP(A686,'Recert Status'!$A$8:$C$400,3,FALSE()),""))</f>
        <v>46752</v>
      </c>
      <c r="D686" s="31" t="s">
        <v>944</v>
      </c>
      <c r="E686" s="30" t="s">
        <v>416</v>
      </c>
      <c r="F686" s="32" t="n">
        <v>1</v>
      </c>
      <c r="G686" s="33" t="n">
        <v>45824</v>
      </c>
      <c r="H686" s="33" t="n">
        <v>45824</v>
      </c>
      <c r="I686" s="31" t="s">
        <v>945</v>
      </c>
      <c r="J686" s="30" t="s">
        <v>416</v>
      </c>
      <c r="K686" s="31" t="s">
        <v>456</v>
      </c>
      <c r="L686" s="32" t="n">
        <v>1</v>
      </c>
      <c r="M686" s="39" t="s">
        <v>413</v>
      </c>
      <c r="N686" s="31" t="s">
        <v>414</v>
      </c>
      <c r="O686" s="32" t="n">
        <v>1</v>
      </c>
      <c r="P686" s="15" t="n">
        <f aca="false">IF(A686="","",IF(O686&lt;&gt;"",O686,IF(L686&lt;&gt;"",L686,F686)))</f>
        <v>1</v>
      </c>
    </row>
    <row r="687" customFormat="false" ht="15" hidden="false" customHeight="true" outlineLevel="0" collapsed="false">
      <c r="A687" s="26" t="s">
        <v>88</v>
      </c>
      <c r="B687" s="26" t="s">
        <v>89</v>
      </c>
      <c r="C687" s="14" t="n">
        <f aca="false">IF(A687="","",IFERROR(VLOOKUP(A687,'Recert Status'!$A$8:$C$400,3,FALSE()),""))</f>
        <v>46752</v>
      </c>
      <c r="D687" s="18" t="s">
        <v>750</v>
      </c>
      <c r="E687" s="26" t="s">
        <v>416</v>
      </c>
      <c r="F687" s="27" t="n">
        <v>3</v>
      </c>
      <c r="G687" s="28" t="n">
        <v>46001</v>
      </c>
      <c r="H687" s="28" t="n">
        <v>46001</v>
      </c>
      <c r="I687" s="18" t="s">
        <v>751</v>
      </c>
      <c r="J687" s="26" t="s">
        <v>416</v>
      </c>
      <c r="K687" s="18" t="s">
        <v>456</v>
      </c>
      <c r="L687" s="27" t="n">
        <v>3</v>
      </c>
      <c r="M687" s="39" t="s">
        <v>413</v>
      </c>
      <c r="N687" s="18" t="s">
        <v>414</v>
      </c>
      <c r="O687" s="27" t="n">
        <v>3</v>
      </c>
      <c r="P687" s="15" t="n">
        <f aca="false">IF(A687="","",IF(O687&lt;&gt;"",O687,IF(L687&lt;&gt;"",L687,F687)))</f>
        <v>3</v>
      </c>
    </row>
    <row r="688" customFormat="false" ht="15" hidden="false" customHeight="true" outlineLevel="0" collapsed="false">
      <c r="A688" s="30" t="s">
        <v>88</v>
      </c>
      <c r="B688" s="30" t="s">
        <v>89</v>
      </c>
      <c r="C688" s="21" t="n">
        <f aca="false">IF(A688="","",IFERROR(VLOOKUP(A688,'Recert Status'!$A$8:$C$400,3,FALSE()),""))</f>
        <v>46752</v>
      </c>
      <c r="D688" s="31" t="s">
        <v>488</v>
      </c>
      <c r="E688" s="30" t="s">
        <v>416</v>
      </c>
      <c r="F688" s="32" t="n">
        <v>1</v>
      </c>
      <c r="G688" s="33" t="n">
        <v>46127</v>
      </c>
      <c r="H688" s="33" t="n">
        <v>46127</v>
      </c>
      <c r="I688" s="31" t="s">
        <v>534</v>
      </c>
      <c r="J688" s="30" t="s">
        <v>416</v>
      </c>
      <c r="K688" s="31" t="s">
        <v>490</v>
      </c>
      <c r="L688" s="32" t="n">
        <v>1</v>
      </c>
      <c r="M688" s="39" t="s">
        <v>413</v>
      </c>
      <c r="N688" s="31" t="s">
        <v>414</v>
      </c>
      <c r="O688" s="32" t="n">
        <v>1</v>
      </c>
      <c r="P688" s="15" t="n">
        <f aca="false">IF(A688="","",IF(O688&lt;&gt;"",O688,IF(L688&lt;&gt;"",L688,F688)))</f>
        <v>1</v>
      </c>
    </row>
    <row r="689" customFormat="false" ht="15" hidden="false" customHeight="true" outlineLevel="0" collapsed="false">
      <c r="A689" s="26" t="s">
        <v>88</v>
      </c>
      <c r="B689" s="26" t="s">
        <v>89</v>
      </c>
      <c r="C689" s="14" t="n">
        <f aca="false">IF(A689="","",IFERROR(VLOOKUP(A689,'Recert Status'!$A$8:$C$400,3,FALSE()),""))</f>
        <v>46752</v>
      </c>
      <c r="D689" s="18" t="s">
        <v>414</v>
      </c>
      <c r="E689" s="26" t="s">
        <v>416</v>
      </c>
      <c r="F689" s="27" t="n">
        <v>2</v>
      </c>
      <c r="G689" s="28" t="n">
        <v>46217</v>
      </c>
      <c r="H689" s="28" t="n">
        <v>46217</v>
      </c>
      <c r="I689" s="18" t="s">
        <v>460</v>
      </c>
      <c r="J689" s="26" t="s">
        <v>416</v>
      </c>
      <c r="K689" s="18" t="s">
        <v>418</v>
      </c>
      <c r="L689" s="27" t="n">
        <v>2</v>
      </c>
      <c r="M689" s="39" t="s">
        <v>413</v>
      </c>
      <c r="N689" s="18" t="s">
        <v>414</v>
      </c>
      <c r="O689" s="27" t="n">
        <v>2</v>
      </c>
      <c r="P689" s="15" t="n">
        <f aca="false">IF(A689="","",IF(O689&lt;&gt;"",O689,IF(L689&lt;&gt;"",L689,F689)))</f>
        <v>2</v>
      </c>
    </row>
    <row r="690" customFormat="false" ht="15" hidden="false" customHeight="true" outlineLevel="0" collapsed="false">
      <c r="A690" s="30" t="s">
        <v>90</v>
      </c>
      <c r="B690" s="30" t="s">
        <v>91</v>
      </c>
      <c r="C690" s="21" t="n">
        <f aca="false">IF(A690="","",IFERROR(VLOOKUP(A690,'Recert Status'!$A$8:$C$400,3,FALSE()),""))</f>
        <v>46387</v>
      </c>
      <c r="D690" s="31" t="s">
        <v>496</v>
      </c>
      <c r="E690" s="30" t="s">
        <v>542</v>
      </c>
      <c r="F690" s="32" t="n">
        <v>4</v>
      </c>
      <c r="G690" s="33" t="n">
        <v>45961</v>
      </c>
      <c r="H690" s="33" t="n">
        <v>45961</v>
      </c>
      <c r="I690" s="31" t="s">
        <v>587</v>
      </c>
      <c r="J690" s="30" t="s">
        <v>542</v>
      </c>
      <c r="K690" s="31" t="s">
        <v>422</v>
      </c>
      <c r="L690" s="32" t="n">
        <v>4</v>
      </c>
      <c r="M690" s="40" t="s">
        <v>423</v>
      </c>
      <c r="N690" s="31" t="s">
        <v>424</v>
      </c>
      <c r="O690" s="32" t="n">
        <v>4</v>
      </c>
      <c r="P690" s="15" t="n">
        <f aca="false">IF(A690="","",IF(O690&lt;&gt;"",O690,IF(L690&lt;&gt;"",L690,F690)))</f>
        <v>4</v>
      </c>
    </row>
    <row r="691" customFormat="false" ht="15" hidden="false" customHeight="true" outlineLevel="0" collapsed="false">
      <c r="A691" s="26" t="s">
        <v>90</v>
      </c>
      <c r="B691" s="26" t="s">
        <v>91</v>
      </c>
      <c r="C691" s="14" t="n">
        <f aca="false">IF(A691="","",IFERROR(VLOOKUP(A691,'Recert Status'!$A$8:$C$400,3,FALSE()),""))</f>
        <v>46387</v>
      </c>
      <c r="D691" s="18" t="s">
        <v>387</v>
      </c>
      <c r="E691" s="26" t="s">
        <v>389</v>
      </c>
      <c r="F691" s="27" t="n">
        <v>1</v>
      </c>
      <c r="G691" s="28" t="n">
        <v>46235</v>
      </c>
      <c r="H691" s="28" t="n">
        <v>46235</v>
      </c>
      <c r="I691" s="18" t="s">
        <v>1064</v>
      </c>
      <c r="J691" s="26" t="s">
        <v>389</v>
      </c>
      <c r="K691" s="18" t="s">
        <v>451</v>
      </c>
      <c r="L691" s="27" t="n">
        <v>1</v>
      </c>
      <c r="M691" s="35" t="s">
        <v>386</v>
      </c>
      <c r="N691" s="18" t="s">
        <v>387</v>
      </c>
      <c r="O691" s="27" t="n">
        <v>1</v>
      </c>
      <c r="P691" s="15" t="n">
        <f aca="false">IF(A691="","",IF(O691&lt;&gt;"",O691,IF(L691&lt;&gt;"",L691,F691)))</f>
        <v>1</v>
      </c>
    </row>
    <row r="692" customFormat="false" ht="15" hidden="false" customHeight="true" outlineLevel="0" collapsed="false">
      <c r="A692" s="30" t="s">
        <v>90</v>
      </c>
      <c r="B692" s="30" t="s">
        <v>91</v>
      </c>
      <c r="C692" s="21" t="n">
        <f aca="false">IF(A692="","",IFERROR(VLOOKUP(A692,'Recert Status'!$A$8:$C$400,3,FALSE()),""))</f>
        <v>46387</v>
      </c>
      <c r="D692" s="31" t="s">
        <v>597</v>
      </c>
      <c r="E692" s="30" t="n">
        <v>29735</v>
      </c>
      <c r="F692" s="32" t="n">
        <v>4</v>
      </c>
      <c r="G692" s="33" t="n">
        <v>45961</v>
      </c>
      <c r="H692" s="33" t="n">
        <v>45961</v>
      </c>
      <c r="I692" s="31" t="s">
        <v>598</v>
      </c>
      <c r="J692" s="30" t="s">
        <v>599</v>
      </c>
      <c r="K692" s="31" t="s">
        <v>600</v>
      </c>
      <c r="L692" s="32" t="n">
        <v>4</v>
      </c>
      <c r="M692" s="36" t="s">
        <v>396</v>
      </c>
      <c r="N692" s="31" t="s">
        <v>397</v>
      </c>
      <c r="O692" s="32" t="n">
        <v>4</v>
      </c>
      <c r="P692" s="15" t="n">
        <f aca="false">IF(A692="","",IF(O692&lt;&gt;"",O692,IF(L692&lt;&gt;"",L692,F692)))</f>
        <v>4</v>
      </c>
    </row>
    <row r="693" customFormat="false" ht="15" hidden="false" customHeight="true" outlineLevel="0" collapsed="false">
      <c r="A693" s="26" t="s">
        <v>90</v>
      </c>
      <c r="B693" s="26" t="s">
        <v>91</v>
      </c>
      <c r="C693" s="14" t="n">
        <f aca="false">IF(A693="","",IFERROR(VLOOKUP(A693,'Recert Status'!$A$8:$C$400,3,FALSE()),""))</f>
        <v>46387</v>
      </c>
      <c r="D693" s="18" t="s">
        <v>397</v>
      </c>
      <c r="E693" s="26" t="s">
        <v>452</v>
      </c>
      <c r="F693" s="27" t="n">
        <v>1</v>
      </c>
      <c r="G693" s="28" t="n">
        <v>46244</v>
      </c>
      <c r="H693" s="28" t="n">
        <v>46244</v>
      </c>
      <c r="I693" s="18" t="s">
        <v>577</v>
      </c>
      <c r="J693" s="26" t="s">
        <v>452</v>
      </c>
      <c r="K693" s="18" t="s">
        <v>385</v>
      </c>
      <c r="L693" s="27" t="n">
        <v>1</v>
      </c>
      <c r="M693" s="36" t="s">
        <v>396</v>
      </c>
      <c r="N693" s="18" t="s">
        <v>397</v>
      </c>
      <c r="O693" s="27" t="n">
        <v>1</v>
      </c>
      <c r="P693" s="15" t="n">
        <f aca="false">IF(A693="","",IF(O693&lt;&gt;"",O693,IF(L693&lt;&gt;"",L693,F693)))</f>
        <v>1</v>
      </c>
    </row>
    <row r="694" customFormat="false" ht="15" hidden="false" customHeight="true" outlineLevel="0" collapsed="false">
      <c r="A694" s="30" t="s">
        <v>90</v>
      </c>
      <c r="B694" s="30" t="s">
        <v>91</v>
      </c>
      <c r="C694" s="21" t="n">
        <f aca="false">IF(A694="","",IFERROR(VLOOKUP(A694,'Recert Status'!$A$8:$C$400,3,FALSE()),""))</f>
        <v>46387</v>
      </c>
      <c r="D694" s="31" t="s">
        <v>488</v>
      </c>
      <c r="E694" s="30" t="s">
        <v>416</v>
      </c>
      <c r="F694" s="32" t="n">
        <v>1</v>
      </c>
      <c r="G694" s="33" t="n">
        <v>46127</v>
      </c>
      <c r="H694" s="33" t="n">
        <v>46127</v>
      </c>
      <c r="I694" s="31" t="s">
        <v>534</v>
      </c>
      <c r="J694" s="30" t="s">
        <v>416</v>
      </c>
      <c r="K694" s="31" t="s">
        <v>490</v>
      </c>
      <c r="L694" s="32" t="n">
        <v>1</v>
      </c>
      <c r="M694" s="39" t="s">
        <v>413</v>
      </c>
      <c r="N694" s="31" t="s">
        <v>414</v>
      </c>
      <c r="O694" s="32" t="n">
        <v>1</v>
      </c>
      <c r="P694" s="15" t="n">
        <f aca="false">IF(A694="","",IF(O694&lt;&gt;"",O694,IF(L694&lt;&gt;"",L694,F694)))</f>
        <v>1</v>
      </c>
    </row>
    <row r="695" customFormat="false" ht="15" hidden="false" customHeight="true" outlineLevel="0" collapsed="false">
      <c r="A695" s="26" t="s">
        <v>90</v>
      </c>
      <c r="B695" s="26" t="s">
        <v>91</v>
      </c>
      <c r="C695" s="14" t="n">
        <f aca="false">IF(A695="","",IFERROR(VLOOKUP(A695,'Recert Status'!$A$8:$C$400,3,FALSE()),""))</f>
        <v>46387</v>
      </c>
      <c r="D695" s="18" t="s">
        <v>488</v>
      </c>
      <c r="E695" s="26" t="s">
        <v>416</v>
      </c>
      <c r="F695" s="27" t="n">
        <v>1</v>
      </c>
      <c r="G695" s="28" t="n">
        <v>46139</v>
      </c>
      <c r="H695" s="28" t="n">
        <v>46139</v>
      </c>
      <c r="I695" s="18" t="s">
        <v>610</v>
      </c>
      <c r="J695" s="26" t="s">
        <v>416</v>
      </c>
      <c r="K695" s="18" t="s">
        <v>490</v>
      </c>
      <c r="L695" s="27" t="n">
        <v>1</v>
      </c>
      <c r="M695" s="39" t="s">
        <v>413</v>
      </c>
      <c r="N695" s="18" t="s">
        <v>414</v>
      </c>
      <c r="O695" s="27" t="n">
        <v>1</v>
      </c>
      <c r="P695" s="15" t="n">
        <f aca="false">IF(A695="","",IF(O695&lt;&gt;"",O695,IF(L695&lt;&gt;"",L695,F695)))</f>
        <v>1</v>
      </c>
    </row>
    <row r="696" customFormat="false" ht="15" hidden="false" customHeight="true" outlineLevel="0" collapsed="false">
      <c r="A696" s="30" t="s">
        <v>90</v>
      </c>
      <c r="B696" s="30" t="s">
        <v>91</v>
      </c>
      <c r="C696" s="21" t="n">
        <f aca="false">IF(A696="","",IFERROR(VLOOKUP(A696,'Recert Status'!$A$8:$C$400,3,FALSE()),""))</f>
        <v>46387</v>
      </c>
      <c r="D696" s="31" t="s">
        <v>414</v>
      </c>
      <c r="E696" s="30" t="s">
        <v>416</v>
      </c>
      <c r="F696" s="32" t="n">
        <v>2</v>
      </c>
      <c r="G696" s="33" t="n">
        <v>46217</v>
      </c>
      <c r="H696" s="33" t="n">
        <v>46217</v>
      </c>
      <c r="I696" s="31" t="s">
        <v>460</v>
      </c>
      <c r="J696" s="30" t="s">
        <v>416</v>
      </c>
      <c r="K696" s="31" t="s">
        <v>418</v>
      </c>
      <c r="L696" s="32" t="n">
        <v>2</v>
      </c>
      <c r="M696" s="39" t="s">
        <v>413</v>
      </c>
      <c r="N696" s="31" t="s">
        <v>414</v>
      </c>
      <c r="O696" s="32" t="n">
        <v>2</v>
      </c>
      <c r="P696" s="15" t="n">
        <f aca="false">IF(A696="","",IF(O696&lt;&gt;"",O696,IF(L696&lt;&gt;"",L696,F696)))</f>
        <v>2</v>
      </c>
    </row>
    <row r="697" customFormat="false" ht="15" hidden="false" customHeight="true" outlineLevel="0" collapsed="false">
      <c r="A697" s="26" t="s">
        <v>90</v>
      </c>
      <c r="B697" s="26" t="s">
        <v>91</v>
      </c>
      <c r="C697" s="14" t="n">
        <f aca="false">IF(A697="","",IFERROR(VLOOKUP(A697,'Recert Status'!$A$8:$C$400,3,FALSE()),""))</f>
        <v>46387</v>
      </c>
      <c r="D697" s="18" t="s">
        <v>414</v>
      </c>
      <c r="E697" s="26" t="s">
        <v>416</v>
      </c>
      <c r="F697" s="27" t="n">
        <v>2</v>
      </c>
      <c r="G697" s="28" t="n">
        <v>46219</v>
      </c>
      <c r="H697" s="28" t="n">
        <v>46219</v>
      </c>
      <c r="I697" s="18" t="s">
        <v>567</v>
      </c>
      <c r="J697" s="26" t="s">
        <v>416</v>
      </c>
      <c r="K697" s="18" t="s">
        <v>418</v>
      </c>
      <c r="L697" s="27" t="n">
        <v>2</v>
      </c>
      <c r="M697" s="39" t="s">
        <v>413</v>
      </c>
      <c r="N697" s="18" t="s">
        <v>414</v>
      </c>
      <c r="O697" s="27" t="n">
        <v>2</v>
      </c>
      <c r="P697" s="15" t="n">
        <f aca="false">IF(A697="","",IF(O697&lt;&gt;"",O697,IF(L697&lt;&gt;"",L697,F697)))</f>
        <v>2</v>
      </c>
    </row>
    <row r="698" customFormat="false" ht="15" hidden="false" customHeight="true" outlineLevel="0" collapsed="false">
      <c r="A698" s="30" t="s">
        <v>92</v>
      </c>
      <c r="B698" s="30" t="s">
        <v>93</v>
      </c>
      <c r="C698" s="21" t="n">
        <f aca="false">IF(A698="","",IFERROR(VLOOKUP(A698,'Recert Status'!$A$8:$C$400,3,FALSE()),""))</f>
        <v>46752</v>
      </c>
      <c r="D698" s="31" t="s">
        <v>437</v>
      </c>
      <c r="E698" s="30" t="s">
        <v>363</v>
      </c>
      <c r="F698" s="32" t="n">
        <v>1</v>
      </c>
      <c r="G698" s="33" t="n">
        <v>45994</v>
      </c>
      <c r="H698" s="33" t="n">
        <v>45994</v>
      </c>
      <c r="I698" s="31" t="s">
        <v>1065</v>
      </c>
      <c r="J698" s="30" t="s">
        <v>363</v>
      </c>
      <c r="K698" s="31" t="s">
        <v>407</v>
      </c>
      <c r="L698" s="32" t="n">
        <v>1</v>
      </c>
      <c r="M698" s="29" t="s">
        <v>366</v>
      </c>
      <c r="N698" s="31" t="s">
        <v>367</v>
      </c>
      <c r="O698" s="32" t="n">
        <v>1</v>
      </c>
      <c r="P698" s="15" t="n">
        <f aca="false">IF(A698="","",IF(O698&lt;&gt;"",O698,IF(L698&lt;&gt;"",L698,F698)))</f>
        <v>1</v>
      </c>
    </row>
    <row r="699" customFormat="false" ht="15" hidden="false" customHeight="true" outlineLevel="0" collapsed="false">
      <c r="A699" s="26" t="s">
        <v>92</v>
      </c>
      <c r="B699" s="26" t="s">
        <v>93</v>
      </c>
      <c r="C699" s="14" t="n">
        <f aca="false">IF(A699="","",IFERROR(VLOOKUP(A699,'Recert Status'!$A$8:$C$400,3,FALSE()),""))</f>
        <v>46752</v>
      </c>
      <c r="D699" s="18" t="s">
        <v>569</v>
      </c>
      <c r="E699" s="26" t="s">
        <v>542</v>
      </c>
      <c r="F699" s="27" t="n">
        <v>0.5</v>
      </c>
      <c r="G699" s="28" t="n">
        <v>45673</v>
      </c>
      <c r="H699" s="28" t="n">
        <v>45673</v>
      </c>
      <c r="I699" s="18" t="s">
        <v>612</v>
      </c>
      <c r="J699" s="26" t="s">
        <v>542</v>
      </c>
      <c r="K699" s="18" t="s">
        <v>407</v>
      </c>
      <c r="L699" s="27" t="n">
        <v>0.5</v>
      </c>
      <c r="M699" s="40" t="s">
        <v>423</v>
      </c>
      <c r="N699" s="18" t="s">
        <v>424</v>
      </c>
      <c r="O699" s="27" t="n">
        <v>0.5</v>
      </c>
      <c r="P699" s="15" t="n">
        <f aca="false">IF(A699="","",IF(O699&lt;&gt;"",O699,IF(L699&lt;&gt;"",L699,F699)))</f>
        <v>0.5</v>
      </c>
    </row>
    <row r="700" customFormat="false" ht="15" hidden="false" customHeight="true" outlineLevel="0" collapsed="false">
      <c r="A700" s="30" t="s">
        <v>92</v>
      </c>
      <c r="B700" s="30" t="s">
        <v>93</v>
      </c>
      <c r="C700" s="21" t="n">
        <f aca="false">IF(A700="","",IFERROR(VLOOKUP(A700,'Recert Status'!$A$8:$C$400,3,FALSE()),""))</f>
        <v>46752</v>
      </c>
      <c r="D700" s="31" t="s">
        <v>977</v>
      </c>
      <c r="E700" s="30" t="s">
        <v>426</v>
      </c>
      <c r="F700" s="32" t="n">
        <v>2</v>
      </c>
      <c r="G700" s="33" t="n">
        <v>45910</v>
      </c>
      <c r="H700" s="33" t="n">
        <v>45910</v>
      </c>
      <c r="I700" s="31" t="s">
        <v>978</v>
      </c>
      <c r="J700" s="30" t="s">
        <v>426</v>
      </c>
      <c r="K700" s="31" t="s">
        <v>495</v>
      </c>
      <c r="L700" s="32" t="n">
        <v>2</v>
      </c>
      <c r="M700" s="41" t="s">
        <v>429</v>
      </c>
      <c r="N700" s="31" t="s">
        <v>430</v>
      </c>
      <c r="O700" s="32" t="n">
        <v>2</v>
      </c>
      <c r="P700" s="15" t="n">
        <f aca="false">IF(A700="","",IF(O700&lt;&gt;"",O700,IF(L700&lt;&gt;"",L700,F700)))</f>
        <v>2</v>
      </c>
    </row>
    <row r="701" customFormat="false" ht="15" hidden="false" customHeight="true" outlineLevel="0" collapsed="false">
      <c r="A701" s="26" t="s">
        <v>92</v>
      </c>
      <c r="B701" s="26" t="s">
        <v>93</v>
      </c>
      <c r="C701" s="14" t="n">
        <f aca="false">IF(A701="","",IFERROR(VLOOKUP(A701,'Recert Status'!$A$8:$C$400,3,FALSE()),""))</f>
        <v>46752</v>
      </c>
      <c r="D701" s="18" t="s">
        <v>1066</v>
      </c>
      <c r="E701" s="26" t="n">
        <v>57408</v>
      </c>
      <c r="F701" s="27" t="n">
        <v>1.5</v>
      </c>
      <c r="G701" s="28" t="n">
        <v>45979</v>
      </c>
      <c r="H701" s="28" t="n">
        <v>45979</v>
      </c>
      <c r="I701" s="18" t="s">
        <v>1067</v>
      </c>
      <c r="J701" s="26" t="s">
        <v>1068</v>
      </c>
      <c r="K701" s="18" t="s">
        <v>428</v>
      </c>
      <c r="L701" s="27" t="n">
        <v>1.5</v>
      </c>
      <c r="M701" s="41" t="s">
        <v>429</v>
      </c>
      <c r="N701" s="18" t="s">
        <v>430</v>
      </c>
      <c r="O701" s="27" t="n">
        <v>1.5</v>
      </c>
      <c r="P701" s="15" t="n">
        <f aca="false">IF(A701="","",IF(O701&lt;&gt;"",O701,IF(L701&lt;&gt;"",L701,F701)))</f>
        <v>1.5</v>
      </c>
    </row>
    <row r="702" customFormat="false" ht="15" hidden="false" customHeight="true" outlineLevel="0" collapsed="false">
      <c r="A702" s="30" t="s">
        <v>92</v>
      </c>
      <c r="B702" s="30" t="s">
        <v>93</v>
      </c>
      <c r="C702" s="21" t="n">
        <f aca="false">IF(A702="","",IFERROR(VLOOKUP(A702,'Recert Status'!$A$8:$C$400,3,FALSE()),""))</f>
        <v>46752</v>
      </c>
      <c r="D702" s="31" t="s">
        <v>634</v>
      </c>
      <c r="E702" s="30" t="s">
        <v>426</v>
      </c>
      <c r="F702" s="32" t="n">
        <v>1</v>
      </c>
      <c r="G702" s="33" t="n">
        <v>45991</v>
      </c>
      <c r="H702" s="33" t="n">
        <v>45991</v>
      </c>
      <c r="I702" s="31" t="s">
        <v>1069</v>
      </c>
      <c r="J702" s="30" t="s">
        <v>426</v>
      </c>
      <c r="K702" s="31" t="s">
        <v>407</v>
      </c>
      <c r="L702" s="32" t="n">
        <v>1</v>
      </c>
      <c r="M702" s="41" t="s">
        <v>429</v>
      </c>
      <c r="N702" s="31" t="s">
        <v>514</v>
      </c>
      <c r="O702" s="32" t="n">
        <v>1</v>
      </c>
      <c r="P702" s="15" t="n">
        <f aca="false">IF(A702="","",IF(O702&lt;&gt;"",O702,IF(L702&lt;&gt;"",L702,F702)))</f>
        <v>1</v>
      </c>
    </row>
    <row r="703" customFormat="false" ht="15" hidden="false" customHeight="true" outlineLevel="0" collapsed="false">
      <c r="A703" s="26" t="s">
        <v>92</v>
      </c>
      <c r="B703" s="26" t="s">
        <v>93</v>
      </c>
      <c r="C703" s="14" t="n">
        <f aca="false">IF(A703="","",IFERROR(VLOOKUP(A703,'Recert Status'!$A$8:$C$400,3,FALSE()),""))</f>
        <v>46752</v>
      </c>
      <c r="D703" s="18" t="s">
        <v>762</v>
      </c>
      <c r="E703" s="26" t="s">
        <v>426</v>
      </c>
      <c r="F703" s="27" t="n">
        <v>1</v>
      </c>
      <c r="G703" s="28" t="n">
        <v>46015</v>
      </c>
      <c r="H703" s="28" t="n">
        <v>46015</v>
      </c>
      <c r="I703" s="18" t="s">
        <v>763</v>
      </c>
      <c r="J703" s="26" t="s">
        <v>426</v>
      </c>
      <c r="K703" s="18" t="s">
        <v>428</v>
      </c>
      <c r="L703" s="27" t="n">
        <v>1</v>
      </c>
      <c r="M703" s="41" t="s">
        <v>429</v>
      </c>
      <c r="N703" s="18" t="s">
        <v>430</v>
      </c>
      <c r="O703" s="27" t="n">
        <v>1</v>
      </c>
      <c r="P703" s="15" t="n">
        <f aca="false">IF(A703="","",IF(O703&lt;&gt;"",O703,IF(L703&lt;&gt;"",L703,F703)))</f>
        <v>1</v>
      </c>
    </row>
    <row r="704" customFormat="false" ht="15" hidden="false" customHeight="true" outlineLevel="0" collapsed="false">
      <c r="A704" s="30" t="s">
        <v>92</v>
      </c>
      <c r="B704" s="30" t="s">
        <v>93</v>
      </c>
      <c r="C704" s="21" t="n">
        <f aca="false">IF(A704="","",IFERROR(VLOOKUP(A704,'Recert Status'!$A$8:$C$400,3,FALSE()),""))</f>
        <v>46752</v>
      </c>
      <c r="D704" s="31" t="s">
        <v>430</v>
      </c>
      <c r="E704" s="30" t="s">
        <v>426</v>
      </c>
      <c r="F704" s="32" t="n">
        <v>1</v>
      </c>
      <c r="G704" s="33" t="n">
        <v>46291</v>
      </c>
      <c r="H704" s="33" t="n">
        <v>46291</v>
      </c>
      <c r="I704" s="31" t="s">
        <v>1070</v>
      </c>
      <c r="J704" s="30" t="s">
        <v>426</v>
      </c>
      <c r="K704" s="31" t="s">
        <v>428</v>
      </c>
      <c r="L704" s="32" t="n">
        <v>1</v>
      </c>
      <c r="M704" s="41" t="s">
        <v>429</v>
      </c>
      <c r="N704" s="31" t="s">
        <v>430</v>
      </c>
      <c r="O704" s="32" t="n">
        <v>1</v>
      </c>
      <c r="P704" s="15" t="n">
        <f aca="false">IF(A704="","",IF(O704&lt;&gt;"",O704,IF(L704&lt;&gt;"",L704,F704)))</f>
        <v>1</v>
      </c>
    </row>
    <row r="705" customFormat="false" ht="15" hidden="false" customHeight="true" outlineLevel="0" collapsed="false">
      <c r="A705" s="26" t="s">
        <v>92</v>
      </c>
      <c r="B705" s="26" t="s">
        <v>93</v>
      </c>
      <c r="C705" s="14" t="n">
        <f aca="false">IF(A705="","",IFERROR(VLOOKUP(A705,'Recert Status'!$A$8:$C$400,3,FALSE()),""))</f>
        <v>46752</v>
      </c>
      <c r="D705" s="18" t="s">
        <v>1071</v>
      </c>
      <c r="E705" s="26" t="s">
        <v>372</v>
      </c>
      <c r="F705" s="27" t="n">
        <v>1</v>
      </c>
      <c r="G705" s="28" t="n">
        <v>45973</v>
      </c>
      <c r="H705" s="28" t="n">
        <v>45973</v>
      </c>
      <c r="I705" s="18" t="s">
        <v>1072</v>
      </c>
      <c r="J705" s="26" t="s">
        <v>372</v>
      </c>
      <c r="K705" s="18" t="s">
        <v>1073</v>
      </c>
      <c r="L705" s="27" t="n">
        <v>1</v>
      </c>
      <c r="M705" s="34" t="s">
        <v>375</v>
      </c>
      <c r="N705" s="18" t="s">
        <v>376</v>
      </c>
      <c r="O705" s="27" t="n">
        <v>1</v>
      </c>
      <c r="P705" s="15" t="n">
        <f aca="false">IF(A705="","",IF(O705&lt;&gt;"",O705,IF(L705&lt;&gt;"",L705,F705)))</f>
        <v>1</v>
      </c>
    </row>
    <row r="706" customFormat="false" ht="15" hidden="false" customHeight="true" outlineLevel="0" collapsed="false">
      <c r="A706" s="30" t="s">
        <v>92</v>
      </c>
      <c r="B706" s="30" t="s">
        <v>93</v>
      </c>
      <c r="C706" s="21" t="n">
        <f aca="false">IF(A706="","",IFERROR(VLOOKUP(A706,'Recert Status'!$A$8:$C$400,3,FALSE()),""))</f>
        <v>46752</v>
      </c>
      <c r="D706" s="31" t="s">
        <v>800</v>
      </c>
      <c r="E706" s="30" t="s">
        <v>389</v>
      </c>
      <c r="F706" s="32" t="n">
        <v>0.5</v>
      </c>
      <c r="G706" s="33" t="n">
        <v>45838</v>
      </c>
      <c r="H706" s="33" t="n">
        <v>45838</v>
      </c>
      <c r="I706" s="31" t="s">
        <v>801</v>
      </c>
      <c r="J706" s="30" t="s">
        <v>389</v>
      </c>
      <c r="K706" s="31" t="s">
        <v>451</v>
      </c>
      <c r="L706" s="32" t="n">
        <v>0.5</v>
      </c>
      <c r="M706" s="35" t="s">
        <v>386</v>
      </c>
      <c r="N706" s="31" t="s">
        <v>387</v>
      </c>
      <c r="O706" s="32" t="n">
        <v>0.5</v>
      </c>
      <c r="P706" s="15" t="n">
        <f aca="false">IF(A706="","",IF(O706&lt;&gt;"",O706,IF(L706&lt;&gt;"",L706,F706)))</f>
        <v>0.5</v>
      </c>
    </row>
    <row r="707" customFormat="false" ht="15" hidden="false" customHeight="true" outlineLevel="0" collapsed="false">
      <c r="A707" s="26" t="s">
        <v>92</v>
      </c>
      <c r="B707" s="26" t="s">
        <v>93</v>
      </c>
      <c r="C707" s="14" t="n">
        <f aca="false">IF(A707="","",IFERROR(VLOOKUP(A707,'Recert Status'!$A$8:$C$400,3,FALSE()),""))</f>
        <v>46752</v>
      </c>
      <c r="D707" s="18" t="s">
        <v>682</v>
      </c>
      <c r="E707" s="26" t="n">
        <v>29675</v>
      </c>
      <c r="F707" s="27" t="n">
        <v>1</v>
      </c>
      <c r="G707" s="28" t="n">
        <v>45985</v>
      </c>
      <c r="H707" s="28" t="n">
        <v>45985</v>
      </c>
      <c r="I707" s="18" t="s">
        <v>1074</v>
      </c>
      <c r="J707" s="26" t="s">
        <v>406</v>
      </c>
      <c r="K707" s="18" t="s">
        <v>446</v>
      </c>
      <c r="L707" s="27" t="n">
        <v>1</v>
      </c>
      <c r="M707" s="35" t="s">
        <v>386</v>
      </c>
      <c r="N707" s="18" t="s">
        <v>387</v>
      </c>
      <c r="O707" s="27" t="n">
        <v>1</v>
      </c>
      <c r="P707" s="15" t="n">
        <f aca="false">IF(A707="","",IF(O707&lt;&gt;"",O707,IF(L707&lt;&gt;"",L707,F707)))</f>
        <v>1</v>
      </c>
    </row>
    <row r="708" customFormat="false" ht="15" hidden="false" customHeight="true" outlineLevel="0" collapsed="false">
      <c r="A708" s="30" t="s">
        <v>92</v>
      </c>
      <c r="B708" s="30" t="s">
        <v>93</v>
      </c>
      <c r="C708" s="21" t="n">
        <f aca="false">IF(A708="","",IFERROR(VLOOKUP(A708,'Recert Status'!$A$8:$C$400,3,FALSE()),""))</f>
        <v>46752</v>
      </c>
      <c r="D708" s="31" t="s">
        <v>1075</v>
      </c>
      <c r="E708" s="30" t="s">
        <v>389</v>
      </c>
      <c r="F708" s="32" t="n">
        <v>1</v>
      </c>
      <c r="G708" s="33" t="n">
        <v>45991</v>
      </c>
      <c r="H708" s="33" t="n">
        <v>45991</v>
      </c>
      <c r="I708" s="31" t="s">
        <v>1076</v>
      </c>
      <c r="J708" s="30" t="s">
        <v>389</v>
      </c>
      <c r="K708" s="31" t="s">
        <v>407</v>
      </c>
      <c r="L708" s="32" t="n">
        <v>1</v>
      </c>
      <c r="M708" s="35" t="s">
        <v>386</v>
      </c>
      <c r="N708" s="31" t="s">
        <v>387</v>
      </c>
      <c r="O708" s="32" t="n">
        <v>1</v>
      </c>
      <c r="P708" s="15" t="n">
        <f aca="false">IF(A708="","",IF(O708&lt;&gt;"",O708,IF(L708&lt;&gt;"",L708,F708)))</f>
        <v>1</v>
      </c>
    </row>
    <row r="709" customFormat="false" ht="15" hidden="false" customHeight="true" outlineLevel="0" collapsed="false">
      <c r="A709" s="26" t="s">
        <v>92</v>
      </c>
      <c r="B709" s="26" t="s">
        <v>93</v>
      </c>
      <c r="C709" s="14" t="n">
        <f aca="false">IF(A709="","",IFERROR(VLOOKUP(A709,'Recert Status'!$A$8:$C$400,3,FALSE()),""))</f>
        <v>46752</v>
      </c>
      <c r="D709" s="18" t="s">
        <v>591</v>
      </c>
      <c r="E709" s="26" t="s">
        <v>389</v>
      </c>
      <c r="F709" s="27" t="n">
        <v>1</v>
      </c>
      <c r="G709" s="28" t="n">
        <v>45994</v>
      </c>
      <c r="H709" s="28" t="n">
        <v>45994</v>
      </c>
      <c r="I709" s="18" t="s">
        <v>770</v>
      </c>
      <c r="J709" s="26" t="s">
        <v>389</v>
      </c>
      <c r="K709" s="18" t="s">
        <v>451</v>
      </c>
      <c r="L709" s="27" t="n">
        <v>1</v>
      </c>
      <c r="M709" s="35" t="s">
        <v>386</v>
      </c>
      <c r="N709" s="18" t="s">
        <v>387</v>
      </c>
      <c r="O709" s="27" t="n">
        <v>1</v>
      </c>
      <c r="P709" s="15" t="n">
        <f aca="false">IF(A709="","",IF(O709&lt;&gt;"",O709,IF(L709&lt;&gt;"",L709,F709)))</f>
        <v>1</v>
      </c>
    </row>
    <row r="710" customFormat="false" ht="15" hidden="false" customHeight="true" outlineLevel="0" collapsed="false">
      <c r="A710" s="30" t="s">
        <v>92</v>
      </c>
      <c r="B710" s="30" t="s">
        <v>93</v>
      </c>
      <c r="C710" s="21" t="n">
        <f aca="false">IF(A710="","",IFERROR(VLOOKUP(A710,'Recert Status'!$A$8:$C$400,3,FALSE()),""))</f>
        <v>46752</v>
      </c>
      <c r="D710" s="31" t="s">
        <v>474</v>
      </c>
      <c r="E710" s="30" t="s">
        <v>389</v>
      </c>
      <c r="F710" s="32" t="n">
        <v>1</v>
      </c>
      <c r="G710" s="33" t="n">
        <v>46204</v>
      </c>
      <c r="H710" s="33" t="n">
        <v>46204</v>
      </c>
      <c r="I710" s="31" t="s">
        <v>475</v>
      </c>
      <c r="J710" s="30" t="s">
        <v>389</v>
      </c>
      <c r="K710" s="31" t="s">
        <v>476</v>
      </c>
      <c r="L710" s="32" t="n">
        <v>1</v>
      </c>
      <c r="M710" s="35" t="s">
        <v>386</v>
      </c>
      <c r="N710" s="31" t="s">
        <v>387</v>
      </c>
      <c r="O710" s="32" t="n">
        <v>1</v>
      </c>
      <c r="P710" s="15" t="n">
        <f aca="false">IF(A710="","",IF(O710&lt;&gt;"",O710,IF(L710&lt;&gt;"",L710,F710)))</f>
        <v>1</v>
      </c>
    </row>
    <row r="711" customFormat="false" ht="15" hidden="false" customHeight="true" outlineLevel="0" collapsed="false">
      <c r="A711" s="26" t="s">
        <v>92</v>
      </c>
      <c r="B711" s="26" t="s">
        <v>93</v>
      </c>
      <c r="C711" s="14" t="n">
        <f aca="false">IF(A711="","",IFERROR(VLOOKUP(A711,'Recert Status'!$A$8:$C$400,3,FALSE()),""))</f>
        <v>46752</v>
      </c>
      <c r="D711" s="18" t="s">
        <v>387</v>
      </c>
      <c r="E711" s="26" t="s">
        <v>389</v>
      </c>
      <c r="F711" s="27" t="n">
        <v>1</v>
      </c>
      <c r="G711" s="28" t="n">
        <v>46285</v>
      </c>
      <c r="H711" s="28" t="n">
        <v>46285</v>
      </c>
      <c r="I711" s="18" t="s">
        <v>1077</v>
      </c>
      <c r="J711" s="26" t="s">
        <v>389</v>
      </c>
      <c r="K711" s="18" t="s">
        <v>495</v>
      </c>
      <c r="L711" s="27" t="n">
        <v>1</v>
      </c>
      <c r="M711" s="35" t="s">
        <v>386</v>
      </c>
      <c r="N711" s="18" t="s">
        <v>387</v>
      </c>
      <c r="O711" s="27" t="n">
        <v>1</v>
      </c>
      <c r="P711" s="15" t="n">
        <f aca="false">IF(A711="","",IF(O711&lt;&gt;"",O711,IF(L711&lt;&gt;"",L711,F711)))</f>
        <v>1</v>
      </c>
    </row>
    <row r="712" customFormat="false" ht="15" hidden="false" customHeight="true" outlineLevel="0" collapsed="false">
      <c r="A712" s="30" t="s">
        <v>92</v>
      </c>
      <c r="B712" s="30" t="s">
        <v>93</v>
      </c>
      <c r="C712" s="21" t="n">
        <f aca="false">IF(A712="","",IFERROR(VLOOKUP(A712,'Recert Status'!$A$8:$C$400,3,FALSE()),""))</f>
        <v>46752</v>
      </c>
      <c r="D712" s="31" t="s">
        <v>802</v>
      </c>
      <c r="E712" s="30" t="n">
        <v>35513</v>
      </c>
      <c r="F712" s="32" t="n">
        <v>1</v>
      </c>
      <c r="G712" s="33" t="n">
        <v>45868</v>
      </c>
      <c r="H712" s="33" t="n">
        <v>45868</v>
      </c>
      <c r="I712" s="31" t="s">
        <v>803</v>
      </c>
      <c r="J712" s="30" t="s">
        <v>384</v>
      </c>
      <c r="K712" s="31" t="s">
        <v>385</v>
      </c>
      <c r="L712" s="32" t="n">
        <v>1</v>
      </c>
      <c r="M712" s="36" t="s">
        <v>396</v>
      </c>
      <c r="N712" s="31" t="s">
        <v>397</v>
      </c>
      <c r="O712" s="32" t="n">
        <v>1</v>
      </c>
      <c r="P712" s="15" t="n">
        <f aca="false">IF(A712="","",IF(O712&lt;&gt;"",O712,IF(L712&lt;&gt;"",L712,F712)))</f>
        <v>1</v>
      </c>
    </row>
    <row r="713" customFormat="false" ht="15" hidden="false" customHeight="true" outlineLevel="0" collapsed="false">
      <c r="A713" s="26" t="s">
        <v>92</v>
      </c>
      <c r="B713" s="26" t="s">
        <v>93</v>
      </c>
      <c r="C713" s="14" t="n">
        <f aca="false">IF(A713="","",IFERROR(VLOOKUP(A713,'Recert Status'!$A$8:$C$400,3,FALSE()),""))</f>
        <v>46752</v>
      </c>
      <c r="D713" s="18" t="s">
        <v>379</v>
      </c>
      <c r="E713" s="26" t="n">
        <v>35513</v>
      </c>
      <c r="F713" s="27" t="n">
        <v>1</v>
      </c>
      <c r="G713" s="28" t="n">
        <v>46147</v>
      </c>
      <c r="H713" s="28" t="n">
        <v>46147</v>
      </c>
      <c r="I713" s="18" t="s">
        <v>371</v>
      </c>
      <c r="J713" s="26" t="s">
        <v>384</v>
      </c>
      <c r="K713" s="18" t="s">
        <v>385</v>
      </c>
      <c r="L713" s="27" t="n">
        <v>1</v>
      </c>
      <c r="M713" s="36" t="s">
        <v>396</v>
      </c>
      <c r="N713" s="18" t="s">
        <v>397</v>
      </c>
      <c r="O713" s="27" t="n">
        <v>1</v>
      </c>
      <c r="P713" s="15" t="n">
        <f aca="false">IF(A713="","",IF(O713&lt;&gt;"",O713,IF(L713&lt;&gt;"",L713,F713)))</f>
        <v>1</v>
      </c>
    </row>
    <row r="714" customFormat="false" ht="15" hidden="false" customHeight="true" outlineLevel="0" collapsed="false">
      <c r="A714" s="30" t="s">
        <v>92</v>
      </c>
      <c r="B714" s="30" t="s">
        <v>93</v>
      </c>
      <c r="C714" s="21" t="n">
        <f aca="false">IF(A714="","",IFERROR(VLOOKUP(A714,'Recert Status'!$A$8:$C$400,3,FALSE()),""))</f>
        <v>46752</v>
      </c>
      <c r="D714" s="31" t="s">
        <v>397</v>
      </c>
      <c r="E714" s="30" t="s">
        <v>452</v>
      </c>
      <c r="F714" s="32" t="n">
        <v>1</v>
      </c>
      <c r="G714" s="33" t="n">
        <v>46246</v>
      </c>
      <c r="H714" s="33" t="n">
        <v>46246</v>
      </c>
      <c r="I714" s="31" t="s">
        <v>1078</v>
      </c>
      <c r="J714" s="30" t="s">
        <v>452</v>
      </c>
      <c r="K714" s="31" t="s">
        <v>385</v>
      </c>
      <c r="L714" s="32" t="n">
        <v>1</v>
      </c>
      <c r="M714" s="36" t="s">
        <v>396</v>
      </c>
      <c r="N714" s="31" t="s">
        <v>397</v>
      </c>
      <c r="O714" s="32" t="n">
        <v>1</v>
      </c>
      <c r="P714" s="15" t="n">
        <f aca="false">IF(A714="","",IF(O714&lt;&gt;"",O714,IF(L714&lt;&gt;"",L714,F714)))</f>
        <v>1</v>
      </c>
    </row>
    <row r="715" customFormat="false" ht="15" hidden="false" customHeight="true" outlineLevel="0" collapsed="false">
      <c r="A715" s="26" t="s">
        <v>92</v>
      </c>
      <c r="B715" s="26" t="s">
        <v>93</v>
      </c>
      <c r="C715" s="14" t="n">
        <f aca="false">IF(A715="","",IFERROR(VLOOKUP(A715,'Recert Status'!$A$8:$C$400,3,FALSE()),""))</f>
        <v>46752</v>
      </c>
      <c r="D715" s="18" t="s">
        <v>397</v>
      </c>
      <c r="E715" s="26" t="s">
        <v>452</v>
      </c>
      <c r="F715" s="27" t="n">
        <v>1</v>
      </c>
      <c r="G715" s="28" t="n">
        <v>46246</v>
      </c>
      <c r="H715" s="28" t="n">
        <v>46246</v>
      </c>
      <c r="I715" s="18" t="s">
        <v>478</v>
      </c>
      <c r="J715" s="26" t="s">
        <v>452</v>
      </c>
      <c r="K715" s="18" t="s">
        <v>385</v>
      </c>
      <c r="L715" s="27" t="n">
        <v>1</v>
      </c>
      <c r="M715" s="36" t="s">
        <v>396</v>
      </c>
      <c r="N715" s="18" t="s">
        <v>397</v>
      </c>
      <c r="O715" s="27" t="n">
        <v>1</v>
      </c>
      <c r="P715" s="15" t="n">
        <f aca="false">IF(A715="","",IF(O715&lt;&gt;"",O715,IF(L715&lt;&gt;"",L715,F715)))</f>
        <v>1</v>
      </c>
    </row>
    <row r="716" customFormat="false" ht="15" hidden="false" customHeight="true" outlineLevel="0" collapsed="false">
      <c r="A716" s="30" t="s">
        <v>92</v>
      </c>
      <c r="B716" s="30" t="s">
        <v>93</v>
      </c>
      <c r="C716" s="21" t="n">
        <f aca="false">IF(A716="","",IFERROR(VLOOKUP(A716,'Recert Status'!$A$8:$C$400,3,FALSE()),""))</f>
        <v>46752</v>
      </c>
      <c r="D716" s="31" t="s">
        <v>1079</v>
      </c>
      <c r="E716" s="30" t="s">
        <v>399</v>
      </c>
      <c r="F716" s="32" t="n">
        <v>1</v>
      </c>
      <c r="G716" s="33" t="n">
        <v>45973</v>
      </c>
      <c r="H716" s="33" t="n">
        <v>45973</v>
      </c>
      <c r="I716" s="31" t="s">
        <v>1079</v>
      </c>
      <c r="J716" s="30" t="s">
        <v>399</v>
      </c>
      <c r="K716" s="31" t="s">
        <v>401</v>
      </c>
      <c r="L716" s="32" t="n">
        <v>1</v>
      </c>
      <c r="M716" s="37" t="s">
        <v>402</v>
      </c>
      <c r="N716" s="31" t="s">
        <v>403</v>
      </c>
      <c r="O716" s="32" t="n">
        <v>1</v>
      </c>
      <c r="P716" s="15" t="n">
        <f aca="false">IF(A716="","",IF(O716&lt;&gt;"",O716,IF(L716&lt;&gt;"",L716,F716)))</f>
        <v>1</v>
      </c>
    </row>
    <row r="717" customFormat="false" ht="15" hidden="false" customHeight="true" outlineLevel="0" collapsed="false">
      <c r="A717" s="26" t="s">
        <v>92</v>
      </c>
      <c r="B717" s="26" t="s">
        <v>93</v>
      </c>
      <c r="C717" s="14" t="n">
        <f aca="false">IF(A717="","",IFERROR(VLOOKUP(A717,'Recert Status'!$A$8:$C$400,3,FALSE()),""))</f>
        <v>46752</v>
      </c>
      <c r="D717" s="18" t="s">
        <v>449</v>
      </c>
      <c r="E717" s="26" t="s">
        <v>416</v>
      </c>
      <c r="F717" s="27" t="n">
        <v>1</v>
      </c>
      <c r="G717" s="28" t="n">
        <v>45826</v>
      </c>
      <c r="H717" s="28" t="n">
        <v>45826</v>
      </c>
      <c r="I717" s="18" t="s">
        <v>1080</v>
      </c>
      <c r="J717" s="26" t="s">
        <v>416</v>
      </c>
      <c r="K717" s="18" t="s">
        <v>674</v>
      </c>
      <c r="L717" s="27" t="n">
        <v>1</v>
      </c>
      <c r="M717" s="39" t="s">
        <v>413</v>
      </c>
      <c r="N717" s="18" t="s">
        <v>414</v>
      </c>
      <c r="O717" s="27" t="n">
        <v>1</v>
      </c>
      <c r="P717" s="15" t="n">
        <f aca="false">IF(A717="","",IF(O717&lt;&gt;"",O717,IF(L717&lt;&gt;"",L717,F717)))</f>
        <v>1</v>
      </c>
    </row>
    <row r="718" customFormat="false" ht="15" hidden="false" customHeight="true" outlineLevel="0" collapsed="false">
      <c r="A718" s="30" t="s">
        <v>92</v>
      </c>
      <c r="B718" s="30" t="s">
        <v>93</v>
      </c>
      <c r="C718" s="21" t="n">
        <f aca="false">IF(A718="","",IFERROR(VLOOKUP(A718,'Recert Status'!$A$8:$C$400,3,FALSE()),""))</f>
        <v>46752</v>
      </c>
      <c r="D718" s="31" t="s">
        <v>457</v>
      </c>
      <c r="E718" s="30" t="s">
        <v>416</v>
      </c>
      <c r="F718" s="32" t="n">
        <v>2</v>
      </c>
      <c r="G718" s="33" t="n">
        <v>45859</v>
      </c>
      <c r="H718" s="33" t="n">
        <v>45859</v>
      </c>
      <c r="I718" s="31" t="s">
        <v>780</v>
      </c>
      <c r="J718" s="30" t="s">
        <v>416</v>
      </c>
      <c r="K718" s="31" t="s">
        <v>781</v>
      </c>
      <c r="L718" s="32" t="n">
        <v>2</v>
      </c>
      <c r="M718" s="39" t="s">
        <v>413</v>
      </c>
      <c r="N718" s="31" t="s">
        <v>414</v>
      </c>
      <c r="O718" s="32" t="n">
        <v>2</v>
      </c>
      <c r="P718" s="15" t="n">
        <f aca="false">IF(A718="","",IF(O718&lt;&gt;"",O718,IF(L718&lt;&gt;"",L718,F718)))</f>
        <v>2</v>
      </c>
    </row>
    <row r="719" customFormat="false" ht="15" hidden="false" customHeight="true" outlineLevel="0" collapsed="false">
      <c r="A719" s="26" t="s">
        <v>92</v>
      </c>
      <c r="B719" s="26" t="s">
        <v>93</v>
      </c>
      <c r="C719" s="14" t="n">
        <f aca="false">IF(A719="","",IFERROR(VLOOKUP(A719,'Recert Status'!$A$8:$C$400,3,FALSE()),""))</f>
        <v>46752</v>
      </c>
      <c r="D719" s="18" t="s">
        <v>1081</v>
      </c>
      <c r="E719" s="26" t="s">
        <v>416</v>
      </c>
      <c r="F719" s="27" t="n">
        <v>1</v>
      </c>
      <c r="G719" s="28" t="n">
        <v>45994</v>
      </c>
      <c r="H719" s="28" t="n">
        <v>45994</v>
      </c>
      <c r="I719" s="18" t="s">
        <v>1082</v>
      </c>
      <c r="J719" s="26" t="s">
        <v>416</v>
      </c>
      <c r="K719" s="18" t="s">
        <v>407</v>
      </c>
      <c r="L719" s="27" t="n">
        <v>1</v>
      </c>
      <c r="M719" s="39" t="s">
        <v>413</v>
      </c>
      <c r="N719" s="18" t="s">
        <v>414</v>
      </c>
      <c r="O719" s="27" t="n">
        <v>1</v>
      </c>
      <c r="P719" s="15" t="n">
        <f aca="false">IF(A719="","",IF(O719&lt;&gt;"",O719,IF(L719&lt;&gt;"",L719,F719)))</f>
        <v>1</v>
      </c>
    </row>
    <row r="720" customFormat="false" ht="15" hidden="false" customHeight="true" outlineLevel="0" collapsed="false">
      <c r="A720" s="30" t="s">
        <v>94</v>
      </c>
      <c r="B720" s="30" t="s">
        <v>95</v>
      </c>
      <c r="C720" s="21" t="n">
        <f aca="false">IF(A720="","",IFERROR(VLOOKUP(A720,'Recert Status'!$A$8:$C$400,3,FALSE()),""))</f>
        <v>46387</v>
      </c>
      <c r="D720" s="31" t="s">
        <v>753</v>
      </c>
      <c r="E720" s="30" t="s">
        <v>363</v>
      </c>
      <c r="F720" s="32" t="n">
        <v>0.5</v>
      </c>
      <c r="G720" s="33" t="n">
        <v>45742</v>
      </c>
      <c r="H720" s="33" t="n">
        <v>45742</v>
      </c>
      <c r="I720" s="31" t="s">
        <v>755</v>
      </c>
      <c r="J720" s="30" t="s">
        <v>363</v>
      </c>
      <c r="K720" s="31" t="s">
        <v>370</v>
      </c>
      <c r="L720" s="32" t="n">
        <v>0.5</v>
      </c>
      <c r="M720" s="29" t="s">
        <v>366</v>
      </c>
      <c r="N720" s="31" t="s">
        <v>367</v>
      </c>
      <c r="O720" s="32" t="n">
        <v>0.5</v>
      </c>
      <c r="P720" s="15" t="n">
        <f aca="false">IF(A720="","",IF(O720&lt;&gt;"",O720,IF(L720&lt;&gt;"",L720,F720)))</f>
        <v>0.5</v>
      </c>
    </row>
    <row r="721" customFormat="false" ht="15" hidden="false" customHeight="true" outlineLevel="0" collapsed="false">
      <c r="A721" s="26" t="s">
        <v>94</v>
      </c>
      <c r="B721" s="26" t="s">
        <v>95</v>
      </c>
      <c r="C721" s="14" t="n">
        <f aca="false">IF(A721="","",IFERROR(VLOOKUP(A721,'Recert Status'!$A$8:$C$400,3,FALSE()),""))</f>
        <v>46387</v>
      </c>
      <c r="D721" s="18" t="s">
        <v>1083</v>
      </c>
      <c r="E721" s="26" t="s">
        <v>363</v>
      </c>
      <c r="F721" s="27" t="n">
        <v>1</v>
      </c>
      <c r="G721" s="28" t="n">
        <v>46090</v>
      </c>
      <c r="H721" s="28" t="n">
        <v>46090</v>
      </c>
      <c r="I721" s="18" t="s">
        <v>1084</v>
      </c>
      <c r="J721" s="26" t="s">
        <v>363</v>
      </c>
      <c r="K721" s="18" t="s">
        <v>1085</v>
      </c>
      <c r="L721" s="27" t="n">
        <v>1</v>
      </c>
      <c r="M721" s="29" t="s">
        <v>366</v>
      </c>
      <c r="N721" s="18" t="s">
        <v>367</v>
      </c>
      <c r="O721" s="27" t="n">
        <v>1</v>
      </c>
      <c r="P721" s="15" t="n">
        <f aca="false">IF(A721="","",IF(O721&lt;&gt;"",O721,IF(L721&lt;&gt;"",L721,F721)))</f>
        <v>1</v>
      </c>
    </row>
    <row r="722" customFormat="false" ht="15" hidden="false" customHeight="true" outlineLevel="0" collapsed="false">
      <c r="A722" s="30" t="s">
        <v>94</v>
      </c>
      <c r="B722" s="30" t="s">
        <v>95</v>
      </c>
      <c r="C722" s="21" t="n">
        <f aca="false">IF(A722="","",IFERROR(VLOOKUP(A722,'Recert Status'!$A$8:$C$400,3,FALSE()),""))</f>
        <v>46387</v>
      </c>
      <c r="D722" s="31" t="s">
        <v>732</v>
      </c>
      <c r="E722" s="30" t="s">
        <v>372</v>
      </c>
      <c r="F722" s="32" t="n">
        <v>0.5</v>
      </c>
      <c r="G722" s="33" t="n">
        <v>45784</v>
      </c>
      <c r="H722" s="33" t="n">
        <v>45784</v>
      </c>
      <c r="I722" s="31" t="s">
        <v>1086</v>
      </c>
      <c r="J722" s="30" t="s">
        <v>372</v>
      </c>
      <c r="K722" s="31" t="s">
        <v>374</v>
      </c>
      <c r="L722" s="32" t="n">
        <v>0.5</v>
      </c>
      <c r="M722" s="34" t="s">
        <v>375</v>
      </c>
      <c r="N722" s="31" t="s">
        <v>376</v>
      </c>
      <c r="O722" s="32" t="n">
        <v>0.5</v>
      </c>
      <c r="P722" s="15" t="n">
        <f aca="false">IF(A722="","",IF(O722&lt;&gt;"",O722,IF(L722&lt;&gt;"",L722,F722)))</f>
        <v>0.5</v>
      </c>
    </row>
    <row r="723" customFormat="false" ht="15" hidden="false" customHeight="true" outlineLevel="0" collapsed="false">
      <c r="A723" s="26" t="s">
        <v>94</v>
      </c>
      <c r="B723" s="26" t="s">
        <v>95</v>
      </c>
      <c r="C723" s="14" t="n">
        <f aca="false">IF(A723="","",IFERROR(VLOOKUP(A723,'Recert Status'!$A$8:$C$400,3,FALSE()),""))</f>
        <v>46387</v>
      </c>
      <c r="D723" s="18" t="s">
        <v>682</v>
      </c>
      <c r="E723" s="26" t="n">
        <v>29675</v>
      </c>
      <c r="F723" s="27" t="n">
        <v>1</v>
      </c>
      <c r="G723" s="28" t="n">
        <v>45985</v>
      </c>
      <c r="H723" s="28" t="n">
        <v>45985</v>
      </c>
      <c r="I723" s="18" t="s">
        <v>1074</v>
      </c>
      <c r="J723" s="26" t="s">
        <v>406</v>
      </c>
      <c r="K723" s="18" t="s">
        <v>446</v>
      </c>
      <c r="L723" s="27" t="n">
        <v>1</v>
      </c>
      <c r="M723" s="35" t="s">
        <v>386</v>
      </c>
      <c r="N723" s="18" t="s">
        <v>387</v>
      </c>
      <c r="O723" s="27" t="n">
        <v>1</v>
      </c>
      <c r="P723" s="15" t="n">
        <f aca="false">IF(A723="","",IF(O723&lt;&gt;"",O723,IF(L723&lt;&gt;"",L723,F723)))</f>
        <v>1</v>
      </c>
    </row>
    <row r="724" customFormat="false" ht="15" hidden="false" customHeight="true" outlineLevel="0" collapsed="false">
      <c r="A724" s="30" t="s">
        <v>94</v>
      </c>
      <c r="B724" s="30" t="s">
        <v>95</v>
      </c>
      <c r="C724" s="21" t="n">
        <f aca="false">IF(A724="","",IFERROR(VLOOKUP(A724,'Recert Status'!$A$8:$C$400,3,FALSE()),""))</f>
        <v>46387</v>
      </c>
      <c r="D724" s="31" t="s">
        <v>474</v>
      </c>
      <c r="E724" s="30" t="s">
        <v>389</v>
      </c>
      <c r="F724" s="32" t="n">
        <v>1</v>
      </c>
      <c r="G724" s="33" t="n">
        <v>46204</v>
      </c>
      <c r="H724" s="33" t="n">
        <v>46204</v>
      </c>
      <c r="I724" s="31" t="s">
        <v>475</v>
      </c>
      <c r="J724" s="30" t="s">
        <v>389</v>
      </c>
      <c r="K724" s="31" t="s">
        <v>476</v>
      </c>
      <c r="L724" s="32" t="n">
        <v>1</v>
      </c>
      <c r="M724" s="35" t="s">
        <v>386</v>
      </c>
      <c r="N724" s="31" t="s">
        <v>387</v>
      </c>
      <c r="O724" s="32" t="n">
        <v>1</v>
      </c>
      <c r="P724" s="15" t="n">
        <f aca="false">IF(A724="","",IF(O724&lt;&gt;"",O724,IF(L724&lt;&gt;"",L724,F724)))</f>
        <v>1</v>
      </c>
    </row>
    <row r="725" customFormat="false" ht="15" hidden="false" customHeight="true" outlineLevel="0" collapsed="false">
      <c r="A725" s="26" t="s">
        <v>94</v>
      </c>
      <c r="B725" s="26" t="s">
        <v>95</v>
      </c>
      <c r="C725" s="14" t="n">
        <f aca="false">IF(A725="","",IFERROR(VLOOKUP(A725,'Recert Status'!$A$8:$C$400,3,FALSE()),""))</f>
        <v>46387</v>
      </c>
      <c r="D725" s="18" t="s">
        <v>397</v>
      </c>
      <c r="E725" s="26" t="s">
        <v>452</v>
      </c>
      <c r="F725" s="27" t="n">
        <v>1</v>
      </c>
      <c r="G725" s="28" t="n">
        <v>46246</v>
      </c>
      <c r="H725" s="28" t="n">
        <v>46246</v>
      </c>
      <c r="I725" s="18" t="s">
        <v>478</v>
      </c>
      <c r="J725" s="26" t="s">
        <v>452</v>
      </c>
      <c r="K725" s="18" t="s">
        <v>385</v>
      </c>
      <c r="L725" s="27" t="n">
        <v>1</v>
      </c>
      <c r="M725" s="36" t="s">
        <v>396</v>
      </c>
      <c r="N725" s="18" t="s">
        <v>397</v>
      </c>
      <c r="O725" s="27" t="n">
        <v>1</v>
      </c>
      <c r="P725" s="15" t="n">
        <f aca="false">IF(A725="","",IF(O725&lt;&gt;"",O725,IF(L725&lt;&gt;"",L725,F725)))</f>
        <v>1</v>
      </c>
    </row>
    <row r="726" customFormat="false" ht="15" hidden="false" customHeight="true" outlineLevel="0" collapsed="false">
      <c r="A726" s="30" t="s">
        <v>94</v>
      </c>
      <c r="B726" s="30" t="s">
        <v>95</v>
      </c>
      <c r="C726" s="21" t="n">
        <f aca="false">IF(A726="","",IFERROR(VLOOKUP(A726,'Recert Status'!$A$8:$C$400,3,FALSE()),""))</f>
        <v>46387</v>
      </c>
      <c r="D726" s="31" t="s">
        <v>397</v>
      </c>
      <c r="E726" s="30" t="s">
        <v>452</v>
      </c>
      <c r="F726" s="32" t="n">
        <v>0.5</v>
      </c>
      <c r="G726" s="33" t="n">
        <v>46282</v>
      </c>
      <c r="H726" s="33" t="n">
        <v>46282</v>
      </c>
      <c r="I726" s="31" t="s">
        <v>1087</v>
      </c>
      <c r="J726" s="30" t="s">
        <v>452</v>
      </c>
      <c r="K726" s="31" t="s">
        <v>385</v>
      </c>
      <c r="L726" s="32" t="n">
        <v>0.5</v>
      </c>
      <c r="M726" s="36" t="s">
        <v>396</v>
      </c>
      <c r="N726" s="31" t="s">
        <v>397</v>
      </c>
      <c r="O726" s="32" t="n">
        <v>0.5</v>
      </c>
      <c r="P726" s="15" t="n">
        <f aca="false">IF(A726="","",IF(O726&lt;&gt;"",O726,IF(L726&lt;&gt;"",L726,F726)))</f>
        <v>0.5</v>
      </c>
    </row>
    <row r="727" customFormat="false" ht="15" hidden="false" customHeight="true" outlineLevel="0" collapsed="false">
      <c r="A727" s="26" t="s">
        <v>94</v>
      </c>
      <c r="B727" s="26" t="s">
        <v>95</v>
      </c>
      <c r="C727" s="14" t="n">
        <f aca="false">IF(A727="","",IFERROR(VLOOKUP(A727,'Recert Status'!$A$8:$C$400,3,FALSE()),""))</f>
        <v>46387</v>
      </c>
      <c r="D727" s="18" t="s">
        <v>717</v>
      </c>
      <c r="E727" s="26" t="s">
        <v>416</v>
      </c>
      <c r="F727" s="27" t="n">
        <v>1</v>
      </c>
      <c r="G727" s="28" t="n">
        <v>45826</v>
      </c>
      <c r="H727" s="28" t="n">
        <v>45826</v>
      </c>
      <c r="I727" s="18" t="s">
        <v>747</v>
      </c>
      <c r="J727" s="26" t="s">
        <v>416</v>
      </c>
      <c r="K727" s="18" t="s">
        <v>418</v>
      </c>
      <c r="L727" s="27" t="n">
        <v>1</v>
      </c>
      <c r="M727" s="39" t="s">
        <v>413</v>
      </c>
      <c r="N727" s="18" t="s">
        <v>414</v>
      </c>
      <c r="O727" s="27" t="n">
        <v>1</v>
      </c>
      <c r="P727" s="15" t="n">
        <f aca="false">IF(A727="","",IF(O727&lt;&gt;"",O727,IF(L727&lt;&gt;"",L727,F727)))</f>
        <v>1</v>
      </c>
    </row>
    <row r="728" customFormat="false" ht="15" hidden="false" customHeight="true" outlineLevel="0" collapsed="false">
      <c r="A728" s="30" t="s">
        <v>94</v>
      </c>
      <c r="B728" s="30" t="s">
        <v>95</v>
      </c>
      <c r="C728" s="21" t="n">
        <f aca="false">IF(A728="","",IFERROR(VLOOKUP(A728,'Recert Status'!$A$8:$C$400,3,FALSE()),""))</f>
        <v>46387</v>
      </c>
      <c r="D728" s="31" t="s">
        <v>717</v>
      </c>
      <c r="E728" s="30" t="s">
        <v>416</v>
      </c>
      <c r="F728" s="32" t="n">
        <v>2</v>
      </c>
      <c r="G728" s="33" t="n">
        <v>45859</v>
      </c>
      <c r="H728" s="33" t="n">
        <v>45859</v>
      </c>
      <c r="I728" s="31" t="s">
        <v>718</v>
      </c>
      <c r="J728" s="30" t="s">
        <v>416</v>
      </c>
      <c r="K728" s="31" t="s">
        <v>418</v>
      </c>
      <c r="L728" s="32" t="n">
        <v>2</v>
      </c>
      <c r="M728" s="39" t="s">
        <v>413</v>
      </c>
      <c r="N728" s="31" t="s">
        <v>414</v>
      </c>
      <c r="O728" s="32" t="n">
        <v>2</v>
      </c>
      <c r="P728" s="15" t="n">
        <f aca="false">IF(A728="","",IF(O728&lt;&gt;"",O728,IF(L728&lt;&gt;"",L728,F728)))</f>
        <v>2</v>
      </c>
    </row>
    <row r="729" customFormat="false" ht="15" hidden="false" customHeight="true" outlineLevel="0" collapsed="false">
      <c r="A729" s="26" t="s">
        <v>94</v>
      </c>
      <c r="B729" s="26" t="s">
        <v>95</v>
      </c>
      <c r="C729" s="14" t="n">
        <f aca="false">IF(A729="","",IFERROR(VLOOKUP(A729,'Recert Status'!$A$8:$C$400,3,FALSE()),""))</f>
        <v>46387</v>
      </c>
      <c r="D729" s="18" t="s">
        <v>488</v>
      </c>
      <c r="E729" s="26" t="s">
        <v>416</v>
      </c>
      <c r="F729" s="27" t="n">
        <v>1</v>
      </c>
      <c r="G729" s="28" t="n">
        <v>46132</v>
      </c>
      <c r="H729" s="28" t="n">
        <v>46132</v>
      </c>
      <c r="I729" s="18" t="s">
        <v>609</v>
      </c>
      <c r="J729" s="26" t="s">
        <v>416</v>
      </c>
      <c r="K729" s="18" t="s">
        <v>490</v>
      </c>
      <c r="L729" s="27" t="n">
        <v>1</v>
      </c>
      <c r="M729" s="39" t="s">
        <v>413</v>
      </c>
      <c r="N729" s="18" t="s">
        <v>414</v>
      </c>
      <c r="O729" s="27" t="n">
        <v>1</v>
      </c>
      <c r="P729" s="15" t="n">
        <f aca="false">IF(A729="","",IF(O729&lt;&gt;"",O729,IF(L729&lt;&gt;"",L729,F729)))</f>
        <v>1</v>
      </c>
    </row>
    <row r="730" customFormat="false" ht="15" hidden="false" customHeight="true" outlineLevel="0" collapsed="false">
      <c r="A730" s="30" t="s">
        <v>94</v>
      </c>
      <c r="B730" s="30" t="s">
        <v>95</v>
      </c>
      <c r="C730" s="21" t="n">
        <f aca="false">IF(A730="","",IFERROR(VLOOKUP(A730,'Recert Status'!$A$8:$C$400,3,FALSE()),""))</f>
        <v>46387</v>
      </c>
      <c r="D730" s="31" t="s">
        <v>414</v>
      </c>
      <c r="E730" s="30" t="s">
        <v>416</v>
      </c>
      <c r="F730" s="32" t="n">
        <v>2</v>
      </c>
      <c r="G730" s="33" t="n">
        <v>46219</v>
      </c>
      <c r="H730" s="33" t="n">
        <v>46219</v>
      </c>
      <c r="I730" s="31" t="s">
        <v>567</v>
      </c>
      <c r="J730" s="30" t="s">
        <v>416</v>
      </c>
      <c r="K730" s="31" t="s">
        <v>418</v>
      </c>
      <c r="L730" s="32" t="n">
        <v>2</v>
      </c>
      <c r="M730" s="39" t="s">
        <v>413</v>
      </c>
      <c r="N730" s="31" t="s">
        <v>414</v>
      </c>
      <c r="O730" s="32" t="n">
        <v>2</v>
      </c>
      <c r="P730" s="15" t="n">
        <f aca="false">IF(A730="","",IF(O730&lt;&gt;"",O730,IF(L730&lt;&gt;"",L730,F730)))</f>
        <v>2</v>
      </c>
    </row>
    <row r="731" customFormat="false" ht="15" hidden="false" customHeight="true" outlineLevel="0" collapsed="false">
      <c r="A731" s="26" t="s">
        <v>96</v>
      </c>
      <c r="B731" s="26" t="s">
        <v>97</v>
      </c>
      <c r="C731" s="14" t="n">
        <f aca="false">IF(A731="","",IFERROR(VLOOKUP(A731,'Recert Status'!$A$8:$C$400,3,FALSE()),""))</f>
        <v>46752</v>
      </c>
      <c r="D731" s="18" t="s">
        <v>496</v>
      </c>
      <c r="E731" s="26" t="s">
        <v>542</v>
      </c>
      <c r="F731" s="27" t="n">
        <v>4</v>
      </c>
      <c r="G731" s="28" t="n">
        <v>45961</v>
      </c>
      <c r="H731" s="28" t="n">
        <v>45961</v>
      </c>
      <c r="I731" s="18" t="s">
        <v>587</v>
      </c>
      <c r="J731" s="26" t="s">
        <v>542</v>
      </c>
      <c r="K731" s="18" t="s">
        <v>422</v>
      </c>
      <c r="L731" s="27" t="n">
        <v>4</v>
      </c>
      <c r="M731" s="40" t="s">
        <v>423</v>
      </c>
      <c r="N731" s="18" t="s">
        <v>424</v>
      </c>
      <c r="O731" s="27" t="n">
        <v>4</v>
      </c>
      <c r="P731" s="15" t="n">
        <f aca="false">IF(A731="","",IF(O731&lt;&gt;"",O731,IF(L731&lt;&gt;"",L731,F731)))</f>
        <v>4</v>
      </c>
    </row>
    <row r="732" customFormat="false" ht="15" hidden="false" customHeight="true" outlineLevel="0" collapsed="false">
      <c r="A732" s="30" t="s">
        <v>96</v>
      </c>
      <c r="B732" s="30" t="s">
        <v>97</v>
      </c>
      <c r="C732" s="21" t="n">
        <f aca="false">IF(A732="","",IFERROR(VLOOKUP(A732,'Recert Status'!$A$8:$C$400,3,FALSE()),""))</f>
        <v>46752</v>
      </c>
      <c r="D732" s="31" t="s">
        <v>471</v>
      </c>
      <c r="E732" s="30" t="s">
        <v>389</v>
      </c>
      <c r="F732" s="32" t="n">
        <v>1</v>
      </c>
      <c r="G732" s="33" t="n">
        <v>46184</v>
      </c>
      <c r="H732" s="33" t="n">
        <v>46184</v>
      </c>
      <c r="I732" s="31" t="s">
        <v>472</v>
      </c>
      <c r="J732" s="30" t="s">
        <v>389</v>
      </c>
      <c r="K732" s="31" t="s">
        <v>473</v>
      </c>
      <c r="L732" s="32" t="n">
        <v>1</v>
      </c>
      <c r="M732" s="35" t="s">
        <v>386</v>
      </c>
      <c r="N732" s="31" t="s">
        <v>387</v>
      </c>
      <c r="O732" s="32" t="n">
        <v>1</v>
      </c>
      <c r="P732" s="15" t="n">
        <f aca="false">IF(A732="","",IF(O732&lt;&gt;"",O732,IF(L732&lt;&gt;"",L732,F732)))</f>
        <v>1</v>
      </c>
    </row>
    <row r="733" customFormat="false" ht="15" hidden="false" customHeight="true" outlineLevel="0" collapsed="false">
      <c r="A733" s="26" t="s">
        <v>96</v>
      </c>
      <c r="B733" s="26" t="s">
        <v>97</v>
      </c>
      <c r="C733" s="14" t="n">
        <f aca="false">IF(A733="","",IFERROR(VLOOKUP(A733,'Recert Status'!$A$8:$C$400,3,FALSE()),""))</f>
        <v>46752</v>
      </c>
      <c r="D733" s="18" t="s">
        <v>387</v>
      </c>
      <c r="E733" s="26" t="s">
        <v>389</v>
      </c>
      <c r="F733" s="27" t="n">
        <v>1</v>
      </c>
      <c r="G733" s="28" t="n">
        <v>46274</v>
      </c>
      <c r="H733" s="28" t="n">
        <v>46274</v>
      </c>
      <c r="I733" s="18" t="s">
        <v>530</v>
      </c>
      <c r="J733" s="26" t="s">
        <v>389</v>
      </c>
      <c r="K733" s="18" t="s">
        <v>451</v>
      </c>
      <c r="L733" s="27" t="n">
        <v>1</v>
      </c>
      <c r="M733" s="35" t="s">
        <v>386</v>
      </c>
      <c r="N733" s="18" t="s">
        <v>387</v>
      </c>
      <c r="O733" s="27" t="n">
        <v>1</v>
      </c>
      <c r="P733" s="15" t="n">
        <f aca="false">IF(A733="","",IF(O733&lt;&gt;"",O733,IF(L733&lt;&gt;"",L733,F733)))</f>
        <v>1</v>
      </c>
    </row>
    <row r="734" customFormat="false" ht="15" hidden="false" customHeight="true" outlineLevel="0" collapsed="false">
      <c r="A734" s="30" t="s">
        <v>96</v>
      </c>
      <c r="B734" s="30" t="s">
        <v>97</v>
      </c>
      <c r="C734" s="21" t="n">
        <f aca="false">IF(A734="","",IFERROR(VLOOKUP(A734,'Recert Status'!$A$8:$C$400,3,FALSE()),""))</f>
        <v>46752</v>
      </c>
      <c r="D734" s="31" t="s">
        <v>597</v>
      </c>
      <c r="E734" s="30" t="n">
        <v>29735</v>
      </c>
      <c r="F734" s="32" t="n">
        <v>4</v>
      </c>
      <c r="G734" s="33" t="n">
        <v>45961</v>
      </c>
      <c r="H734" s="33" t="n">
        <v>45961</v>
      </c>
      <c r="I734" s="31" t="s">
        <v>598</v>
      </c>
      <c r="J734" s="30" t="s">
        <v>599</v>
      </c>
      <c r="K734" s="31" t="s">
        <v>600</v>
      </c>
      <c r="L734" s="32" t="n">
        <v>4</v>
      </c>
      <c r="M734" s="36" t="s">
        <v>396</v>
      </c>
      <c r="N734" s="31" t="s">
        <v>397</v>
      </c>
      <c r="O734" s="32" t="n">
        <v>4</v>
      </c>
      <c r="P734" s="15" t="n">
        <f aca="false">IF(A734="","",IF(O734&lt;&gt;"",O734,IF(L734&lt;&gt;"",L734,F734)))</f>
        <v>4</v>
      </c>
    </row>
    <row r="735" customFormat="false" ht="15" hidden="false" customHeight="true" outlineLevel="0" collapsed="false">
      <c r="A735" s="26" t="s">
        <v>96</v>
      </c>
      <c r="B735" s="26" t="s">
        <v>97</v>
      </c>
      <c r="C735" s="14" t="n">
        <f aca="false">IF(A735="","",IFERROR(VLOOKUP(A735,'Recert Status'!$A$8:$C$400,3,FALSE()),""))</f>
        <v>46752</v>
      </c>
      <c r="D735" s="18" t="s">
        <v>397</v>
      </c>
      <c r="E735" s="26" t="s">
        <v>452</v>
      </c>
      <c r="F735" s="27" t="n">
        <v>1</v>
      </c>
      <c r="G735" s="28" t="n">
        <v>46244</v>
      </c>
      <c r="H735" s="28" t="n">
        <v>46244</v>
      </c>
      <c r="I735" s="18" t="s">
        <v>577</v>
      </c>
      <c r="J735" s="26" t="s">
        <v>452</v>
      </c>
      <c r="K735" s="18" t="s">
        <v>385</v>
      </c>
      <c r="L735" s="27" t="n">
        <v>1</v>
      </c>
      <c r="M735" s="36" t="s">
        <v>396</v>
      </c>
      <c r="N735" s="18" t="s">
        <v>397</v>
      </c>
      <c r="O735" s="27" t="n">
        <v>1</v>
      </c>
      <c r="P735" s="15" t="n">
        <f aca="false">IF(A735="","",IF(O735&lt;&gt;"",O735,IF(L735&lt;&gt;"",L735,F735)))</f>
        <v>1</v>
      </c>
    </row>
    <row r="736" customFormat="false" ht="15" hidden="false" customHeight="true" outlineLevel="0" collapsed="false">
      <c r="A736" s="30" t="s">
        <v>96</v>
      </c>
      <c r="B736" s="30" t="s">
        <v>97</v>
      </c>
      <c r="C736" s="21" t="n">
        <f aca="false">IF(A736="","",IFERROR(VLOOKUP(A736,'Recert Status'!$A$8:$C$400,3,FALSE()),""))</f>
        <v>46752</v>
      </c>
      <c r="D736" s="31" t="s">
        <v>488</v>
      </c>
      <c r="E736" s="30" t="s">
        <v>416</v>
      </c>
      <c r="F736" s="32" t="n">
        <v>1</v>
      </c>
      <c r="G736" s="33" t="n">
        <v>46127</v>
      </c>
      <c r="H736" s="33" t="n">
        <v>46127</v>
      </c>
      <c r="I736" s="31" t="s">
        <v>534</v>
      </c>
      <c r="J736" s="30" t="s">
        <v>416</v>
      </c>
      <c r="K736" s="31" t="s">
        <v>490</v>
      </c>
      <c r="L736" s="32" t="n">
        <v>1</v>
      </c>
      <c r="M736" s="39" t="s">
        <v>413</v>
      </c>
      <c r="N736" s="31" t="s">
        <v>414</v>
      </c>
      <c r="O736" s="32" t="n">
        <v>1</v>
      </c>
      <c r="P736" s="15" t="n">
        <f aca="false">IF(A736="","",IF(O736&lt;&gt;"",O736,IF(L736&lt;&gt;"",L736,F736)))</f>
        <v>1</v>
      </c>
    </row>
    <row r="737" customFormat="false" ht="15" hidden="false" customHeight="true" outlineLevel="0" collapsed="false">
      <c r="A737" s="26" t="s">
        <v>96</v>
      </c>
      <c r="B737" s="26" t="s">
        <v>97</v>
      </c>
      <c r="C737" s="14" t="n">
        <f aca="false">IF(A737="","",IFERROR(VLOOKUP(A737,'Recert Status'!$A$8:$C$400,3,FALSE()),""))</f>
        <v>46752</v>
      </c>
      <c r="D737" s="18" t="s">
        <v>414</v>
      </c>
      <c r="E737" s="26" t="s">
        <v>416</v>
      </c>
      <c r="F737" s="27" t="n">
        <v>2</v>
      </c>
      <c r="G737" s="28" t="n">
        <v>46217</v>
      </c>
      <c r="H737" s="28" t="n">
        <v>46217</v>
      </c>
      <c r="I737" s="18" t="s">
        <v>460</v>
      </c>
      <c r="J737" s="26" t="s">
        <v>416</v>
      </c>
      <c r="K737" s="18" t="s">
        <v>418</v>
      </c>
      <c r="L737" s="27" t="n">
        <v>2</v>
      </c>
      <c r="M737" s="39" t="s">
        <v>413</v>
      </c>
      <c r="N737" s="18" t="s">
        <v>414</v>
      </c>
      <c r="O737" s="27" t="n">
        <v>2</v>
      </c>
      <c r="P737" s="15" t="n">
        <f aca="false">IF(A737="","",IF(O737&lt;&gt;"",O737,IF(L737&lt;&gt;"",L737,F737)))</f>
        <v>2</v>
      </c>
    </row>
    <row r="738" customFormat="false" ht="15" hidden="false" customHeight="true" outlineLevel="0" collapsed="false">
      <c r="A738" s="30" t="s">
        <v>96</v>
      </c>
      <c r="B738" s="30" t="s">
        <v>97</v>
      </c>
      <c r="C738" s="21" t="n">
        <f aca="false">IF(A738="","",IFERROR(VLOOKUP(A738,'Recert Status'!$A$8:$C$400,3,FALSE()),""))</f>
        <v>46752</v>
      </c>
      <c r="D738" s="31" t="s">
        <v>414</v>
      </c>
      <c r="E738" s="30" t="s">
        <v>416</v>
      </c>
      <c r="F738" s="32" t="n">
        <v>1.5</v>
      </c>
      <c r="G738" s="33" t="n">
        <v>46241</v>
      </c>
      <c r="H738" s="33" t="n">
        <v>46241</v>
      </c>
      <c r="I738" s="31" t="s">
        <v>536</v>
      </c>
      <c r="J738" s="30" t="s">
        <v>416</v>
      </c>
      <c r="K738" s="31" t="s">
        <v>418</v>
      </c>
      <c r="L738" s="32" t="n">
        <v>1.5</v>
      </c>
      <c r="M738" s="39" t="s">
        <v>413</v>
      </c>
      <c r="N738" s="31" t="s">
        <v>414</v>
      </c>
      <c r="O738" s="32" t="n">
        <v>1.5</v>
      </c>
      <c r="P738" s="15" t="n">
        <f aca="false">IF(A738="","",IF(O738&lt;&gt;"",O738,IF(L738&lt;&gt;"",L738,F738)))</f>
        <v>1.5</v>
      </c>
    </row>
    <row r="739" customFormat="false" ht="15" hidden="false" customHeight="true" outlineLevel="0" collapsed="false">
      <c r="A739" s="26" t="s">
        <v>98</v>
      </c>
      <c r="B739" s="26" t="s">
        <v>99</v>
      </c>
      <c r="C739" s="14" t="n">
        <f aca="false">IF(A739="","",IFERROR(VLOOKUP(A739,'Recert Status'!$A$8:$C$400,3,FALSE()),""))</f>
        <v>46387</v>
      </c>
      <c r="D739" s="18" t="s">
        <v>619</v>
      </c>
      <c r="E739" s="26" t="n">
        <v>29675</v>
      </c>
      <c r="F739" s="27" t="n">
        <v>0.5</v>
      </c>
      <c r="G739" s="28" t="n">
        <v>45762</v>
      </c>
      <c r="H739" s="28" t="n">
        <v>45762</v>
      </c>
      <c r="I739" s="18" t="s">
        <v>620</v>
      </c>
      <c r="J739" s="26" t="s">
        <v>406</v>
      </c>
      <c r="K739" s="18" t="s">
        <v>370</v>
      </c>
      <c r="L739" s="27" t="n">
        <v>0.5</v>
      </c>
      <c r="M739" s="29" t="s">
        <v>366</v>
      </c>
      <c r="N739" s="18" t="s">
        <v>367</v>
      </c>
      <c r="O739" s="27" t="n">
        <v>0.5</v>
      </c>
      <c r="P739" s="15" t="n">
        <f aca="false">IF(A739="","",IF(O739&lt;&gt;"",O739,IF(L739&lt;&gt;"",L739,F739)))</f>
        <v>0.5</v>
      </c>
    </row>
    <row r="740" customFormat="false" ht="15" hidden="false" customHeight="true" outlineLevel="0" collapsed="false">
      <c r="A740" s="30" t="s">
        <v>98</v>
      </c>
      <c r="B740" s="30" t="s">
        <v>99</v>
      </c>
      <c r="C740" s="21" t="n">
        <f aca="false">IF(A740="","",IFERROR(VLOOKUP(A740,'Recert Status'!$A$8:$C$400,3,FALSE()),""))</f>
        <v>46387</v>
      </c>
      <c r="D740" s="31" t="s">
        <v>621</v>
      </c>
      <c r="E740" s="30" t="n">
        <v>29740</v>
      </c>
      <c r="F740" s="32" t="n">
        <v>0.5</v>
      </c>
      <c r="G740" s="33" t="n">
        <v>45783</v>
      </c>
      <c r="H740" s="33" t="n">
        <v>45783</v>
      </c>
      <c r="I740" s="31" t="s">
        <v>622</v>
      </c>
      <c r="J740" s="30" t="s">
        <v>394</v>
      </c>
      <c r="K740" s="31" t="s">
        <v>365</v>
      </c>
      <c r="L740" s="32" t="n">
        <v>0.5</v>
      </c>
      <c r="M740" s="29" t="s">
        <v>366</v>
      </c>
      <c r="N740" s="31" t="s">
        <v>367</v>
      </c>
      <c r="O740" s="32" t="n">
        <v>0.5</v>
      </c>
      <c r="P740" s="15" t="n">
        <f aca="false">IF(A740="","",IF(O740&lt;&gt;"",O740,IF(L740&lt;&gt;"",L740,F740)))</f>
        <v>0.5</v>
      </c>
    </row>
    <row r="741" customFormat="false" ht="15" hidden="false" customHeight="true" outlineLevel="0" collapsed="false">
      <c r="A741" s="26" t="s">
        <v>98</v>
      </c>
      <c r="B741" s="26" t="s">
        <v>99</v>
      </c>
      <c r="C741" s="14" t="n">
        <f aca="false">IF(A741="","",IFERROR(VLOOKUP(A741,'Recert Status'!$A$8:$C$400,3,FALSE()),""))</f>
        <v>46387</v>
      </c>
      <c r="D741" s="18" t="s">
        <v>632</v>
      </c>
      <c r="E741" s="26" t="n">
        <v>29675</v>
      </c>
      <c r="F741" s="27" t="n">
        <v>0.5</v>
      </c>
      <c r="G741" s="28" t="n">
        <v>45855</v>
      </c>
      <c r="H741" s="28" t="n">
        <v>45855</v>
      </c>
      <c r="I741" s="18" t="s">
        <v>633</v>
      </c>
      <c r="J741" s="26" t="s">
        <v>406</v>
      </c>
      <c r="K741" s="18" t="s">
        <v>422</v>
      </c>
      <c r="L741" s="27" t="n">
        <v>0.5</v>
      </c>
      <c r="M741" s="40" t="s">
        <v>423</v>
      </c>
      <c r="N741" s="18" t="s">
        <v>424</v>
      </c>
      <c r="O741" s="27" t="n">
        <v>0.5</v>
      </c>
      <c r="P741" s="15" t="n">
        <f aca="false">IF(A741="","",IF(O741&lt;&gt;"",O741,IF(L741&lt;&gt;"",L741,F741)))</f>
        <v>0.5</v>
      </c>
    </row>
    <row r="742" customFormat="false" ht="15" hidden="false" customHeight="true" outlineLevel="0" collapsed="false">
      <c r="A742" s="30" t="s">
        <v>98</v>
      </c>
      <c r="B742" s="30" t="s">
        <v>99</v>
      </c>
      <c r="C742" s="21" t="n">
        <f aca="false">IF(A742="","",IFERROR(VLOOKUP(A742,'Recert Status'!$A$8:$C$400,3,FALSE()),""))</f>
        <v>46387</v>
      </c>
      <c r="D742" s="31" t="s">
        <v>949</v>
      </c>
      <c r="E742" s="30" t="s">
        <v>542</v>
      </c>
      <c r="F742" s="32" t="n">
        <v>1</v>
      </c>
      <c r="G742" s="33" t="n">
        <v>46056</v>
      </c>
      <c r="H742" s="33" t="n">
        <v>46056</v>
      </c>
      <c r="I742" s="31" t="s">
        <v>950</v>
      </c>
      <c r="J742" s="30" t="s">
        <v>542</v>
      </c>
      <c r="K742" s="31" t="s">
        <v>422</v>
      </c>
      <c r="L742" s="32" t="n">
        <v>1</v>
      </c>
      <c r="M742" s="40" t="s">
        <v>423</v>
      </c>
      <c r="N742" s="31" t="s">
        <v>424</v>
      </c>
      <c r="O742" s="32" t="n">
        <v>1</v>
      </c>
      <c r="P742" s="15" t="n">
        <f aca="false">IF(A742="","",IF(O742&lt;&gt;"",O742,IF(L742&lt;&gt;"",L742,F742)))</f>
        <v>1</v>
      </c>
    </row>
    <row r="743" customFormat="false" ht="15" hidden="false" customHeight="true" outlineLevel="0" collapsed="false">
      <c r="A743" s="26" t="s">
        <v>98</v>
      </c>
      <c r="B743" s="26" t="s">
        <v>99</v>
      </c>
      <c r="C743" s="14" t="n">
        <f aca="false">IF(A743="","",IFERROR(VLOOKUP(A743,'Recert Status'!$A$8:$C$400,3,FALSE()),""))</f>
        <v>46387</v>
      </c>
      <c r="D743" s="18" t="s">
        <v>951</v>
      </c>
      <c r="E743" s="26" t="s">
        <v>426</v>
      </c>
      <c r="F743" s="27" t="n">
        <v>1</v>
      </c>
      <c r="G743" s="28" t="n">
        <v>45912</v>
      </c>
      <c r="H743" s="28" t="n">
        <v>45912</v>
      </c>
      <c r="I743" s="18" t="s">
        <v>952</v>
      </c>
      <c r="J743" s="26" t="s">
        <v>426</v>
      </c>
      <c r="K743" s="18" t="s">
        <v>428</v>
      </c>
      <c r="L743" s="27" t="n">
        <v>1</v>
      </c>
      <c r="M743" s="41" t="s">
        <v>429</v>
      </c>
      <c r="N743" s="18" t="s">
        <v>430</v>
      </c>
      <c r="O743" s="27" t="n">
        <v>1</v>
      </c>
      <c r="P743" s="15" t="n">
        <f aca="false">IF(A743="","",IF(O743&lt;&gt;"",O743,IF(L743&lt;&gt;"",L743,F743)))</f>
        <v>1</v>
      </c>
    </row>
    <row r="744" customFormat="false" ht="15" hidden="false" customHeight="true" outlineLevel="0" collapsed="false">
      <c r="A744" s="30" t="s">
        <v>98</v>
      </c>
      <c r="B744" s="30" t="s">
        <v>99</v>
      </c>
      <c r="C744" s="21" t="n">
        <f aca="false">IF(A744="","",IFERROR(VLOOKUP(A744,'Recert Status'!$A$8:$C$400,3,FALSE()),""))</f>
        <v>46387</v>
      </c>
      <c r="D744" s="31" t="s">
        <v>569</v>
      </c>
      <c r="E744" s="30" t="s">
        <v>426</v>
      </c>
      <c r="F744" s="32" t="n">
        <v>0.5</v>
      </c>
      <c r="G744" s="33" t="n">
        <v>45918</v>
      </c>
      <c r="H744" s="33" t="n">
        <v>45918</v>
      </c>
      <c r="I744" s="31" t="s">
        <v>836</v>
      </c>
      <c r="J744" s="30" t="s">
        <v>426</v>
      </c>
      <c r="K744" s="31" t="s">
        <v>428</v>
      </c>
      <c r="L744" s="32" t="n">
        <v>0.5</v>
      </c>
      <c r="M744" s="41" t="s">
        <v>429</v>
      </c>
      <c r="N744" s="31" t="s">
        <v>430</v>
      </c>
      <c r="O744" s="32" t="n">
        <v>0.5</v>
      </c>
      <c r="P744" s="15" t="n">
        <f aca="false">IF(A744="","",IF(O744&lt;&gt;"",O744,IF(L744&lt;&gt;"",L744,F744)))</f>
        <v>0.5</v>
      </c>
    </row>
    <row r="745" customFormat="false" ht="15" hidden="false" customHeight="true" outlineLevel="0" collapsed="false">
      <c r="A745" s="26" t="s">
        <v>98</v>
      </c>
      <c r="B745" s="26" t="s">
        <v>99</v>
      </c>
      <c r="C745" s="14" t="n">
        <f aca="false">IF(A745="","",IFERROR(VLOOKUP(A745,'Recert Status'!$A$8:$C$400,3,FALSE()),""))</f>
        <v>46387</v>
      </c>
      <c r="D745" s="18" t="s">
        <v>642</v>
      </c>
      <c r="E745" s="26" t="n">
        <v>29675</v>
      </c>
      <c r="F745" s="27" t="n">
        <v>0.5</v>
      </c>
      <c r="G745" s="28" t="n">
        <v>45762</v>
      </c>
      <c r="H745" s="28" t="n">
        <v>45762</v>
      </c>
      <c r="I745" s="18" t="s">
        <v>643</v>
      </c>
      <c r="J745" s="26" t="s">
        <v>406</v>
      </c>
      <c r="K745" s="18" t="s">
        <v>395</v>
      </c>
      <c r="L745" s="27" t="n">
        <v>0.5</v>
      </c>
      <c r="M745" s="35" t="s">
        <v>386</v>
      </c>
      <c r="N745" s="18" t="s">
        <v>387</v>
      </c>
      <c r="O745" s="27" t="n">
        <v>0.5</v>
      </c>
      <c r="P745" s="15" t="n">
        <f aca="false">IF(A745="","",IF(O745&lt;&gt;"",O745,IF(L745&lt;&gt;"",L745,F745)))</f>
        <v>0.5</v>
      </c>
    </row>
    <row r="746" customFormat="false" ht="15" hidden="false" customHeight="true" outlineLevel="0" collapsed="false">
      <c r="A746" s="30" t="s">
        <v>98</v>
      </c>
      <c r="B746" s="30" t="s">
        <v>99</v>
      </c>
      <c r="C746" s="21" t="n">
        <f aca="false">IF(A746="","",IFERROR(VLOOKUP(A746,'Recert Status'!$A$8:$C$400,3,FALSE()),""))</f>
        <v>46387</v>
      </c>
      <c r="D746" s="31" t="s">
        <v>644</v>
      </c>
      <c r="E746" s="30" t="n">
        <v>29743</v>
      </c>
      <c r="F746" s="32" t="n">
        <v>1</v>
      </c>
      <c r="G746" s="33" t="n">
        <v>45777</v>
      </c>
      <c r="H746" s="33" t="n">
        <v>45777</v>
      </c>
      <c r="I746" s="31" t="s">
        <v>645</v>
      </c>
      <c r="J746" s="30" t="s">
        <v>439</v>
      </c>
      <c r="K746" s="31" t="s">
        <v>646</v>
      </c>
      <c r="L746" s="32" t="n">
        <v>1</v>
      </c>
      <c r="M746" s="35" t="s">
        <v>386</v>
      </c>
      <c r="N746" s="31" t="s">
        <v>387</v>
      </c>
      <c r="O746" s="32" t="n">
        <v>1</v>
      </c>
      <c r="P746" s="15" t="n">
        <f aca="false">IF(A746="","",IF(O746&lt;&gt;"",O746,IF(L746&lt;&gt;"",L746,F746)))</f>
        <v>1</v>
      </c>
    </row>
    <row r="747" customFormat="false" ht="15" hidden="false" customHeight="true" outlineLevel="0" collapsed="false">
      <c r="A747" s="26" t="s">
        <v>98</v>
      </c>
      <c r="B747" s="26" t="s">
        <v>99</v>
      </c>
      <c r="C747" s="14" t="n">
        <f aca="false">IF(A747="","",IFERROR(VLOOKUP(A747,'Recert Status'!$A$8:$C$400,3,FALSE()),""))</f>
        <v>46387</v>
      </c>
      <c r="D747" s="18" t="s">
        <v>571</v>
      </c>
      <c r="E747" s="26" t="n">
        <v>29675</v>
      </c>
      <c r="F747" s="27" t="n">
        <v>1</v>
      </c>
      <c r="G747" s="28" t="n">
        <v>45924</v>
      </c>
      <c r="H747" s="28" t="n">
        <v>45924</v>
      </c>
      <c r="I747" s="18" t="s">
        <v>572</v>
      </c>
      <c r="J747" s="26" t="s">
        <v>406</v>
      </c>
      <c r="K747" s="18" t="s">
        <v>468</v>
      </c>
      <c r="L747" s="27" t="n">
        <v>1</v>
      </c>
      <c r="M747" s="35" t="s">
        <v>386</v>
      </c>
      <c r="N747" s="18" t="s">
        <v>387</v>
      </c>
      <c r="O747" s="27" t="n">
        <v>1</v>
      </c>
      <c r="P747" s="15" t="n">
        <f aca="false">IF(A747="","",IF(O747&lt;&gt;"",O747,IF(L747&lt;&gt;"",L747,F747)))</f>
        <v>1</v>
      </c>
    </row>
    <row r="748" customFormat="false" ht="15" hidden="false" customHeight="true" outlineLevel="0" collapsed="false">
      <c r="A748" s="30" t="s">
        <v>98</v>
      </c>
      <c r="B748" s="30" t="s">
        <v>99</v>
      </c>
      <c r="C748" s="21" t="n">
        <f aca="false">IF(A748="","",IFERROR(VLOOKUP(A748,'Recert Status'!$A$8:$C$400,3,FALSE()),""))</f>
        <v>46387</v>
      </c>
      <c r="D748" s="31" t="s">
        <v>660</v>
      </c>
      <c r="E748" s="30" t="n">
        <v>29675</v>
      </c>
      <c r="F748" s="32" t="n">
        <v>1</v>
      </c>
      <c r="G748" s="33" t="n">
        <v>45966</v>
      </c>
      <c r="H748" s="33" t="n">
        <v>45966</v>
      </c>
      <c r="I748" s="31" t="s">
        <v>661</v>
      </c>
      <c r="J748" s="30" t="s">
        <v>406</v>
      </c>
      <c r="K748" s="31" t="s">
        <v>395</v>
      </c>
      <c r="L748" s="32" t="n">
        <v>1</v>
      </c>
      <c r="M748" s="35" t="s">
        <v>386</v>
      </c>
      <c r="N748" s="31" t="s">
        <v>387</v>
      </c>
      <c r="O748" s="32" t="n">
        <v>1</v>
      </c>
      <c r="P748" s="15" t="n">
        <f aca="false">IF(A748="","",IF(O748&lt;&gt;"",O748,IF(L748&lt;&gt;"",L748,F748)))</f>
        <v>1</v>
      </c>
    </row>
    <row r="749" customFormat="false" ht="15" hidden="false" customHeight="true" outlineLevel="0" collapsed="false">
      <c r="A749" s="26" t="s">
        <v>98</v>
      </c>
      <c r="B749" s="26" t="s">
        <v>99</v>
      </c>
      <c r="C749" s="14" t="n">
        <f aca="false">IF(A749="","",IFERROR(VLOOKUP(A749,'Recert Status'!$A$8:$C$400,3,FALSE()),""))</f>
        <v>46387</v>
      </c>
      <c r="D749" s="18" t="s">
        <v>1088</v>
      </c>
      <c r="E749" s="26" t="n">
        <v>29740</v>
      </c>
      <c r="F749" s="27" t="n">
        <v>1</v>
      </c>
      <c r="G749" s="28" t="n">
        <v>45987</v>
      </c>
      <c r="H749" s="28" t="n">
        <v>45987</v>
      </c>
      <c r="I749" s="18" t="s">
        <v>1089</v>
      </c>
      <c r="J749" s="26" t="s">
        <v>394</v>
      </c>
      <c r="K749" s="18" t="s">
        <v>468</v>
      </c>
      <c r="L749" s="27" t="n">
        <v>1</v>
      </c>
      <c r="M749" s="35" t="s">
        <v>386</v>
      </c>
      <c r="N749" s="18" t="s">
        <v>387</v>
      </c>
      <c r="O749" s="27" t="n">
        <v>1</v>
      </c>
      <c r="P749" s="15" t="n">
        <f aca="false">IF(A749="","",IF(O749&lt;&gt;"",O749,IF(L749&lt;&gt;"",L749,F749)))</f>
        <v>1</v>
      </c>
    </row>
    <row r="750" customFormat="false" ht="15" hidden="false" customHeight="true" outlineLevel="0" collapsed="false">
      <c r="A750" s="30" t="s">
        <v>98</v>
      </c>
      <c r="B750" s="30" t="s">
        <v>99</v>
      </c>
      <c r="C750" s="21" t="n">
        <f aca="false">IF(A750="","",IFERROR(VLOOKUP(A750,'Recert Status'!$A$8:$C$400,3,FALSE()),""))</f>
        <v>46387</v>
      </c>
      <c r="D750" s="31" t="s">
        <v>662</v>
      </c>
      <c r="E750" s="30" t="s">
        <v>452</v>
      </c>
      <c r="F750" s="32" t="n">
        <v>1</v>
      </c>
      <c r="G750" s="33" t="n">
        <v>45882</v>
      </c>
      <c r="H750" s="33" t="n">
        <v>45882</v>
      </c>
      <c r="I750" s="31" t="s">
        <v>663</v>
      </c>
      <c r="J750" s="30" t="s">
        <v>452</v>
      </c>
      <c r="K750" s="31" t="s">
        <v>385</v>
      </c>
      <c r="L750" s="32" t="n">
        <v>1</v>
      </c>
      <c r="M750" s="36" t="s">
        <v>396</v>
      </c>
      <c r="N750" s="31" t="s">
        <v>397</v>
      </c>
      <c r="O750" s="32" t="n">
        <v>1</v>
      </c>
      <c r="P750" s="15" t="n">
        <f aca="false">IF(A750="","",IF(O750&lt;&gt;"",O750,IF(L750&lt;&gt;"",L750,F750)))</f>
        <v>1</v>
      </c>
    </row>
    <row r="751" customFormat="false" ht="15" hidden="false" customHeight="true" outlineLevel="0" collapsed="false">
      <c r="A751" s="26" t="s">
        <v>98</v>
      </c>
      <c r="B751" s="26" t="s">
        <v>99</v>
      </c>
      <c r="C751" s="14" t="n">
        <f aca="false">IF(A751="","",IFERROR(VLOOKUP(A751,'Recert Status'!$A$8:$C$400,3,FALSE()),""))</f>
        <v>46387</v>
      </c>
      <c r="D751" s="18" t="s">
        <v>397</v>
      </c>
      <c r="E751" s="26" t="s">
        <v>452</v>
      </c>
      <c r="F751" s="27" t="n">
        <v>1</v>
      </c>
      <c r="G751" s="28" t="n">
        <v>46245</v>
      </c>
      <c r="H751" s="28" t="n">
        <v>46245</v>
      </c>
      <c r="I751" s="18" t="s">
        <v>605</v>
      </c>
      <c r="J751" s="26" t="s">
        <v>452</v>
      </c>
      <c r="K751" s="18" t="s">
        <v>385</v>
      </c>
      <c r="L751" s="27" t="n">
        <v>1</v>
      </c>
      <c r="M751" s="36" t="s">
        <v>396</v>
      </c>
      <c r="N751" s="18" t="s">
        <v>397</v>
      </c>
      <c r="O751" s="27" t="n">
        <v>1</v>
      </c>
      <c r="P751" s="15" t="n">
        <f aca="false">IF(A751="","",IF(O751&lt;&gt;"",O751,IF(L751&lt;&gt;"",L751,F751)))</f>
        <v>1</v>
      </c>
    </row>
    <row r="752" customFormat="false" ht="15" hidden="false" customHeight="true" outlineLevel="0" collapsed="false">
      <c r="A752" s="30" t="s">
        <v>98</v>
      </c>
      <c r="B752" s="30" t="s">
        <v>99</v>
      </c>
      <c r="C752" s="21" t="n">
        <f aca="false">IF(A752="","",IFERROR(VLOOKUP(A752,'Recert Status'!$A$8:$C$400,3,FALSE()),""))</f>
        <v>46387</v>
      </c>
      <c r="D752" s="31" t="s">
        <v>670</v>
      </c>
      <c r="E752" s="30" t="s">
        <v>416</v>
      </c>
      <c r="F752" s="32" t="n">
        <v>2</v>
      </c>
      <c r="G752" s="33" t="n">
        <v>45861</v>
      </c>
      <c r="H752" s="33" t="n">
        <v>45861</v>
      </c>
      <c r="I752" s="31" t="s">
        <v>671</v>
      </c>
      <c r="J752" s="30" t="s">
        <v>416</v>
      </c>
      <c r="K752" s="31" t="s">
        <v>418</v>
      </c>
      <c r="L752" s="32" t="n">
        <v>2</v>
      </c>
      <c r="M752" s="39" t="s">
        <v>413</v>
      </c>
      <c r="N752" s="31" t="s">
        <v>514</v>
      </c>
      <c r="O752" s="32" t="n">
        <v>2</v>
      </c>
      <c r="P752" s="15" t="n">
        <f aca="false">IF(A752="","",IF(O752&lt;&gt;"",O752,IF(L752&lt;&gt;"",L752,F752)))</f>
        <v>2</v>
      </c>
    </row>
    <row r="753" customFormat="false" ht="15" hidden="false" customHeight="true" outlineLevel="0" collapsed="false">
      <c r="A753" s="26" t="s">
        <v>98</v>
      </c>
      <c r="B753" s="26" t="s">
        <v>99</v>
      </c>
      <c r="C753" s="14" t="n">
        <f aca="false">IF(A753="","",IFERROR(VLOOKUP(A753,'Recert Status'!$A$8:$C$400,3,FALSE()),""))</f>
        <v>46387</v>
      </c>
      <c r="D753" s="18" t="s">
        <v>488</v>
      </c>
      <c r="E753" s="26" t="s">
        <v>416</v>
      </c>
      <c r="F753" s="27" t="n">
        <v>1</v>
      </c>
      <c r="G753" s="28" t="n">
        <v>46128</v>
      </c>
      <c r="H753" s="28" t="n">
        <v>46128</v>
      </c>
      <c r="I753" s="18" t="s">
        <v>609</v>
      </c>
      <c r="J753" s="26" t="s">
        <v>416</v>
      </c>
      <c r="K753" s="18" t="s">
        <v>490</v>
      </c>
      <c r="L753" s="27" t="n">
        <v>1</v>
      </c>
      <c r="M753" s="39" t="s">
        <v>413</v>
      </c>
      <c r="N753" s="18" t="s">
        <v>414</v>
      </c>
      <c r="O753" s="27" t="n">
        <v>1</v>
      </c>
      <c r="P753" s="15" t="n">
        <f aca="false">IF(A753="","",IF(O753&lt;&gt;"",O753,IF(L753&lt;&gt;"",L753,F753)))</f>
        <v>1</v>
      </c>
    </row>
    <row r="754" customFormat="false" ht="15" hidden="false" customHeight="true" outlineLevel="0" collapsed="false">
      <c r="A754" s="30" t="s">
        <v>98</v>
      </c>
      <c r="B754" s="30" t="s">
        <v>99</v>
      </c>
      <c r="C754" s="21" t="n">
        <f aca="false">IF(A754="","",IFERROR(VLOOKUP(A754,'Recert Status'!$A$8:$C$400,3,FALSE()),""))</f>
        <v>46387</v>
      </c>
      <c r="D754" s="31" t="s">
        <v>414</v>
      </c>
      <c r="E754" s="30" t="s">
        <v>416</v>
      </c>
      <c r="F754" s="32" t="n">
        <v>2</v>
      </c>
      <c r="G754" s="33" t="n">
        <v>46218</v>
      </c>
      <c r="H754" s="33" t="n">
        <v>46218</v>
      </c>
      <c r="I754" s="31" t="s">
        <v>535</v>
      </c>
      <c r="J754" s="30" t="s">
        <v>416</v>
      </c>
      <c r="K754" s="31" t="s">
        <v>418</v>
      </c>
      <c r="L754" s="32" t="n">
        <v>2</v>
      </c>
      <c r="M754" s="39" t="s">
        <v>413</v>
      </c>
      <c r="N754" s="31" t="s">
        <v>414</v>
      </c>
      <c r="O754" s="32" t="n">
        <v>2</v>
      </c>
      <c r="P754" s="15" t="n">
        <f aca="false">IF(A754="","",IF(O754&lt;&gt;"",O754,IF(L754&lt;&gt;"",L754,F754)))</f>
        <v>2</v>
      </c>
    </row>
    <row r="755" customFormat="false" ht="15" hidden="false" customHeight="true" outlineLevel="0" collapsed="false">
      <c r="A755" s="26" t="s">
        <v>100</v>
      </c>
      <c r="B755" s="26" t="s">
        <v>101</v>
      </c>
      <c r="C755" s="14" t="n">
        <f aca="false">IF(A755="","",IFERROR(VLOOKUP(A755,'Recert Status'!$A$8:$C$400,3,FALSE()),""))</f>
        <v>46752</v>
      </c>
      <c r="D755" s="18" t="s">
        <v>1090</v>
      </c>
      <c r="E755" s="26" t="s">
        <v>363</v>
      </c>
      <c r="F755" s="27" t="n">
        <v>1</v>
      </c>
      <c r="G755" s="28" t="n">
        <v>45726</v>
      </c>
      <c r="H755" s="28" t="n">
        <v>45726</v>
      </c>
      <c r="I755" s="18" t="s">
        <v>1091</v>
      </c>
      <c r="J755" s="26" t="s">
        <v>363</v>
      </c>
      <c r="K755" s="18" t="s">
        <v>365</v>
      </c>
      <c r="L755" s="27" t="n">
        <v>1</v>
      </c>
      <c r="M755" s="29" t="s">
        <v>366</v>
      </c>
      <c r="N755" s="18" t="s">
        <v>367</v>
      </c>
      <c r="O755" s="27" t="n">
        <v>1</v>
      </c>
      <c r="P755" s="15" t="n">
        <f aca="false">IF(A755="","",IF(O755&lt;&gt;"",O755,IF(L755&lt;&gt;"",L755,F755)))</f>
        <v>1</v>
      </c>
    </row>
    <row r="756" customFormat="false" ht="15" hidden="false" customHeight="true" outlineLevel="0" collapsed="false">
      <c r="A756" s="30" t="s">
        <v>100</v>
      </c>
      <c r="B756" s="30" t="s">
        <v>101</v>
      </c>
      <c r="C756" s="21" t="n">
        <f aca="false">IF(A756="","",IFERROR(VLOOKUP(A756,'Recert Status'!$A$8:$C$400,3,FALSE()),""))</f>
        <v>46752</v>
      </c>
      <c r="D756" s="31" t="s">
        <v>623</v>
      </c>
      <c r="E756" s="30" t="s">
        <v>363</v>
      </c>
      <c r="F756" s="32" t="n">
        <v>0.5</v>
      </c>
      <c r="G756" s="33" t="n">
        <v>45783</v>
      </c>
      <c r="H756" s="33" t="n">
        <v>45783</v>
      </c>
      <c r="I756" s="31" t="s">
        <v>624</v>
      </c>
      <c r="J756" s="30" t="s">
        <v>363</v>
      </c>
      <c r="K756" s="31" t="s">
        <v>365</v>
      </c>
      <c r="L756" s="32" t="n">
        <v>0.5</v>
      </c>
      <c r="M756" s="29" t="s">
        <v>366</v>
      </c>
      <c r="N756" s="31" t="s">
        <v>367</v>
      </c>
      <c r="O756" s="32" t="n">
        <v>0.5</v>
      </c>
      <c r="P756" s="15" t="n">
        <f aca="false">IF(A756="","",IF(O756&lt;&gt;"",O756,IF(L756&lt;&gt;"",L756,F756)))</f>
        <v>0.5</v>
      </c>
    </row>
    <row r="757" customFormat="false" ht="15" hidden="false" customHeight="true" outlineLevel="0" collapsed="false">
      <c r="A757" s="26" t="s">
        <v>100</v>
      </c>
      <c r="B757" s="26" t="s">
        <v>101</v>
      </c>
      <c r="C757" s="14" t="n">
        <f aca="false">IF(A757="","",IFERROR(VLOOKUP(A757,'Recert Status'!$A$8:$C$400,3,FALSE()),""))</f>
        <v>46752</v>
      </c>
      <c r="D757" s="18" t="s">
        <v>1092</v>
      </c>
      <c r="E757" s="26" t="s">
        <v>363</v>
      </c>
      <c r="F757" s="27" t="n">
        <v>3</v>
      </c>
      <c r="G757" s="28" t="n">
        <v>46213</v>
      </c>
      <c r="H757" s="28" t="n">
        <v>46213</v>
      </c>
      <c r="I757" s="18" t="s">
        <v>1093</v>
      </c>
      <c r="J757" s="26" t="s">
        <v>363</v>
      </c>
      <c r="K757" s="18" t="s">
        <v>1036</v>
      </c>
      <c r="L757" s="27" t="n">
        <v>3</v>
      </c>
      <c r="M757" s="29" t="s">
        <v>366</v>
      </c>
      <c r="N757" s="18" t="s">
        <v>367</v>
      </c>
      <c r="O757" s="27" t="n">
        <v>3</v>
      </c>
      <c r="P757" s="15" t="n">
        <f aca="false">IF(A757="","",IF(O757&lt;&gt;"",O757,IF(L757&lt;&gt;"",L757,F757)))</f>
        <v>3</v>
      </c>
    </row>
    <row r="758" customFormat="false" ht="15" hidden="false" customHeight="true" outlineLevel="0" collapsed="false">
      <c r="A758" s="30" t="s">
        <v>100</v>
      </c>
      <c r="B758" s="30" t="s">
        <v>101</v>
      </c>
      <c r="C758" s="21" t="n">
        <f aca="false">IF(A758="","",IFERROR(VLOOKUP(A758,'Recert Status'!$A$8:$C$400,3,FALSE()),""))</f>
        <v>46752</v>
      </c>
      <c r="D758" s="31" t="s">
        <v>632</v>
      </c>
      <c r="E758" s="30" t="n">
        <v>29675</v>
      </c>
      <c r="F758" s="32" t="n">
        <v>0.5</v>
      </c>
      <c r="G758" s="33" t="n">
        <v>45855</v>
      </c>
      <c r="H758" s="33" t="n">
        <v>45855</v>
      </c>
      <c r="I758" s="31" t="s">
        <v>633</v>
      </c>
      <c r="J758" s="30" t="s">
        <v>406</v>
      </c>
      <c r="K758" s="31" t="s">
        <v>422</v>
      </c>
      <c r="L758" s="32" t="n">
        <v>0.5</v>
      </c>
      <c r="M758" s="40" t="s">
        <v>423</v>
      </c>
      <c r="N758" s="31" t="s">
        <v>424</v>
      </c>
      <c r="O758" s="32" t="n">
        <v>0.5</v>
      </c>
      <c r="P758" s="15" t="n">
        <f aca="false">IF(A758="","",IF(O758&lt;&gt;"",O758,IF(L758&lt;&gt;"",L758,F758)))</f>
        <v>0.5</v>
      </c>
    </row>
    <row r="759" customFormat="false" ht="15" hidden="false" customHeight="true" outlineLevel="0" collapsed="false">
      <c r="A759" s="26" t="s">
        <v>100</v>
      </c>
      <c r="B759" s="26" t="s">
        <v>101</v>
      </c>
      <c r="C759" s="14" t="n">
        <f aca="false">IF(A759="","",IFERROR(VLOOKUP(A759,'Recert Status'!$A$8:$C$400,3,FALSE()),""))</f>
        <v>46752</v>
      </c>
      <c r="D759" s="18" t="s">
        <v>1022</v>
      </c>
      <c r="E759" s="26" t="s">
        <v>426</v>
      </c>
      <c r="F759" s="27" t="n">
        <v>0.5</v>
      </c>
      <c r="G759" s="28" t="n">
        <v>45810</v>
      </c>
      <c r="H759" s="28" t="n">
        <v>45810</v>
      </c>
      <c r="I759" s="18" t="s">
        <v>1023</v>
      </c>
      <c r="J759" s="26" t="s">
        <v>426</v>
      </c>
      <c r="K759" s="18" t="s">
        <v>428</v>
      </c>
      <c r="L759" s="27" t="n">
        <v>0.5</v>
      </c>
      <c r="M759" s="41" t="s">
        <v>429</v>
      </c>
      <c r="N759" s="18" t="s">
        <v>430</v>
      </c>
      <c r="O759" s="27" t="n">
        <v>0.5</v>
      </c>
      <c r="P759" s="15" t="n">
        <f aca="false">IF(A759="","",IF(O759&lt;&gt;"",O759,IF(L759&lt;&gt;"",L759,F759)))</f>
        <v>0.5</v>
      </c>
    </row>
    <row r="760" customFormat="false" ht="15" hidden="false" customHeight="true" outlineLevel="0" collapsed="false">
      <c r="A760" s="30" t="s">
        <v>100</v>
      </c>
      <c r="B760" s="30" t="s">
        <v>101</v>
      </c>
      <c r="C760" s="21" t="n">
        <f aca="false">IF(A760="","",IFERROR(VLOOKUP(A760,'Recert Status'!$A$8:$C$400,3,FALSE()),""))</f>
        <v>46752</v>
      </c>
      <c r="D760" s="31" t="s">
        <v>1069</v>
      </c>
      <c r="E760" s="30" t="s">
        <v>426</v>
      </c>
      <c r="F760" s="32" t="n">
        <v>1</v>
      </c>
      <c r="G760" s="33" t="n">
        <v>46137</v>
      </c>
      <c r="H760" s="33" t="n">
        <v>46137</v>
      </c>
      <c r="I760" s="31" t="s">
        <v>1094</v>
      </c>
      <c r="J760" s="30" t="s">
        <v>426</v>
      </c>
      <c r="K760" s="31" t="s">
        <v>428</v>
      </c>
      <c r="L760" s="32" t="n">
        <v>1</v>
      </c>
      <c r="M760" s="41" t="s">
        <v>429</v>
      </c>
      <c r="N760" s="31" t="s">
        <v>430</v>
      </c>
      <c r="O760" s="32" t="n">
        <v>1</v>
      </c>
      <c r="P760" s="15" t="n">
        <f aca="false">IF(A760="","",IF(O760&lt;&gt;"",O760,IF(L760&lt;&gt;"",L760,F760)))</f>
        <v>1</v>
      </c>
    </row>
    <row r="761" customFormat="false" ht="15" hidden="false" customHeight="true" outlineLevel="0" collapsed="false">
      <c r="A761" s="26" t="s">
        <v>100</v>
      </c>
      <c r="B761" s="26" t="s">
        <v>101</v>
      </c>
      <c r="C761" s="14" t="n">
        <f aca="false">IF(A761="","",IFERROR(VLOOKUP(A761,'Recert Status'!$A$8:$C$400,3,FALSE()),""))</f>
        <v>46752</v>
      </c>
      <c r="D761" s="18" t="s">
        <v>430</v>
      </c>
      <c r="E761" s="26" t="s">
        <v>426</v>
      </c>
      <c r="F761" s="27" t="n">
        <v>2</v>
      </c>
      <c r="G761" s="28" t="n">
        <v>46215</v>
      </c>
      <c r="H761" s="28" t="n">
        <v>46215</v>
      </c>
      <c r="I761" s="18" t="s">
        <v>1095</v>
      </c>
      <c r="J761" s="26" t="s">
        <v>426</v>
      </c>
      <c r="K761" s="18" t="s">
        <v>428</v>
      </c>
      <c r="L761" s="27" t="n">
        <v>2</v>
      </c>
      <c r="M761" s="41" t="s">
        <v>429</v>
      </c>
      <c r="N761" s="18" t="s">
        <v>430</v>
      </c>
      <c r="O761" s="27" t="n">
        <v>2</v>
      </c>
      <c r="P761" s="15" t="n">
        <f aca="false">IF(A761="","",IF(O761&lt;&gt;"",O761,IF(L761&lt;&gt;"",L761,F761)))</f>
        <v>2</v>
      </c>
    </row>
    <row r="762" customFormat="false" ht="15" hidden="false" customHeight="true" outlineLevel="0" collapsed="false">
      <c r="A762" s="30" t="s">
        <v>100</v>
      </c>
      <c r="B762" s="30" t="s">
        <v>101</v>
      </c>
      <c r="C762" s="21" t="n">
        <f aca="false">IF(A762="","",IFERROR(VLOOKUP(A762,'Recert Status'!$A$8:$C$400,3,FALSE()),""))</f>
        <v>46752</v>
      </c>
      <c r="D762" s="31" t="s">
        <v>1096</v>
      </c>
      <c r="E762" s="30" t="s">
        <v>372</v>
      </c>
      <c r="F762" s="32" t="n">
        <v>1</v>
      </c>
      <c r="G762" s="33" t="n">
        <v>45750</v>
      </c>
      <c r="H762" s="33" t="n">
        <v>45750</v>
      </c>
      <c r="I762" s="31" t="s">
        <v>1097</v>
      </c>
      <c r="J762" s="30" t="s">
        <v>372</v>
      </c>
      <c r="K762" s="31" t="s">
        <v>374</v>
      </c>
      <c r="L762" s="32" t="n">
        <v>1</v>
      </c>
      <c r="M762" s="34" t="s">
        <v>375</v>
      </c>
      <c r="N762" s="31" t="s">
        <v>376</v>
      </c>
      <c r="O762" s="32" t="n">
        <v>1</v>
      </c>
      <c r="P762" s="15" t="n">
        <f aca="false">IF(A762="","",IF(O762&lt;&gt;"",O762,IF(L762&lt;&gt;"",L762,F762)))</f>
        <v>1</v>
      </c>
    </row>
    <row r="763" customFormat="false" ht="15" hidden="false" customHeight="true" outlineLevel="0" collapsed="false">
      <c r="A763" s="26" t="s">
        <v>100</v>
      </c>
      <c r="B763" s="26" t="s">
        <v>101</v>
      </c>
      <c r="C763" s="14" t="n">
        <f aca="false">IF(A763="","",IFERROR(VLOOKUP(A763,'Recert Status'!$A$8:$C$400,3,FALSE()),""))</f>
        <v>46752</v>
      </c>
      <c r="D763" s="18" t="s">
        <v>989</v>
      </c>
      <c r="E763" s="26" t="n">
        <v>29784</v>
      </c>
      <c r="F763" s="27" t="n">
        <v>1</v>
      </c>
      <c r="G763" s="28" t="n">
        <v>45929</v>
      </c>
      <c r="H763" s="28" t="n">
        <v>45929</v>
      </c>
      <c r="I763" s="18" t="s">
        <v>990</v>
      </c>
      <c r="J763" s="26" t="s">
        <v>435</v>
      </c>
      <c r="K763" s="18" t="s">
        <v>468</v>
      </c>
      <c r="L763" s="27" t="n">
        <v>1</v>
      </c>
      <c r="M763" s="35" t="s">
        <v>386</v>
      </c>
      <c r="N763" s="18" t="s">
        <v>387</v>
      </c>
      <c r="O763" s="27" t="n">
        <v>1</v>
      </c>
      <c r="P763" s="15" t="n">
        <f aca="false">IF(A763="","",IF(O763&lt;&gt;"",O763,IF(L763&lt;&gt;"",L763,F763)))</f>
        <v>1</v>
      </c>
    </row>
    <row r="764" customFormat="false" ht="15" hidden="false" customHeight="true" outlineLevel="0" collapsed="false">
      <c r="A764" s="30" t="s">
        <v>100</v>
      </c>
      <c r="B764" s="30" t="s">
        <v>101</v>
      </c>
      <c r="C764" s="21" t="n">
        <f aca="false">IF(A764="","",IFERROR(VLOOKUP(A764,'Recert Status'!$A$8:$C$400,3,FALSE()),""))</f>
        <v>46752</v>
      </c>
      <c r="D764" s="31" t="s">
        <v>682</v>
      </c>
      <c r="E764" s="30" t="n">
        <v>29675</v>
      </c>
      <c r="F764" s="32" t="n">
        <v>1</v>
      </c>
      <c r="G764" s="33" t="n">
        <v>45987</v>
      </c>
      <c r="H764" s="33" t="n">
        <v>45987</v>
      </c>
      <c r="I764" s="31" t="s">
        <v>683</v>
      </c>
      <c r="J764" s="30" t="s">
        <v>406</v>
      </c>
      <c r="K764" s="31" t="s">
        <v>446</v>
      </c>
      <c r="L764" s="32" t="n">
        <v>1</v>
      </c>
      <c r="M764" s="35" t="s">
        <v>386</v>
      </c>
      <c r="N764" s="31" t="s">
        <v>387</v>
      </c>
      <c r="O764" s="32" t="n">
        <v>1</v>
      </c>
      <c r="P764" s="15" t="n">
        <f aca="false">IF(A764="","",IF(O764&lt;&gt;"",O764,IF(L764&lt;&gt;"",L764,F764)))</f>
        <v>1</v>
      </c>
    </row>
    <row r="765" customFormat="false" ht="15" hidden="false" customHeight="true" outlineLevel="0" collapsed="false">
      <c r="A765" s="26" t="s">
        <v>100</v>
      </c>
      <c r="B765" s="26" t="s">
        <v>101</v>
      </c>
      <c r="C765" s="14" t="n">
        <f aca="false">IF(A765="","",IFERROR(VLOOKUP(A765,'Recert Status'!$A$8:$C$400,3,FALSE()),""))</f>
        <v>46752</v>
      </c>
      <c r="D765" s="18" t="s">
        <v>388</v>
      </c>
      <c r="E765" s="26" t="s">
        <v>389</v>
      </c>
      <c r="F765" s="27" t="n">
        <v>3</v>
      </c>
      <c r="G765" s="28" t="n">
        <v>46083</v>
      </c>
      <c r="H765" s="28" t="n">
        <v>46083</v>
      </c>
      <c r="I765" s="18" t="s">
        <v>685</v>
      </c>
      <c r="J765" s="26" t="s">
        <v>389</v>
      </c>
      <c r="K765" s="18" t="s">
        <v>686</v>
      </c>
      <c r="L765" s="27" t="n">
        <v>3</v>
      </c>
      <c r="M765" s="35" t="s">
        <v>386</v>
      </c>
      <c r="N765" s="18" t="s">
        <v>387</v>
      </c>
      <c r="O765" s="27" t="n">
        <v>3</v>
      </c>
      <c r="P765" s="15" t="n">
        <f aca="false">IF(A765="","",IF(O765&lt;&gt;"",O765,IF(L765&lt;&gt;"",L765,F765)))</f>
        <v>3</v>
      </c>
    </row>
    <row r="766" customFormat="false" ht="15" hidden="false" customHeight="true" outlineLevel="0" collapsed="false">
      <c r="A766" s="30" t="s">
        <v>100</v>
      </c>
      <c r="B766" s="30" t="s">
        <v>101</v>
      </c>
      <c r="C766" s="21" t="n">
        <f aca="false">IF(A766="","",IFERROR(VLOOKUP(A766,'Recert Status'!$A$8:$C$400,3,FALSE()),""))</f>
        <v>46752</v>
      </c>
      <c r="D766" s="31" t="s">
        <v>732</v>
      </c>
      <c r="E766" s="30" t="s">
        <v>389</v>
      </c>
      <c r="F766" s="32" t="n">
        <v>1</v>
      </c>
      <c r="G766" s="33" t="n">
        <v>46132</v>
      </c>
      <c r="H766" s="33" t="n">
        <v>46132</v>
      </c>
      <c r="I766" s="31" t="s">
        <v>1098</v>
      </c>
      <c r="J766" s="30" t="s">
        <v>389</v>
      </c>
      <c r="K766" s="31" t="s">
        <v>735</v>
      </c>
      <c r="L766" s="32" t="n">
        <v>1</v>
      </c>
      <c r="M766" s="35" t="s">
        <v>386</v>
      </c>
      <c r="N766" s="31" t="s">
        <v>387</v>
      </c>
      <c r="O766" s="32" t="n">
        <v>1</v>
      </c>
      <c r="P766" s="15" t="n">
        <f aca="false">IF(A766="","",IF(O766&lt;&gt;"",O766,IF(L766&lt;&gt;"",L766,F766)))</f>
        <v>1</v>
      </c>
    </row>
    <row r="767" customFormat="false" ht="15" hidden="false" customHeight="true" outlineLevel="0" collapsed="false">
      <c r="A767" s="26" t="s">
        <v>100</v>
      </c>
      <c r="B767" s="26" t="s">
        <v>101</v>
      </c>
      <c r="C767" s="14" t="n">
        <f aca="false">IF(A767="","",IFERROR(VLOOKUP(A767,'Recert Status'!$A$8:$C$400,3,FALSE()),""))</f>
        <v>46752</v>
      </c>
      <c r="D767" s="18" t="s">
        <v>387</v>
      </c>
      <c r="E767" s="26" t="s">
        <v>389</v>
      </c>
      <c r="F767" s="27" t="n">
        <v>1</v>
      </c>
      <c r="G767" s="28" t="n">
        <v>46225</v>
      </c>
      <c r="H767" s="28" t="n">
        <v>46225</v>
      </c>
      <c r="I767" s="18" t="s">
        <v>1099</v>
      </c>
      <c r="J767" s="26" t="s">
        <v>389</v>
      </c>
      <c r="K767" s="18" t="s">
        <v>845</v>
      </c>
      <c r="L767" s="27" t="n">
        <v>1</v>
      </c>
      <c r="M767" s="35" t="s">
        <v>386</v>
      </c>
      <c r="N767" s="18" t="s">
        <v>387</v>
      </c>
      <c r="O767" s="27" t="n">
        <v>1</v>
      </c>
      <c r="P767" s="15" t="n">
        <f aca="false">IF(A767="","",IF(O767&lt;&gt;"",O767,IF(L767&lt;&gt;"",L767,F767)))</f>
        <v>1</v>
      </c>
    </row>
    <row r="768" customFormat="false" ht="15" hidden="false" customHeight="true" outlineLevel="0" collapsed="false">
      <c r="A768" s="30" t="s">
        <v>100</v>
      </c>
      <c r="B768" s="30" t="s">
        <v>101</v>
      </c>
      <c r="C768" s="21" t="n">
        <f aca="false">IF(A768="","",IFERROR(VLOOKUP(A768,'Recert Status'!$A$8:$C$400,3,FALSE()),""))</f>
        <v>46752</v>
      </c>
      <c r="D768" s="31" t="s">
        <v>387</v>
      </c>
      <c r="E768" s="30" t="s">
        <v>389</v>
      </c>
      <c r="F768" s="32" t="n">
        <v>1</v>
      </c>
      <c r="G768" s="33" t="n">
        <v>46230</v>
      </c>
      <c r="H768" s="33" t="n">
        <v>46230</v>
      </c>
      <c r="I768" s="31" t="s">
        <v>991</v>
      </c>
      <c r="J768" s="30" t="s">
        <v>389</v>
      </c>
      <c r="K768" s="31" t="s">
        <v>451</v>
      </c>
      <c r="L768" s="32" t="n">
        <v>1</v>
      </c>
      <c r="M768" s="35" t="s">
        <v>386</v>
      </c>
      <c r="N768" s="31" t="s">
        <v>387</v>
      </c>
      <c r="O768" s="32" t="n">
        <v>1</v>
      </c>
      <c r="P768" s="15" t="n">
        <f aca="false">IF(A768="","",IF(O768&lt;&gt;"",O768,IF(L768&lt;&gt;"",L768,F768)))</f>
        <v>1</v>
      </c>
    </row>
    <row r="769" customFormat="false" ht="15" hidden="false" customHeight="true" outlineLevel="0" collapsed="false">
      <c r="A769" s="26" t="s">
        <v>100</v>
      </c>
      <c r="B769" s="26" t="s">
        <v>101</v>
      </c>
      <c r="C769" s="14" t="n">
        <f aca="false">IF(A769="","",IFERROR(VLOOKUP(A769,'Recert Status'!$A$8:$C$400,3,FALSE()),""))</f>
        <v>46752</v>
      </c>
      <c r="D769" s="18" t="s">
        <v>1100</v>
      </c>
      <c r="E769" s="26" t="n">
        <v>35513</v>
      </c>
      <c r="F769" s="27" t="n">
        <v>1</v>
      </c>
      <c r="G769" s="28" t="n">
        <v>45945</v>
      </c>
      <c r="H769" s="28" t="n">
        <v>45945</v>
      </c>
      <c r="I769" s="18" t="s">
        <v>1101</v>
      </c>
      <c r="J769" s="26" t="s">
        <v>384</v>
      </c>
      <c r="K769" s="18" t="s">
        <v>385</v>
      </c>
      <c r="L769" s="27" t="n">
        <v>1</v>
      </c>
      <c r="M769" s="36" t="s">
        <v>396</v>
      </c>
      <c r="N769" s="18" t="s">
        <v>397</v>
      </c>
      <c r="O769" s="27" t="n">
        <v>1</v>
      </c>
      <c r="P769" s="15" t="n">
        <f aca="false">IF(A769="","",IF(O769&lt;&gt;"",O769,IF(L769&lt;&gt;"",L769,F769)))</f>
        <v>1</v>
      </c>
    </row>
    <row r="770" customFormat="false" ht="15" hidden="false" customHeight="true" outlineLevel="0" collapsed="false">
      <c r="A770" s="30" t="s">
        <v>100</v>
      </c>
      <c r="B770" s="30" t="s">
        <v>101</v>
      </c>
      <c r="C770" s="21" t="n">
        <f aca="false">IF(A770="","",IFERROR(VLOOKUP(A770,'Recert Status'!$A$8:$C$400,3,FALSE()),""))</f>
        <v>46752</v>
      </c>
      <c r="D770" s="31" t="s">
        <v>595</v>
      </c>
      <c r="E770" s="30" t="n">
        <v>57394</v>
      </c>
      <c r="F770" s="32" t="n">
        <v>1</v>
      </c>
      <c r="G770" s="33" t="n">
        <v>45946</v>
      </c>
      <c r="H770" s="33" t="n">
        <v>45946</v>
      </c>
      <c r="I770" s="31" t="s">
        <v>596</v>
      </c>
      <c r="J770" s="30" t="s">
        <v>503</v>
      </c>
      <c r="K770" s="31" t="s">
        <v>385</v>
      </c>
      <c r="L770" s="32" t="n">
        <v>1</v>
      </c>
      <c r="M770" s="36" t="s">
        <v>396</v>
      </c>
      <c r="N770" s="31" t="s">
        <v>397</v>
      </c>
      <c r="O770" s="32" t="n">
        <v>1</v>
      </c>
      <c r="P770" s="15" t="n">
        <f aca="false">IF(A770="","",IF(O770&lt;&gt;"",O770,IF(L770&lt;&gt;"",L770,F770)))</f>
        <v>1</v>
      </c>
    </row>
    <row r="771" customFormat="false" ht="15" hidden="false" customHeight="true" outlineLevel="0" collapsed="false">
      <c r="A771" s="26" t="s">
        <v>100</v>
      </c>
      <c r="B771" s="26" t="s">
        <v>101</v>
      </c>
      <c r="C771" s="14" t="n">
        <f aca="false">IF(A771="","",IFERROR(VLOOKUP(A771,'Recert Status'!$A$8:$C$400,3,FALSE()),""))</f>
        <v>46752</v>
      </c>
      <c r="D771" s="18" t="s">
        <v>404</v>
      </c>
      <c r="E771" s="26" t="n">
        <v>35513</v>
      </c>
      <c r="F771" s="27" t="n">
        <v>1</v>
      </c>
      <c r="G771" s="28" t="n">
        <v>45963</v>
      </c>
      <c r="H771" s="28" t="n">
        <v>45963</v>
      </c>
      <c r="I771" s="18" t="s">
        <v>1102</v>
      </c>
      <c r="J771" s="26" t="s">
        <v>384</v>
      </c>
      <c r="K771" s="18" t="s">
        <v>385</v>
      </c>
      <c r="L771" s="27" t="n">
        <v>1</v>
      </c>
      <c r="M771" s="36" t="s">
        <v>396</v>
      </c>
      <c r="N771" s="18" t="s">
        <v>397</v>
      </c>
      <c r="O771" s="27" t="n">
        <v>1</v>
      </c>
      <c r="P771" s="15" t="n">
        <f aca="false">IF(A771="","",IF(O771&lt;&gt;"",O771,IF(L771&lt;&gt;"",L771,F771)))</f>
        <v>1</v>
      </c>
    </row>
    <row r="772" customFormat="false" ht="15" hidden="false" customHeight="true" outlineLevel="0" collapsed="false">
      <c r="A772" s="30" t="s">
        <v>100</v>
      </c>
      <c r="B772" s="30" t="s">
        <v>101</v>
      </c>
      <c r="C772" s="21" t="n">
        <f aca="false">IF(A772="","",IFERROR(VLOOKUP(A772,'Recert Status'!$A$8:$C$400,3,FALSE()),""))</f>
        <v>46752</v>
      </c>
      <c r="D772" s="31" t="s">
        <v>397</v>
      </c>
      <c r="E772" s="30" t="s">
        <v>452</v>
      </c>
      <c r="F772" s="32" t="n">
        <v>1</v>
      </c>
      <c r="G772" s="33" t="n">
        <v>46245</v>
      </c>
      <c r="H772" s="33" t="n">
        <v>46245</v>
      </c>
      <c r="I772" s="31" t="s">
        <v>605</v>
      </c>
      <c r="J772" s="30" t="s">
        <v>452</v>
      </c>
      <c r="K772" s="31" t="s">
        <v>385</v>
      </c>
      <c r="L772" s="32" t="n">
        <v>1</v>
      </c>
      <c r="M772" s="36" t="s">
        <v>396</v>
      </c>
      <c r="N772" s="31" t="s">
        <v>397</v>
      </c>
      <c r="O772" s="32" t="n">
        <v>1</v>
      </c>
      <c r="P772" s="15" t="n">
        <f aca="false">IF(A772="","",IF(O772&lt;&gt;"",O772,IF(L772&lt;&gt;"",L772,F772)))</f>
        <v>1</v>
      </c>
    </row>
    <row r="773" customFormat="false" ht="15" hidden="false" customHeight="true" outlineLevel="0" collapsed="false">
      <c r="A773" s="26" t="s">
        <v>100</v>
      </c>
      <c r="B773" s="26" t="s">
        <v>101</v>
      </c>
      <c r="C773" s="14" t="n">
        <f aca="false">IF(A773="","",IFERROR(VLOOKUP(A773,'Recert Status'!$A$8:$C$400,3,FALSE()),""))</f>
        <v>46752</v>
      </c>
      <c r="D773" s="18" t="s">
        <v>992</v>
      </c>
      <c r="E773" s="26" t="s">
        <v>416</v>
      </c>
      <c r="F773" s="27" t="n">
        <v>1</v>
      </c>
      <c r="G773" s="28" t="n">
        <v>45825</v>
      </c>
      <c r="H773" s="28" t="n">
        <v>45825</v>
      </c>
      <c r="I773" s="18" t="s">
        <v>993</v>
      </c>
      <c r="J773" s="26" t="s">
        <v>416</v>
      </c>
      <c r="K773" s="18" t="s">
        <v>418</v>
      </c>
      <c r="L773" s="27" t="n">
        <v>1</v>
      </c>
      <c r="M773" s="39" t="s">
        <v>413</v>
      </c>
      <c r="N773" s="18" t="s">
        <v>414</v>
      </c>
      <c r="O773" s="27" t="n">
        <v>1</v>
      </c>
      <c r="P773" s="15" t="n">
        <f aca="false">IF(A773="","",IF(O773&lt;&gt;"",O773,IF(L773&lt;&gt;"",L773,F773)))</f>
        <v>1</v>
      </c>
    </row>
    <row r="774" customFormat="false" ht="15" hidden="false" customHeight="true" outlineLevel="0" collapsed="false">
      <c r="A774" s="30" t="s">
        <v>100</v>
      </c>
      <c r="B774" s="30" t="s">
        <v>101</v>
      </c>
      <c r="C774" s="21" t="n">
        <f aca="false">IF(A774="","",IFERROR(VLOOKUP(A774,'Recert Status'!$A$8:$C$400,3,FALSE()),""))</f>
        <v>46752</v>
      </c>
      <c r="D774" s="31" t="s">
        <v>670</v>
      </c>
      <c r="E774" s="30" t="s">
        <v>416</v>
      </c>
      <c r="F774" s="32" t="n">
        <v>2</v>
      </c>
      <c r="G774" s="33" t="n">
        <v>45861</v>
      </c>
      <c r="H774" s="33" t="n">
        <v>45861</v>
      </c>
      <c r="I774" s="31" t="s">
        <v>671</v>
      </c>
      <c r="J774" s="30" t="s">
        <v>416</v>
      </c>
      <c r="K774" s="31" t="s">
        <v>418</v>
      </c>
      <c r="L774" s="32" t="n">
        <v>2</v>
      </c>
      <c r="M774" s="39" t="s">
        <v>413</v>
      </c>
      <c r="N774" s="31" t="s">
        <v>514</v>
      </c>
      <c r="O774" s="32" t="n">
        <v>2</v>
      </c>
      <c r="P774" s="15" t="n">
        <f aca="false">IF(A774="","",IF(O774&lt;&gt;"",O774,IF(L774&lt;&gt;"",L774,F774)))</f>
        <v>2</v>
      </c>
    </row>
    <row r="775" customFormat="false" ht="15" hidden="false" customHeight="true" outlineLevel="0" collapsed="false">
      <c r="A775" s="26" t="s">
        <v>100</v>
      </c>
      <c r="B775" s="26" t="s">
        <v>101</v>
      </c>
      <c r="C775" s="14" t="n">
        <f aca="false">IF(A775="","",IFERROR(VLOOKUP(A775,'Recert Status'!$A$8:$C$400,3,FALSE()),""))</f>
        <v>46752</v>
      </c>
      <c r="D775" s="18" t="s">
        <v>1103</v>
      </c>
      <c r="E775" s="26" t="s">
        <v>416</v>
      </c>
      <c r="F775" s="27" t="n">
        <v>2</v>
      </c>
      <c r="G775" s="28" t="n">
        <v>46122</v>
      </c>
      <c r="H775" s="28" t="n">
        <v>46122</v>
      </c>
      <c r="I775" s="18" t="s">
        <v>1104</v>
      </c>
      <c r="J775" s="26" t="s">
        <v>416</v>
      </c>
      <c r="K775" s="18" t="s">
        <v>485</v>
      </c>
      <c r="L775" s="27" t="n">
        <v>2</v>
      </c>
      <c r="M775" s="39" t="s">
        <v>413</v>
      </c>
      <c r="N775" s="18" t="s">
        <v>414</v>
      </c>
      <c r="O775" s="27" t="n">
        <v>2</v>
      </c>
      <c r="P775" s="15" t="n">
        <f aca="false">IF(A775="","",IF(O775&lt;&gt;"",O775,IF(L775&lt;&gt;"",L775,F775)))</f>
        <v>2</v>
      </c>
    </row>
    <row r="776" customFormat="false" ht="15" hidden="false" customHeight="true" outlineLevel="0" collapsed="false">
      <c r="A776" s="30" t="s">
        <v>100</v>
      </c>
      <c r="B776" s="30" t="s">
        <v>101</v>
      </c>
      <c r="C776" s="21" t="n">
        <f aca="false">IF(A776="","",IFERROR(VLOOKUP(A776,'Recert Status'!$A$8:$C$400,3,FALSE()),""))</f>
        <v>46752</v>
      </c>
      <c r="D776" s="31" t="s">
        <v>488</v>
      </c>
      <c r="E776" s="30" t="s">
        <v>416</v>
      </c>
      <c r="F776" s="32" t="n">
        <v>1</v>
      </c>
      <c r="G776" s="33" t="n">
        <v>46125</v>
      </c>
      <c r="H776" s="33" t="n">
        <v>46125</v>
      </c>
      <c r="I776" s="31" t="s">
        <v>608</v>
      </c>
      <c r="J776" s="30" t="s">
        <v>416</v>
      </c>
      <c r="K776" s="31" t="s">
        <v>490</v>
      </c>
      <c r="L776" s="32" t="n">
        <v>1</v>
      </c>
      <c r="M776" s="39" t="s">
        <v>413</v>
      </c>
      <c r="N776" s="31" t="s">
        <v>414</v>
      </c>
      <c r="O776" s="32" t="n">
        <v>1</v>
      </c>
      <c r="P776" s="15" t="n">
        <f aca="false">IF(A776="","",IF(O776&lt;&gt;"",O776,IF(L776&lt;&gt;"",L776,F776)))</f>
        <v>1</v>
      </c>
    </row>
    <row r="777" customFormat="false" ht="15" hidden="false" customHeight="true" outlineLevel="0" collapsed="false">
      <c r="A777" s="26" t="s">
        <v>100</v>
      </c>
      <c r="B777" s="26" t="s">
        <v>101</v>
      </c>
      <c r="C777" s="14" t="n">
        <f aca="false">IF(A777="","",IFERROR(VLOOKUP(A777,'Recert Status'!$A$8:$C$400,3,FALSE()),""))</f>
        <v>46752</v>
      </c>
      <c r="D777" s="18" t="s">
        <v>414</v>
      </c>
      <c r="E777" s="26" t="s">
        <v>416</v>
      </c>
      <c r="F777" s="27" t="n">
        <v>2</v>
      </c>
      <c r="G777" s="28" t="n">
        <v>46218</v>
      </c>
      <c r="H777" s="28" t="n">
        <v>46218</v>
      </c>
      <c r="I777" s="18" t="s">
        <v>535</v>
      </c>
      <c r="J777" s="26" t="s">
        <v>416</v>
      </c>
      <c r="K777" s="18" t="s">
        <v>418</v>
      </c>
      <c r="L777" s="27" t="n">
        <v>2</v>
      </c>
      <c r="M777" s="39" t="s">
        <v>413</v>
      </c>
      <c r="N777" s="18" t="s">
        <v>414</v>
      </c>
      <c r="O777" s="27" t="n">
        <v>2</v>
      </c>
      <c r="P777" s="15" t="n">
        <f aca="false">IF(A777="","",IF(O777&lt;&gt;"",O777,IF(L777&lt;&gt;"",L777,F777)))</f>
        <v>2</v>
      </c>
    </row>
    <row r="778" customFormat="false" ht="15" hidden="false" customHeight="true" outlineLevel="0" collapsed="false">
      <c r="A778" s="30" t="s">
        <v>102</v>
      </c>
      <c r="B778" s="30" t="s">
        <v>103</v>
      </c>
      <c r="C778" s="21" t="n">
        <f aca="false">IF(A778="","",IFERROR(VLOOKUP(A778,'Recert Status'!$A$8:$C$400,3,FALSE()),""))</f>
        <v>46752</v>
      </c>
      <c r="D778" s="31" t="s">
        <v>1105</v>
      </c>
      <c r="E778" s="30" t="s">
        <v>363</v>
      </c>
      <c r="F778" s="32" t="n">
        <v>1</v>
      </c>
      <c r="G778" s="33" t="n">
        <v>45680</v>
      </c>
      <c r="H778" s="33" t="n">
        <v>45680</v>
      </c>
      <c r="I778" s="31" t="s">
        <v>1106</v>
      </c>
      <c r="J778" s="30" t="s">
        <v>363</v>
      </c>
      <c r="K778" s="31" t="s">
        <v>365</v>
      </c>
      <c r="L778" s="32" t="n">
        <v>1</v>
      </c>
      <c r="M778" s="29" t="s">
        <v>366</v>
      </c>
      <c r="N778" s="31" t="s">
        <v>367</v>
      </c>
      <c r="O778" s="32" t="n">
        <v>1</v>
      </c>
      <c r="P778" s="15" t="n">
        <f aca="false">IF(A778="","",IF(O778&lt;&gt;"",O778,IF(L778&lt;&gt;"",L778,F778)))</f>
        <v>1</v>
      </c>
    </row>
    <row r="779" customFormat="false" ht="15" hidden="false" customHeight="true" outlineLevel="0" collapsed="false">
      <c r="A779" s="26" t="s">
        <v>102</v>
      </c>
      <c r="B779" s="26" t="s">
        <v>103</v>
      </c>
      <c r="C779" s="14" t="n">
        <f aca="false">IF(A779="","",IFERROR(VLOOKUP(A779,'Recert Status'!$A$8:$C$400,3,FALSE()),""))</f>
        <v>46752</v>
      </c>
      <c r="D779" s="18" t="s">
        <v>1083</v>
      </c>
      <c r="E779" s="26" t="s">
        <v>363</v>
      </c>
      <c r="F779" s="27" t="n">
        <v>1</v>
      </c>
      <c r="G779" s="28" t="n">
        <v>45686</v>
      </c>
      <c r="H779" s="28" t="n">
        <v>45686</v>
      </c>
      <c r="I779" s="18" t="s">
        <v>1107</v>
      </c>
      <c r="J779" s="26" t="s">
        <v>363</v>
      </c>
      <c r="K779" s="18" t="s">
        <v>365</v>
      </c>
      <c r="L779" s="27" t="n">
        <v>1</v>
      </c>
      <c r="M779" s="29" t="s">
        <v>366</v>
      </c>
      <c r="N779" s="18" t="s">
        <v>367</v>
      </c>
      <c r="O779" s="27" t="n">
        <v>1</v>
      </c>
      <c r="P779" s="15" t="n">
        <f aca="false">IF(A779="","",IF(O779&lt;&gt;"",O779,IF(L779&lt;&gt;"",L779,F779)))</f>
        <v>1</v>
      </c>
    </row>
    <row r="780" customFormat="false" ht="15" hidden="false" customHeight="true" outlineLevel="0" collapsed="false">
      <c r="A780" s="30" t="s">
        <v>102</v>
      </c>
      <c r="B780" s="30" t="s">
        <v>103</v>
      </c>
      <c r="C780" s="21" t="n">
        <f aca="false">IF(A780="","",IFERROR(VLOOKUP(A780,'Recert Status'!$A$8:$C$400,3,FALSE()),""))</f>
        <v>46752</v>
      </c>
      <c r="D780" s="31" t="s">
        <v>425</v>
      </c>
      <c r="E780" s="30" t="s">
        <v>426</v>
      </c>
      <c r="F780" s="32" t="n">
        <v>2</v>
      </c>
      <c r="G780" s="33" t="n">
        <v>45929</v>
      </c>
      <c r="H780" s="33" t="n">
        <v>45929</v>
      </c>
      <c r="I780" s="31" t="s">
        <v>427</v>
      </c>
      <c r="J780" s="30" t="s">
        <v>426</v>
      </c>
      <c r="K780" s="31" t="s">
        <v>428</v>
      </c>
      <c r="L780" s="32" t="n">
        <v>2</v>
      </c>
      <c r="M780" s="41" t="s">
        <v>429</v>
      </c>
      <c r="N780" s="31" t="s">
        <v>430</v>
      </c>
      <c r="O780" s="32" t="n">
        <v>2</v>
      </c>
      <c r="P780" s="15" t="n">
        <f aca="false">IF(A780="","",IF(O780&lt;&gt;"",O780,IF(L780&lt;&gt;"",L780,F780)))</f>
        <v>2</v>
      </c>
    </row>
    <row r="781" customFormat="false" ht="15" hidden="false" customHeight="true" outlineLevel="0" collapsed="false">
      <c r="A781" s="26" t="s">
        <v>102</v>
      </c>
      <c r="B781" s="26" t="s">
        <v>103</v>
      </c>
      <c r="C781" s="14" t="n">
        <f aca="false">IF(A781="","",IFERROR(VLOOKUP(A781,'Recert Status'!$A$8:$C$400,3,FALSE()),""))</f>
        <v>46752</v>
      </c>
      <c r="D781" s="18" t="s">
        <v>1108</v>
      </c>
      <c r="E781" s="26" t="s">
        <v>542</v>
      </c>
      <c r="F781" s="27" t="n">
        <v>1</v>
      </c>
      <c r="G781" s="28" t="n">
        <v>45683</v>
      </c>
      <c r="H781" s="28" t="n">
        <v>45683</v>
      </c>
      <c r="I781" s="18" t="s">
        <v>1109</v>
      </c>
      <c r="J781" s="26" t="s">
        <v>542</v>
      </c>
      <c r="K781" s="18" t="s">
        <v>422</v>
      </c>
      <c r="L781" s="27" t="n">
        <v>1</v>
      </c>
      <c r="M781" s="35" t="s">
        <v>386</v>
      </c>
      <c r="N781" s="18" t="s">
        <v>387</v>
      </c>
      <c r="O781" s="27" t="n">
        <v>1</v>
      </c>
      <c r="P781" s="15" t="n">
        <f aca="false">IF(A781="","",IF(O781&lt;&gt;"",O781,IF(L781&lt;&gt;"",L781,F781)))</f>
        <v>1</v>
      </c>
    </row>
    <row r="782" customFormat="false" ht="15" hidden="false" customHeight="true" outlineLevel="0" collapsed="false">
      <c r="A782" s="30" t="s">
        <v>102</v>
      </c>
      <c r="B782" s="30" t="s">
        <v>103</v>
      </c>
      <c r="C782" s="21" t="n">
        <f aca="false">IF(A782="","",IFERROR(VLOOKUP(A782,'Recert Status'!$A$8:$C$400,3,FALSE()),""))</f>
        <v>46752</v>
      </c>
      <c r="D782" s="31" t="s">
        <v>1110</v>
      </c>
      <c r="E782" s="30" t="s">
        <v>389</v>
      </c>
      <c r="F782" s="32" t="n">
        <v>1</v>
      </c>
      <c r="G782" s="33" t="n">
        <v>45698</v>
      </c>
      <c r="H782" s="33" t="n">
        <v>45698</v>
      </c>
      <c r="I782" s="31" t="s">
        <v>1111</v>
      </c>
      <c r="J782" s="30" t="s">
        <v>389</v>
      </c>
      <c r="K782" s="31" t="s">
        <v>451</v>
      </c>
      <c r="L782" s="32" t="n">
        <v>1</v>
      </c>
      <c r="M782" s="35" t="s">
        <v>386</v>
      </c>
      <c r="N782" s="31" t="s">
        <v>387</v>
      </c>
      <c r="O782" s="32" t="n">
        <v>1</v>
      </c>
      <c r="P782" s="15" t="n">
        <f aca="false">IF(A782="","",IF(O782&lt;&gt;"",O782,IF(L782&lt;&gt;"",L782,F782)))</f>
        <v>1</v>
      </c>
    </row>
    <row r="783" customFormat="false" ht="15" hidden="false" customHeight="true" outlineLevel="0" collapsed="false">
      <c r="A783" s="26" t="s">
        <v>102</v>
      </c>
      <c r="B783" s="26" t="s">
        <v>103</v>
      </c>
      <c r="C783" s="14" t="n">
        <f aca="false">IF(A783="","",IFERROR(VLOOKUP(A783,'Recert Status'!$A$8:$C$400,3,FALSE()),""))</f>
        <v>46752</v>
      </c>
      <c r="D783" s="18" t="s">
        <v>1112</v>
      </c>
      <c r="E783" s="26" t="n">
        <v>29743</v>
      </c>
      <c r="F783" s="27" t="n">
        <v>1</v>
      </c>
      <c r="G783" s="28" t="n">
        <v>45764</v>
      </c>
      <c r="H783" s="28" t="n">
        <v>45764</v>
      </c>
      <c r="I783" s="18" t="s">
        <v>1113</v>
      </c>
      <c r="J783" s="26" t="s">
        <v>439</v>
      </c>
      <c r="K783" s="18" t="s">
        <v>791</v>
      </c>
      <c r="L783" s="27" t="n">
        <v>1</v>
      </c>
      <c r="M783" s="35" t="s">
        <v>386</v>
      </c>
      <c r="N783" s="18" t="s">
        <v>387</v>
      </c>
      <c r="O783" s="27" t="n">
        <v>1</v>
      </c>
      <c r="P783" s="15" t="n">
        <f aca="false">IF(A783="","",IF(O783&lt;&gt;"",O783,IF(L783&lt;&gt;"",L783,F783)))</f>
        <v>1</v>
      </c>
    </row>
    <row r="784" customFormat="false" ht="15" hidden="false" customHeight="true" outlineLevel="0" collapsed="false">
      <c r="A784" s="30" t="s">
        <v>102</v>
      </c>
      <c r="B784" s="30" t="s">
        <v>103</v>
      </c>
      <c r="C784" s="21" t="n">
        <f aca="false">IF(A784="","",IFERROR(VLOOKUP(A784,'Recert Status'!$A$8:$C$400,3,FALSE()),""))</f>
        <v>46752</v>
      </c>
      <c r="D784" s="31" t="s">
        <v>437</v>
      </c>
      <c r="E784" s="30" t="n">
        <v>29743</v>
      </c>
      <c r="F784" s="32" t="n">
        <v>1</v>
      </c>
      <c r="G784" s="33" t="n">
        <v>45833</v>
      </c>
      <c r="H784" s="33" t="n">
        <v>45833</v>
      </c>
      <c r="I784" s="31" t="s">
        <v>438</v>
      </c>
      <c r="J784" s="30" t="s">
        <v>439</v>
      </c>
      <c r="K784" s="31" t="s">
        <v>440</v>
      </c>
      <c r="L784" s="32" t="n">
        <v>1</v>
      </c>
      <c r="M784" s="35" t="s">
        <v>386</v>
      </c>
      <c r="N784" s="31" t="s">
        <v>387</v>
      </c>
      <c r="O784" s="32" t="n">
        <v>1</v>
      </c>
      <c r="P784" s="15" t="n">
        <f aca="false">IF(A784="","",IF(O784&lt;&gt;"",O784,IF(L784&lt;&gt;"",L784,F784)))</f>
        <v>1</v>
      </c>
    </row>
    <row r="785" customFormat="false" ht="15" hidden="false" customHeight="true" outlineLevel="0" collapsed="false">
      <c r="A785" s="26" t="s">
        <v>102</v>
      </c>
      <c r="B785" s="26" t="s">
        <v>103</v>
      </c>
      <c r="C785" s="14" t="n">
        <f aca="false">IF(A785="","",IFERROR(VLOOKUP(A785,'Recert Status'!$A$8:$C$400,3,FALSE()),""))</f>
        <v>46752</v>
      </c>
      <c r="D785" s="18" t="s">
        <v>441</v>
      </c>
      <c r="E785" s="26" t="n">
        <v>29743</v>
      </c>
      <c r="F785" s="27" t="n">
        <v>1</v>
      </c>
      <c r="G785" s="28" t="n">
        <v>45833</v>
      </c>
      <c r="H785" s="28" t="n">
        <v>45833</v>
      </c>
      <c r="I785" s="18" t="s">
        <v>442</v>
      </c>
      <c r="J785" s="26" t="s">
        <v>439</v>
      </c>
      <c r="K785" s="18" t="s">
        <v>443</v>
      </c>
      <c r="L785" s="27" t="n">
        <v>1</v>
      </c>
      <c r="M785" s="35" t="s">
        <v>386</v>
      </c>
      <c r="N785" s="18" t="s">
        <v>387</v>
      </c>
      <c r="O785" s="27" t="n">
        <v>1</v>
      </c>
      <c r="P785" s="15" t="n">
        <f aca="false">IF(A785="","",IF(O785&lt;&gt;"",O785,IF(L785&lt;&gt;"",L785,F785)))</f>
        <v>1</v>
      </c>
    </row>
    <row r="786" customFormat="false" ht="15" hidden="false" customHeight="true" outlineLevel="0" collapsed="false">
      <c r="A786" s="30" t="s">
        <v>102</v>
      </c>
      <c r="B786" s="30" t="s">
        <v>103</v>
      </c>
      <c r="C786" s="21" t="n">
        <f aca="false">IF(A786="","",IFERROR(VLOOKUP(A786,'Recert Status'!$A$8:$C$400,3,FALSE()),""))</f>
        <v>46752</v>
      </c>
      <c r="D786" s="31" t="s">
        <v>1114</v>
      </c>
      <c r="E786" s="30" t="n">
        <v>29743</v>
      </c>
      <c r="F786" s="32" t="n">
        <v>2</v>
      </c>
      <c r="G786" s="33" t="n">
        <v>45911</v>
      </c>
      <c r="H786" s="33" t="n">
        <v>45911</v>
      </c>
      <c r="I786" s="31" t="s">
        <v>1115</v>
      </c>
      <c r="J786" s="30" t="s">
        <v>439</v>
      </c>
      <c r="K786" s="31" t="s">
        <v>1116</v>
      </c>
      <c r="L786" s="32" t="n">
        <v>2</v>
      </c>
      <c r="M786" s="35" t="s">
        <v>386</v>
      </c>
      <c r="N786" s="31" t="s">
        <v>514</v>
      </c>
      <c r="O786" s="32" t="n">
        <v>2</v>
      </c>
      <c r="P786" s="15" t="n">
        <f aca="false">IF(A786="","",IF(O786&lt;&gt;"",O786,IF(L786&lt;&gt;"",L786,F786)))</f>
        <v>2</v>
      </c>
    </row>
    <row r="787" customFormat="false" ht="15" hidden="false" customHeight="true" outlineLevel="0" collapsed="false">
      <c r="A787" s="26" t="s">
        <v>102</v>
      </c>
      <c r="B787" s="26" t="s">
        <v>103</v>
      </c>
      <c r="C787" s="14" t="n">
        <f aca="false">IF(A787="","",IFERROR(VLOOKUP(A787,'Recert Status'!$A$8:$C$400,3,FALSE()),""))</f>
        <v>46752</v>
      </c>
      <c r="D787" s="18" t="s">
        <v>387</v>
      </c>
      <c r="E787" s="26" t="s">
        <v>389</v>
      </c>
      <c r="F787" s="27" t="n">
        <v>1</v>
      </c>
      <c r="G787" s="28" t="n">
        <v>46244</v>
      </c>
      <c r="H787" s="28" t="n">
        <v>46244</v>
      </c>
      <c r="I787" s="18" t="s">
        <v>1117</v>
      </c>
      <c r="J787" s="26" t="s">
        <v>389</v>
      </c>
      <c r="K787" s="18" t="s">
        <v>451</v>
      </c>
      <c r="L787" s="27" t="n">
        <v>1</v>
      </c>
      <c r="M787" s="35" t="s">
        <v>386</v>
      </c>
      <c r="N787" s="18" t="s">
        <v>387</v>
      </c>
      <c r="O787" s="27" t="n">
        <v>1</v>
      </c>
      <c r="P787" s="15" t="n">
        <f aca="false">IF(A787="","",IF(O787&lt;&gt;"",O787,IF(L787&lt;&gt;"",L787,F787)))</f>
        <v>1</v>
      </c>
    </row>
    <row r="788" customFormat="false" ht="15" hidden="false" customHeight="true" outlineLevel="0" collapsed="false">
      <c r="A788" s="30" t="s">
        <v>102</v>
      </c>
      <c r="B788" s="30" t="s">
        <v>103</v>
      </c>
      <c r="C788" s="21" t="n">
        <f aca="false">IF(A788="","",IFERROR(VLOOKUP(A788,'Recert Status'!$A$8:$C$400,3,FALSE()),""))</f>
        <v>46752</v>
      </c>
      <c r="D788" s="31" t="s">
        <v>1118</v>
      </c>
      <c r="E788" s="30" t="s">
        <v>452</v>
      </c>
      <c r="F788" s="32" t="n">
        <v>1</v>
      </c>
      <c r="G788" s="33" t="n">
        <v>46142</v>
      </c>
      <c r="H788" s="33" t="n">
        <v>46142</v>
      </c>
      <c r="I788" s="31" t="s">
        <v>1119</v>
      </c>
      <c r="J788" s="30" t="s">
        <v>452</v>
      </c>
      <c r="K788" s="31" t="s">
        <v>385</v>
      </c>
      <c r="L788" s="32" t="n">
        <v>1</v>
      </c>
      <c r="M788" s="36" t="s">
        <v>396</v>
      </c>
      <c r="N788" s="31" t="s">
        <v>397</v>
      </c>
      <c r="O788" s="32" t="n">
        <v>1</v>
      </c>
      <c r="P788" s="15" t="n">
        <f aca="false">IF(A788="","",IF(O788&lt;&gt;"",O788,IF(L788&lt;&gt;"",L788,F788)))</f>
        <v>1</v>
      </c>
    </row>
    <row r="789" customFormat="false" ht="15" hidden="false" customHeight="true" outlineLevel="0" collapsed="false">
      <c r="A789" s="26" t="s">
        <v>102</v>
      </c>
      <c r="B789" s="26" t="s">
        <v>103</v>
      </c>
      <c r="C789" s="14" t="n">
        <f aca="false">IF(A789="","",IFERROR(VLOOKUP(A789,'Recert Status'!$A$8:$C$400,3,FALSE()),""))</f>
        <v>46752</v>
      </c>
      <c r="D789" s="18" t="s">
        <v>397</v>
      </c>
      <c r="E789" s="26" t="s">
        <v>452</v>
      </c>
      <c r="F789" s="27" t="n">
        <v>1</v>
      </c>
      <c r="G789" s="28" t="n">
        <v>46244</v>
      </c>
      <c r="H789" s="28" t="n">
        <v>46244</v>
      </c>
      <c r="I789" s="18" t="s">
        <v>453</v>
      </c>
      <c r="J789" s="26" t="s">
        <v>452</v>
      </c>
      <c r="K789" s="18" t="s">
        <v>385</v>
      </c>
      <c r="L789" s="27" t="n">
        <v>1</v>
      </c>
      <c r="M789" s="36" t="s">
        <v>396</v>
      </c>
      <c r="N789" s="18" t="s">
        <v>397</v>
      </c>
      <c r="O789" s="27" t="n">
        <v>1</v>
      </c>
      <c r="P789" s="15" t="n">
        <f aca="false">IF(A789="","",IF(O789&lt;&gt;"",O789,IF(L789&lt;&gt;"",L789,F789)))</f>
        <v>1</v>
      </c>
    </row>
    <row r="790" customFormat="false" ht="15" hidden="false" customHeight="true" outlineLevel="0" collapsed="false">
      <c r="A790" s="30" t="s">
        <v>102</v>
      </c>
      <c r="B790" s="30" t="s">
        <v>103</v>
      </c>
      <c r="C790" s="21" t="n">
        <f aca="false">IF(A790="","",IFERROR(VLOOKUP(A790,'Recert Status'!$A$8:$C$400,3,FALSE()),""))</f>
        <v>46752</v>
      </c>
      <c r="D790" s="31" t="s">
        <v>870</v>
      </c>
      <c r="E790" s="30" t="s">
        <v>399</v>
      </c>
      <c r="F790" s="32" t="n">
        <v>1.25</v>
      </c>
      <c r="G790" s="33" t="n">
        <v>46085</v>
      </c>
      <c r="H790" s="33" t="n">
        <v>46085</v>
      </c>
      <c r="I790" s="31" t="s">
        <v>1120</v>
      </c>
      <c r="J790" s="30" t="s">
        <v>399</v>
      </c>
      <c r="K790" s="31" t="s">
        <v>401</v>
      </c>
      <c r="L790" s="32" t="n">
        <v>1.25</v>
      </c>
      <c r="M790" s="37" t="s">
        <v>402</v>
      </c>
      <c r="N790" s="31" t="s">
        <v>403</v>
      </c>
      <c r="O790" s="32" t="n">
        <v>1.25</v>
      </c>
      <c r="P790" s="15" t="n">
        <f aca="false">IF(A790="","",IF(O790&lt;&gt;"",O790,IF(L790&lt;&gt;"",L790,F790)))</f>
        <v>1.25</v>
      </c>
    </row>
    <row r="791" customFormat="false" ht="15" hidden="false" customHeight="true" outlineLevel="0" collapsed="false">
      <c r="A791" s="26" t="s">
        <v>102</v>
      </c>
      <c r="B791" s="26" t="s">
        <v>103</v>
      </c>
      <c r="C791" s="14" t="n">
        <f aca="false">IF(A791="","",IFERROR(VLOOKUP(A791,'Recert Status'!$A$8:$C$400,3,FALSE()),""))</f>
        <v>46752</v>
      </c>
      <c r="D791" s="18" t="s">
        <v>1121</v>
      </c>
      <c r="E791" s="26" t="n">
        <v>29718</v>
      </c>
      <c r="F791" s="27" t="n">
        <v>1</v>
      </c>
      <c r="G791" s="28" t="n">
        <v>46091</v>
      </c>
      <c r="H791" s="28" t="n">
        <v>46091</v>
      </c>
      <c r="I791" s="18" t="s">
        <v>1122</v>
      </c>
      <c r="J791" s="26" t="s">
        <v>1123</v>
      </c>
      <c r="K791" s="18" t="s">
        <v>407</v>
      </c>
      <c r="L791" s="27" t="n">
        <v>1</v>
      </c>
      <c r="M791" s="38" t="s">
        <v>408</v>
      </c>
      <c r="N791" s="18" t="s">
        <v>409</v>
      </c>
      <c r="O791" s="27" t="n">
        <v>1</v>
      </c>
      <c r="P791" s="15" t="n">
        <f aca="false">IF(A791="","",IF(O791&lt;&gt;"",O791,IF(L791&lt;&gt;"",L791,F791)))</f>
        <v>1</v>
      </c>
    </row>
    <row r="792" customFormat="false" ht="15" hidden="false" customHeight="true" outlineLevel="0" collapsed="false">
      <c r="A792" s="30" t="s">
        <v>102</v>
      </c>
      <c r="B792" s="30" t="s">
        <v>103</v>
      </c>
      <c r="C792" s="21" t="n">
        <f aca="false">IF(A792="","",IFERROR(VLOOKUP(A792,'Recert Status'!$A$8:$C$400,3,FALSE()),""))</f>
        <v>46752</v>
      </c>
      <c r="D792" s="31" t="s">
        <v>415</v>
      </c>
      <c r="E792" s="30" t="s">
        <v>416</v>
      </c>
      <c r="F792" s="32" t="n">
        <v>1</v>
      </c>
      <c r="G792" s="33" t="n">
        <v>45824</v>
      </c>
      <c r="H792" s="33" t="n">
        <v>45824</v>
      </c>
      <c r="I792" s="31" t="s">
        <v>1124</v>
      </c>
      <c r="J792" s="30" t="s">
        <v>416</v>
      </c>
      <c r="K792" s="31" t="s">
        <v>418</v>
      </c>
      <c r="L792" s="32" t="n">
        <v>1</v>
      </c>
      <c r="M792" s="39" t="s">
        <v>413</v>
      </c>
      <c r="N792" s="31" t="s">
        <v>414</v>
      </c>
      <c r="O792" s="32" t="n">
        <v>1</v>
      </c>
      <c r="P792" s="15" t="n">
        <f aca="false">IF(A792="","",IF(O792&lt;&gt;"",O792,IF(L792&lt;&gt;"",L792,F792)))</f>
        <v>1</v>
      </c>
    </row>
    <row r="793" customFormat="false" ht="15" hidden="false" customHeight="true" outlineLevel="0" collapsed="false">
      <c r="A793" s="26" t="s">
        <v>102</v>
      </c>
      <c r="B793" s="26" t="s">
        <v>103</v>
      </c>
      <c r="C793" s="14" t="n">
        <f aca="false">IF(A793="","",IFERROR(VLOOKUP(A793,'Recert Status'!$A$8:$C$400,3,FALSE()),""))</f>
        <v>46752</v>
      </c>
      <c r="D793" s="18" t="s">
        <v>457</v>
      </c>
      <c r="E793" s="26" t="s">
        <v>416</v>
      </c>
      <c r="F793" s="27" t="n">
        <v>2</v>
      </c>
      <c r="G793" s="28" t="n">
        <v>45860</v>
      </c>
      <c r="H793" s="28" t="n">
        <v>45860</v>
      </c>
      <c r="I793" s="18" t="s">
        <v>458</v>
      </c>
      <c r="J793" s="26" t="s">
        <v>416</v>
      </c>
      <c r="K793" s="18" t="s">
        <v>459</v>
      </c>
      <c r="L793" s="27" t="n">
        <v>2</v>
      </c>
      <c r="M793" s="39" t="s">
        <v>413</v>
      </c>
      <c r="N793" s="18" t="s">
        <v>414</v>
      </c>
      <c r="O793" s="27" t="n">
        <v>2</v>
      </c>
      <c r="P793" s="15" t="n">
        <f aca="false">IF(A793="","",IF(O793&lt;&gt;"",O793,IF(L793&lt;&gt;"",L793,F793)))</f>
        <v>2</v>
      </c>
    </row>
    <row r="794" customFormat="false" ht="15" hidden="false" customHeight="true" outlineLevel="0" collapsed="false">
      <c r="A794" s="30" t="s">
        <v>102</v>
      </c>
      <c r="B794" s="30" t="s">
        <v>103</v>
      </c>
      <c r="C794" s="21" t="n">
        <f aca="false">IF(A794="","",IFERROR(VLOOKUP(A794,'Recert Status'!$A$8:$C$400,3,FALSE()),""))</f>
        <v>46752</v>
      </c>
      <c r="D794" s="31" t="s">
        <v>672</v>
      </c>
      <c r="E794" s="30" t="s">
        <v>416</v>
      </c>
      <c r="F794" s="32" t="n">
        <v>1</v>
      </c>
      <c r="G794" s="33" t="n">
        <v>45933</v>
      </c>
      <c r="H794" s="33" t="n">
        <v>45933</v>
      </c>
      <c r="I794" s="31" t="s">
        <v>675</v>
      </c>
      <c r="J794" s="30" t="s">
        <v>416</v>
      </c>
      <c r="K794" s="31" t="s">
        <v>674</v>
      </c>
      <c r="L794" s="32" t="n">
        <v>1</v>
      </c>
      <c r="M794" s="39" t="s">
        <v>413</v>
      </c>
      <c r="N794" s="31" t="s">
        <v>414</v>
      </c>
      <c r="O794" s="32" t="n">
        <v>1</v>
      </c>
      <c r="P794" s="15" t="n">
        <f aca="false">IF(A794="","",IF(O794&lt;&gt;"",O794,IF(L794&lt;&gt;"",L794,F794)))</f>
        <v>1</v>
      </c>
    </row>
    <row r="795" customFormat="false" ht="15" hidden="false" customHeight="true" outlineLevel="0" collapsed="false">
      <c r="A795" s="26" t="s">
        <v>102</v>
      </c>
      <c r="B795" s="26" t="s">
        <v>103</v>
      </c>
      <c r="C795" s="14" t="n">
        <f aca="false">IF(A795="","",IFERROR(VLOOKUP(A795,'Recert Status'!$A$8:$C$400,3,FALSE()),""))</f>
        <v>46752</v>
      </c>
      <c r="D795" s="18" t="s">
        <v>488</v>
      </c>
      <c r="E795" s="26" t="s">
        <v>416</v>
      </c>
      <c r="F795" s="27" t="n">
        <v>1</v>
      </c>
      <c r="G795" s="28" t="n">
        <v>46139</v>
      </c>
      <c r="H795" s="28" t="n">
        <v>46139</v>
      </c>
      <c r="I795" s="18" t="s">
        <v>610</v>
      </c>
      <c r="J795" s="26" t="s">
        <v>416</v>
      </c>
      <c r="K795" s="18" t="s">
        <v>490</v>
      </c>
      <c r="L795" s="27" t="n">
        <v>1</v>
      </c>
      <c r="M795" s="39" t="s">
        <v>413</v>
      </c>
      <c r="N795" s="18" t="s">
        <v>414</v>
      </c>
      <c r="O795" s="27" t="n">
        <v>1</v>
      </c>
      <c r="P795" s="15" t="n">
        <f aca="false">IF(A795="","",IF(O795&lt;&gt;"",O795,IF(L795&lt;&gt;"",L795,F795)))</f>
        <v>1</v>
      </c>
    </row>
    <row r="796" customFormat="false" ht="15" hidden="false" customHeight="true" outlineLevel="0" collapsed="false">
      <c r="A796" s="30" t="s">
        <v>102</v>
      </c>
      <c r="B796" s="30" t="s">
        <v>103</v>
      </c>
      <c r="C796" s="21" t="n">
        <f aca="false">IF(A796="","",IFERROR(VLOOKUP(A796,'Recert Status'!$A$8:$C$400,3,FALSE()),""))</f>
        <v>46752</v>
      </c>
      <c r="D796" s="31" t="s">
        <v>414</v>
      </c>
      <c r="E796" s="30" t="s">
        <v>416</v>
      </c>
      <c r="F796" s="32" t="n">
        <v>2</v>
      </c>
      <c r="G796" s="33" t="n">
        <v>46217</v>
      </c>
      <c r="H796" s="33" t="n">
        <v>46217</v>
      </c>
      <c r="I796" s="31" t="s">
        <v>460</v>
      </c>
      <c r="J796" s="30" t="s">
        <v>416</v>
      </c>
      <c r="K796" s="31" t="s">
        <v>418</v>
      </c>
      <c r="L796" s="32" t="n">
        <v>2</v>
      </c>
      <c r="M796" s="39" t="s">
        <v>413</v>
      </c>
      <c r="N796" s="31" t="s">
        <v>414</v>
      </c>
      <c r="O796" s="32" t="n">
        <v>2</v>
      </c>
      <c r="P796" s="15" t="n">
        <f aca="false">IF(A796="","",IF(O796&lt;&gt;"",O796,IF(L796&lt;&gt;"",L796,F796)))</f>
        <v>2</v>
      </c>
    </row>
    <row r="797" customFormat="false" ht="15" hidden="false" customHeight="true" outlineLevel="0" collapsed="false">
      <c r="A797" s="26" t="s">
        <v>102</v>
      </c>
      <c r="B797" s="26" t="s">
        <v>103</v>
      </c>
      <c r="C797" s="14" t="n">
        <f aca="false">IF(A797="","",IFERROR(VLOOKUP(A797,'Recert Status'!$A$8:$C$400,3,FALSE()),""))</f>
        <v>46752</v>
      </c>
      <c r="D797" s="18" t="s">
        <v>414</v>
      </c>
      <c r="E797" s="26" t="s">
        <v>416</v>
      </c>
      <c r="F797" s="27" t="n">
        <v>2</v>
      </c>
      <c r="G797" s="28" t="n">
        <v>46218</v>
      </c>
      <c r="H797" s="28" t="n">
        <v>46218</v>
      </c>
      <c r="I797" s="18" t="s">
        <v>535</v>
      </c>
      <c r="J797" s="26" t="s">
        <v>416</v>
      </c>
      <c r="K797" s="18" t="s">
        <v>418</v>
      </c>
      <c r="L797" s="27" t="n">
        <v>2</v>
      </c>
      <c r="M797" s="39" t="s">
        <v>413</v>
      </c>
      <c r="N797" s="18" t="s">
        <v>414</v>
      </c>
      <c r="O797" s="27" t="n">
        <v>2</v>
      </c>
      <c r="P797" s="15" t="n">
        <f aca="false">IF(A797="","",IF(O797&lt;&gt;"",O797,IF(L797&lt;&gt;"",L797,F797)))</f>
        <v>2</v>
      </c>
    </row>
    <row r="798" customFormat="false" ht="15" hidden="false" customHeight="true" outlineLevel="0" collapsed="false">
      <c r="A798" s="30" t="s">
        <v>104</v>
      </c>
      <c r="B798" s="30" t="s">
        <v>105</v>
      </c>
      <c r="C798" s="21" t="n">
        <f aca="false">IF(A798="","",IFERROR(VLOOKUP(A798,'Recert Status'!$A$8:$C$400,3,FALSE()),""))</f>
        <v>46387</v>
      </c>
      <c r="D798" s="31" t="s">
        <v>367</v>
      </c>
      <c r="E798" s="30" t="s">
        <v>363</v>
      </c>
      <c r="F798" s="32" t="n">
        <v>1</v>
      </c>
      <c r="G798" s="33" t="n">
        <v>46286</v>
      </c>
      <c r="H798" s="33" t="n">
        <v>46286</v>
      </c>
      <c r="I798" s="31" t="s">
        <v>883</v>
      </c>
      <c r="J798" s="30" t="s">
        <v>363</v>
      </c>
      <c r="K798" s="31" t="s">
        <v>365</v>
      </c>
      <c r="L798" s="32" t="n">
        <v>1</v>
      </c>
      <c r="M798" s="29" t="s">
        <v>366</v>
      </c>
      <c r="N798" s="31" t="s">
        <v>367</v>
      </c>
      <c r="O798" s="32" t="n">
        <v>1</v>
      </c>
      <c r="P798" s="15" t="n">
        <f aca="false">IF(A798="","",IF(O798&lt;&gt;"",O798,IF(L798&lt;&gt;"",L798,F798)))</f>
        <v>1</v>
      </c>
    </row>
    <row r="799" customFormat="false" ht="15" hidden="false" customHeight="true" outlineLevel="0" collapsed="false">
      <c r="A799" s="26" t="s">
        <v>104</v>
      </c>
      <c r="B799" s="26" t="s">
        <v>105</v>
      </c>
      <c r="C799" s="14" t="n">
        <f aca="false">IF(A799="","",IFERROR(VLOOKUP(A799,'Recert Status'!$A$8:$C$400,3,FALSE()),""))</f>
        <v>46387</v>
      </c>
      <c r="D799" s="18" t="s">
        <v>1125</v>
      </c>
      <c r="E799" s="26" t="s">
        <v>542</v>
      </c>
      <c r="F799" s="27" t="n">
        <v>0.5</v>
      </c>
      <c r="G799" s="28" t="n">
        <v>45745</v>
      </c>
      <c r="H799" s="28" t="n">
        <v>45745</v>
      </c>
      <c r="I799" s="18" t="s">
        <v>1126</v>
      </c>
      <c r="J799" s="26" t="s">
        <v>542</v>
      </c>
      <c r="K799" s="18" t="s">
        <v>422</v>
      </c>
      <c r="L799" s="27" t="n">
        <v>0.5</v>
      </c>
      <c r="M799" s="40" t="s">
        <v>423</v>
      </c>
      <c r="N799" s="18" t="s">
        <v>424</v>
      </c>
      <c r="O799" s="27" t="n">
        <v>0.5</v>
      </c>
      <c r="P799" s="15" t="n">
        <f aca="false">IF(A799="","",IF(O799&lt;&gt;"",O799,IF(L799&lt;&gt;"",L799,F799)))</f>
        <v>0.5</v>
      </c>
    </row>
    <row r="800" customFormat="false" ht="15" hidden="false" customHeight="true" outlineLevel="0" collapsed="false">
      <c r="A800" s="30" t="s">
        <v>104</v>
      </c>
      <c r="B800" s="30" t="s">
        <v>105</v>
      </c>
      <c r="C800" s="21" t="n">
        <f aca="false">IF(A800="","",IFERROR(VLOOKUP(A800,'Recert Status'!$A$8:$C$400,3,FALSE()),""))</f>
        <v>46387</v>
      </c>
      <c r="D800" s="31" t="s">
        <v>430</v>
      </c>
      <c r="E800" s="30" t="s">
        <v>426</v>
      </c>
      <c r="F800" s="32" t="n">
        <v>1</v>
      </c>
      <c r="G800" s="33" t="n">
        <v>46286</v>
      </c>
      <c r="H800" s="33" t="n">
        <v>46286</v>
      </c>
      <c r="I800" s="31" t="s">
        <v>890</v>
      </c>
      <c r="J800" s="30" t="s">
        <v>426</v>
      </c>
      <c r="K800" s="31" t="s">
        <v>428</v>
      </c>
      <c r="L800" s="32" t="n">
        <v>1</v>
      </c>
      <c r="M800" s="41" t="s">
        <v>429</v>
      </c>
      <c r="N800" s="31" t="s">
        <v>430</v>
      </c>
      <c r="O800" s="32" t="n">
        <v>1</v>
      </c>
      <c r="P800" s="15" t="n">
        <f aca="false">IF(A800="","",IF(O800&lt;&gt;"",O800,IF(L800&lt;&gt;"",L800,F800)))</f>
        <v>1</v>
      </c>
    </row>
    <row r="801" customFormat="false" ht="15" hidden="false" customHeight="true" outlineLevel="0" collapsed="false">
      <c r="A801" s="26" t="s">
        <v>104</v>
      </c>
      <c r="B801" s="26" t="s">
        <v>105</v>
      </c>
      <c r="C801" s="14" t="n">
        <f aca="false">IF(A801="","",IFERROR(VLOOKUP(A801,'Recert Status'!$A$8:$C$400,3,FALSE()),""))</f>
        <v>46387</v>
      </c>
      <c r="D801" s="18" t="s">
        <v>1127</v>
      </c>
      <c r="E801" s="26" t="s">
        <v>372</v>
      </c>
      <c r="F801" s="27" t="n">
        <v>1.5</v>
      </c>
      <c r="G801" s="28" t="n">
        <v>45726</v>
      </c>
      <c r="H801" s="28" t="n">
        <v>45726</v>
      </c>
      <c r="I801" s="18" t="s">
        <v>1128</v>
      </c>
      <c r="J801" s="26" t="s">
        <v>372</v>
      </c>
      <c r="K801" s="18" t="s">
        <v>374</v>
      </c>
      <c r="L801" s="27" t="n">
        <v>1.5</v>
      </c>
      <c r="M801" s="34" t="s">
        <v>375</v>
      </c>
      <c r="N801" s="18" t="s">
        <v>376</v>
      </c>
      <c r="O801" s="27" t="n">
        <v>1.5</v>
      </c>
      <c r="P801" s="15" t="n">
        <f aca="false">IF(A801="","",IF(O801&lt;&gt;"",O801,IF(L801&lt;&gt;"",L801,F801)))</f>
        <v>1.5</v>
      </c>
    </row>
    <row r="802" customFormat="false" ht="15" hidden="false" customHeight="true" outlineLevel="0" collapsed="false">
      <c r="A802" s="30" t="s">
        <v>104</v>
      </c>
      <c r="B802" s="30" t="s">
        <v>105</v>
      </c>
      <c r="C802" s="21" t="n">
        <f aca="false">IF(A802="","",IFERROR(VLOOKUP(A802,'Recert Status'!$A$8:$C$400,3,FALSE()),""))</f>
        <v>46387</v>
      </c>
      <c r="D802" s="31" t="s">
        <v>732</v>
      </c>
      <c r="E802" s="30" t="n">
        <v>29740</v>
      </c>
      <c r="F802" s="32" t="n">
        <v>1</v>
      </c>
      <c r="G802" s="33" t="n">
        <v>46174</v>
      </c>
      <c r="H802" s="33" t="n">
        <v>46174</v>
      </c>
      <c r="I802" s="31" t="s">
        <v>1129</v>
      </c>
      <c r="J802" s="30" t="s">
        <v>394</v>
      </c>
      <c r="K802" s="31" t="s">
        <v>1130</v>
      </c>
      <c r="L802" s="32" t="n">
        <v>1</v>
      </c>
      <c r="M802" s="34" t="s">
        <v>375</v>
      </c>
      <c r="N802" s="31" t="s">
        <v>514</v>
      </c>
      <c r="O802" s="32" t="n">
        <v>1</v>
      </c>
      <c r="P802" s="15" t="n">
        <f aca="false">IF(A802="","",IF(O802&lt;&gt;"",O802,IF(L802&lt;&gt;"",L802,F802)))</f>
        <v>1</v>
      </c>
    </row>
    <row r="803" customFormat="false" ht="15" hidden="false" customHeight="true" outlineLevel="0" collapsed="false">
      <c r="A803" s="26" t="s">
        <v>104</v>
      </c>
      <c r="B803" s="26" t="s">
        <v>105</v>
      </c>
      <c r="C803" s="14" t="n">
        <f aca="false">IF(A803="","",IFERROR(VLOOKUP(A803,'Recert Status'!$A$8:$C$400,3,FALSE()),""))</f>
        <v>46387</v>
      </c>
      <c r="D803" s="18" t="s">
        <v>647</v>
      </c>
      <c r="E803" s="26" t="n">
        <v>29675</v>
      </c>
      <c r="F803" s="27" t="n">
        <v>1</v>
      </c>
      <c r="G803" s="28" t="n">
        <v>45840</v>
      </c>
      <c r="H803" s="28" t="n">
        <v>45840</v>
      </c>
      <c r="I803" s="18" t="s">
        <v>648</v>
      </c>
      <c r="J803" s="26" t="s">
        <v>406</v>
      </c>
      <c r="K803" s="18" t="s">
        <v>385</v>
      </c>
      <c r="L803" s="27" t="n">
        <v>1</v>
      </c>
      <c r="M803" s="35" t="s">
        <v>386</v>
      </c>
      <c r="N803" s="18" t="s">
        <v>387</v>
      </c>
      <c r="O803" s="27" t="n">
        <v>1</v>
      </c>
      <c r="P803" s="15" t="n">
        <f aca="false">IF(A803="","",IF(O803&lt;&gt;"",O803,IF(L803&lt;&gt;"",L803,F803)))</f>
        <v>1</v>
      </c>
    </row>
    <row r="804" customFormat="false" ht="15" hidden="false" customHeight="true" outlineLevel="0" collapsed="false">
      <c r="A804" s="30" t="s">
        <v>104</v>
      </c>
      <c r="B804" s="30" t="s">
        <v>105</v>
      </c>
      <c r="C804" s="21" t="n">
        <f aca="false">IF(A804="","",IFERROR(VLOOKUP(A804,'Recert Status'!$A$8:$C$400,3,FALSE()),""))</f>
        <v>46387</v>
      </c>
      <c r="D804" s="31" t="s">
        <v>1131</v>
      </c>
      <c r="E804" s="30" t="n">
        <v>29743</v>
      </c>
      <c r="F804" s="32" t="n">
        <v>0.5</v>
      </c>
      <c r="G804" s="33" t="n">
        <v>45897</v>
      </c>
      <c r="H804" s="33" t="n">
        <v>45897</v>
      </c>
      <c r="I804" s="31" t="s">
        <v>1132</v>
      </c>
      <c r="J804" s="30" t="s">
        <v>439</v>
      </c>
      <c r="K804" s="31" t="s">
        <v>791</v>
      </c>
      <c r="L804" s="32" t="n">
        <v>0.5</v>
      </c>
      <c r="M804" s="35" t="s">
        <v>386</v>
      </c>
      <c r="N804" s="31" t="s">
        <v>387</v>
      </c>
      <c r="O804" s="32" t="n">
        <v>0.5</v>
      </c>
      <c r="P804" s="15" t="n">
        <f aca="false">IF(A804="","",IF(O804&lt;&gt;"",O804,IF(L804&lt;&gt;"",L804,F804)))</f>
        <v>0.5</v>
      </c>
    </row>
    <row r="805" customFormat="false" ht="15" hidden="false" customHeight="true" outlineLevel="0" collapsed="false">
      <c r="A805" s="26" t="s">
        <v>104</v>
      </c>
      <c r="B805" s="26" t="s">
        <v>105</v>
      </c>
      <c r="C805" s="14" t="n">
        <f aca="false">IF(A805="","",IFERROR(VLOOKUP(A805,'Recert Status'!$A$8:$C$400,3,FALSE()),""))</f>
        <v>46387</v>
      </c>
      <c r="D805" s="18" t="s">
        <v>1133</v>
      </c>
      <c r="E805" s="26" t="n">
        <v>57435</v>
      </c>
      <c r="F805" s="27" t="n">
        <v>1</v>
      </c>
      <c r="G805" s="28" t="n">
        <v>45994</v>
      </c>
      <c r="H805" s="28" t="n">
        <v>45994</v>
      </c>
      <c r="I805" s="18" t="s">
        <v>1134</v>
      </c>
      <c r="J805" s="26" t="s">
        <v>593</v>
      </c>
      <c r="K805" s="18" t="s">
        <v>446</v>
      </c>
      <c r="L805" s="27" t="n">
        <v>1</v>
      </c>
      <c r="M805" s="35" t="s">
        <v>386</v>
      </c>
      <c r="N805" s="18" t="s">
        <v>387</v>
      </c>
      <c r="O805" s="27" t="n">
        <v>1</v>
      </c>
      <c r="P805" s="15" t="n">
        <f aca="false">IF(A805="","",IF(O805&lt;&gt;"",O805,IF(L805&lt;&gt;"",L805,F805)))</f>
        <v>1</v>
      </c>
    </row>
    <row r="806" customFormat="false" ht="15" hidden="false" customHeight="true" outlineLevel="0" collapsed="false">
      <c r="A806" s="30" t="s">
        <v>104</v>
      </c>
      <c r="B806" s="30" t="s">
        <v>105</v>
      </c>
      <c r="C806" s="21" t="n">
        <f aca="false">IF(A806="","",IFERROR(VLOOKUP(A806,'Recert Status'!$A$8:$C$400,3,FALSE()),""))</f>
        <v>46387</v>
      </c>
      <c r="D806" s="31" t="s">
        <v>449</v>
      </c>
      <c r="E806" s="30" t="n">
        <v>29675</v>
      </c>
      <c r="F806" s="32" t="n">
        <v>3</v>
      </c>
      <c r="G806" s="33" t="n">
        <v>46078</v>
      </c>
      <c r="H806" s="33" t="n">
        <v>46078</v>
      </c>
      <c r="I806" s="31" t="s">
        <v>1135</v>
      </c>
      <c r="J806" s="30" t="s">
        <v>406</v>
      </c>
      <c r="K806" s="31" t="s">
        <v>1136</v>
      </c>
      <c r="L806" s="32" t="n">
        <v>3</v>
      </c>
      <c r="M806" s="35" t="s">
        <v>386</v>
      </c>
      <c r="N806" s="31" t="s">
        <v>387</v>
      </c>
      <c r="O806" s="32" t="n">
        <v>3</v>
      </c>
      <c r="P806" s="15" t="n">
        <f aca="false">IF(A806="","",IF(O806&lt;&gt;"",O806,IF(L806&lt;&gt;"",L806,F806)))</f>
        <v>3</v>
      </c>
    </row>
    <row r="807" customFormat="false" ht="15" hidden="false" customHeight="true" outlineLevel="0" collapsed="false">
      <c r="A807" s="26" t="s">
        <v>104</v>
      </c>
      <c r="B807" s="26" t="s">
        <v>105</v>
      </c>
      <c r="C807" s="14" t="n">
        <f aca="false">IF(A807="","",IFERROR(VLOOKUP(A807,'Recert Status'!$A$8:$C$400,3,FALSE()),""))</f>
        <v>46387</v>
      </c>
      <c r="D807" s="18" t="s">
        <v>474</v>
      </c>
      <c r="E807" s="26" t="s">
        <v>389</v>
      </c>
      <c r="F807" s="27" t="n">
        <v>1</v>
      </c>
      <c r="G807" s="28" t="n">
        <v>46204</v>
      </c>
      <c r="H807" s="28" t="n">
        <v>46204</v>
      </c>
      <c r="I807" s="18" t="s">
        <v>475</v>
      </c>
      <c r="J807" s="26" t="s">
        <v>389</v>
      </c>
      <c r="K807" s="18" t="s">
        <v>476</v>
      </c>
      <c r="L807" s="27" t="n">
        <v>1</v>
      </c>
      <c r="M807" s="35" t="s">
        <v>386</v>
      </c>
      <c r="N807" s="18" t="s">
        <v>387</v>
      </c>
      <c r="O807" s="27" t="n">
        <v>1</v>
      </c>
      <c r="P807" s="15" t="n">
        <f aca="false">IF(A807="","",IF(O807&lt;&gt;"",O807,IF(L807&lt;&gt;"",L807,F807)))</f>
        <v>1</v>
      </c>
    </row>
    <row r="808" customFormat="false" ht="15" hidden="false" customHeight="true" outlineLevel="0" collapsed="false">
      <c r="A808" s="30" t="s">
        <v>104</v>
      </c>
      <c r="B808" s="30" t="s">
        <v>105</v>
      </c>
      <c r="C808" s="21" t="n">
        <f aca="false">IF(A808="","",IFERROR(VLOOKUP(A808,'Recert Status'!$A$8:$C$400,3,FALSE()),""))</f>
        <v>46387</v>
      </c>
      <c r="D808" s="31" t="s">
        <v>387</v>
      </c>
      <c r="E808" s="30" t="s">
        <v>389</v>
      </c>
      <c r="F808" s="32" t="n">
        <v>1</v>
      </c>
      <c r="G808" s="33" t="n">
        <v>46240</v>
      </c>
      <c r="H808" s="33" t="n">
        <v>46240</v>
      </c>
      <c r="I808" s="31" t="s">
        <v>1137</v>
      </c>
      <c r="J808" s="30" t="s">
        <v>389</v>
      </c>
      <c r="K808" s="31" t="s">
        <v>451</v>
      </c>
      <c r="L808" s="32" t="n">
        <v>1</v>
      </c>
      <c r="M808" s="35" t="s">
        <v>386</v>
      </c>
      <c r="N808" s="31" t="s">
        <v>387</v>
      </c>
      <c r="O808" s="32" t="n">
        <v>1</v>
      </c>
      <c r="P808" s="15" t="n">
        <f aca="false">IF(A808="","",IF(O808&lt;&gt;"",O808,IF(L808&lt;&gt;"",L808,F808)))</f>
        <v>1</v>
      </c>
    </row>
    <row r="809" customFormat="false" ht="15" hidden="false" customHeight="true" outlineLevel="0" collapsed="false">
      <c r="A809" s="26" t="s">
        <v>104</v>
      </c>
      <c r="B809" s="26" t="s">
        <v>105</v>
      </c>
      <c r="C809" s="14" t="n">
        <f aca="false">IF(A809="","",IFERROR(VLOOKUP(A809,'Recert Status'!$A$8:$C$400,3,FALSE()),""))</f>
        <v>46387</v>
      </c>
      <c r="D809" s="18" t="s">
        <v>387</v>
      </c>
      <c r="E809" s="26" t="s">
        <v>389</v>
      </c>
      <c r="F809" s="27" t="n">
        <v>1</v>
      </c>
      <c r="G809" s="28" t="n">
        <v>46279</v>
      </c>
      <c r="H809" s="28" t="n">
        <v>46279</v>
      </c>
      <c r="I809" s="18" t="s">
        <v>1138</v>
      </c>
      <c r="J809" s="26" t="s">
        <v>389</v>
      </c>
      <c r="K809" s="18" t="s">
        <v>451</v>
      </c>
      <c r="L809" s="27" t="n">
        <v>1</v>
      </c>
      <c r="M809" s="35" t="s">
        <v>386</v>
      </c>
      <c r="N809" s="18" t="s">
        <v>387</v>
      </c>
      <c r="O809" s="27" t="n">
        <v>1</v>
      </c>
      <c r="P809" s="15" t="n">
        <f aca="false">IF(A809="","",IF(O809&lt;&gt;"",O809,IF(L809&lt;&gt;"",L809,F809)))</f>
        <v>1</v>
      </c>
    </row>
    <row r="810" customFormat="false" ht="15" hidden="false" customHeight="true" outlineLevel="0" collapsed="false">
      <c r="A810" s="30" t="s">
        <v>104</v>
      </c>
      <c r="B810" s="30" t="s">
        <v>105</v>
      </c>
      <c r="C810" s="21" t="n">
        <f aca="false">IF(A810="","",IFERROR(VLOOKUP(A810,'Recert Status'!$A$8:$C$400,3,FALSE()),""))</f>
        <v>46387</v>
      </c>
      <c r="D810" s="31" t="s">
        <v>387</v>
      </c>
      <c r="E810" s="30" t="s">
        <v>389</v>
      </c>
      <c r="F810" s="32" t="n">
        <v>1</v>
      </c>
      <c r="G810" s="33" t="n">
        <v>46286</v>
      </c>
      <c r="H810" s="33" t="n">
        <v>46286</v>
      </c>
      <c r="I810" s="31" t="s">
        <v>903</v>
      </c>
      <c r="J810" s="30" t="s">
        <v>389</v>
      </c>
      <c r="K810" s="31" t="s">
        <v>904</v>
      </c>
      <c r="L810" s="32" t="n">
        <v>1</v>
      </c>
      <c r="M810" s="35" t="s">
        <v>386</v>
      </c>
      <c r="N810" s="31" t="s">
        <v>387</v>
      </c>
      <c r="O810" s="32" t="n">
        <v>1</v>
      </c>
      <c r="P810" s="15" t="n">
        <f aca="false">IF(A810="","",IF(O810&lt;&gt;"",O810,IF(L810&lt;&gt;"",L810,F810)))</f>
        <v>1</v>
      </c>
    </row>
    <row r="811" customFormat="false" ht="15" hidden="false" customHeight="true" outlineLevel="0" collapsed="false">
      <c r="A811" s="26" t="s">
        <v>104</v>
      </c>
      <c r="B811" s="26" t="s">
        <v>105</v>
      </c>
      <c r="C811" s="14" t="n">
        <f aca="false">IF(A811="","",IFERROR(VLOOKUP(A811,'Recert Status'!$A$8:$C$400,3,FALSE()),""))</f>
        <v>46387</v>
      </c>
      <c r="D811" s="18" t="s">
        <v>397</v>
      </c>
      <c r="E811" s="26" t="s">
        <v>452</v>
      </c>
      <c r="F811" s="27" t="n">
        <v>1</v>
      </c>
      <c r="G811" s="28" t="n">
        <v>46246</v>
      </c>
      <c r="H811" s="28" t="n">
        <v>46246</v>
      </c>
      <c r="I811" s="18" t="s">
        <v>478</v>
      </c>
      <c r="J811" s="26" t="s">
        <v>452</v>
      </c>
      <c r="K811" s="18" t="s">
        <v>385</v>
      </c>
      <c r="L811" s="27" t="n">
        <v>1</v>
      </c>
      <c r="M811" s="36" t="s">
        <v>396</v>
      </c>
      <c r="N811" s="18" t="s">
        <v>397</v>
      </c>
      <c r="O811" s="27" t="n">
        <v>1</v>
      </c>
      <c r="P811" s="15" t="n">
        <f aca="false">IF(A811="","",IF(O811&lt;&gt;"",O811,IF(L811&lt;&gt;"",L811,F811)))</f>
        <v>1</v>
      </c>
    </row>
    <row r="812" customFormat="false" ht="15" hidden="false" customHeight="true" outlineLevel="0" collapsed="false">
      <c r="A812" s="30" t="s">
        <v>104</v>
      </c>
      <c r="B812" s="30" t="s">
        <v>105</v>
      </c>
      <c r="C812" s="21" t="n">
        <f aca="false">IF(A812="","",IFERROR(VLOOKUP(A812,'Recert Status'!$A$8:$C$400,3,FALSE()),""))</f>
        <v>46387</v>
      </c>
      <c r="D812" s="31" t="s">
        <v>397</v>
      </c>
      <c r="E812" s="30" t="s">
        <v>452</v>
      </c>
      <c r="F812" s="32" t="n">
        <v>1</v>
      </c>
      <c r="G812" s="33" t="n">
        <v>46246</v>
      </c>
      <c r="H812" s="33" t="n">
        <v>46246</v>
      </c>
      <c r="I812" s="31" t="s">
        <v>478</v>
      </c>
      <c r="J812" s="30" t="s">
        <v>452</v>
      </c>
      <c r="K812" s="31" t="s">
        <v>385</v>
      </c>
      <c r="L812" s="32" t="n">
        <v>1</v>
      </c>
      <c r="M812" s="36" t="s">
        <v>396</v>
      </c>
      <c r="N812" s="31" t="s">
        <v>397</v>
      </c>
      <c r="O812" s="32" t="n">
        <v>1</v>
      </c>
      <c r="P812" s="15" t="n">
        <f aca="false">IF(A812="","",IF(O812&lt;&gt;"",O812,IF(L812&lt;&gt;"",L812,F812)))</f>
        <v>1</v>
      </c>
    </row>
    <row r="813" customFormat="false" ht="15" hidden="false" customHeight="true" outlineLevel="0" collapsed="false">
      <c r="A813" s="26" t="s">
        <v>104</v>
      </c>
      <c r="B813" s="26" t="s">
        <v>105</v>
      </c>
      <c r="C813" s="14" t="n">
        <f aca="false">IF(A813="","",IFERROR(VLOOKUP(A813,'Recert Status'!$A$8:$C$400,3,FALSE()),""))</f>
        <v>46387</v>
      </c>
      <c r="D813" s="18" t="s">
        <v>397</v>
      </c>
      <c r="E813" s="26" t="s">
        <v>452</v>
      </c>
      <c r="F813" s="27" t="n">
        <v>1</v>
      </c>
      <c r="G813" s="28" t="n">
        <v>46279</v>
      </c>
      <c r="H813" s="28" t="n">
        <v>46279</v>
      </c>
      <c r="I813" s="18" t="s">
        <v>1139</v>
      </c>
      <c r="J813" s="26" t="s">
        <v>452</v>
      </c>
      <c r="K813" s="18" t="s">
        <v>385</v>
      </c>
      <c r="L813" s="27" t="n">
        <v>1</v>
      </c>
      <c r="M813" s="36" t="s">
        <v>396</v>
      </c>
      <c r="N813" s="18" t="s">
        <v>397</v>
      </c>
      <c r="O813" s="27" t="n">
        <v>1</v>
      </c>
      <c r="P813" s="15" t="n">
        <f aca="false">IF(A813="","",IF(O813&lt;&gt;"",O813,IF(L813&lt;&gt;"",L813,F813)))</f>
        <v>1</v>
      </c>
    </row>
    <row r="814" customFormat="false" ht="15" hidden="false" customHeight="true" outlineLevel="0" collapsed="false">
      <c r="A814" s="30" t="s">
        <v>104</v>
      </c>
      <c r="B814" s="30" t="s">
        <v>105</v>
      </c>
      <c r="C814" s="21" t="n">
        <f aca="false">IF(A814="","",IFERROR(VLOOKUP(A814,'Recert Status'!$A$8:$C$400,3,FALSE()),""))</f>
        <v>46387</v>
      </c>
      <c r="D814" s="31" t="s">
        <v>1140</v>
      </c>
      <c r="E814" s="30" t="s">
        <v>399</v>
      </c>
      <c r="F814" s="32" t="n">
        <v>1</v>
      </c>
      <c r="G814" s="33" t="n">
        <v>45732</v>
      </c>
      <c r="H814" s="33" t="n">
        <v>45732</v>
      </c>
      <c r="I814" s="31" t="s">
        <v>1141</v>
      </c>
      <c r="J814" s="30" t="s">
        <v>399</v>
      </c>
      <c r="K814" s="31" t="s">
        <v>401</v>
      </c>
      <c r="L814" s="32" t="n">
        <v>1</v>
      </c>
      <c r="M814" s="37" t="s">
        <v>402</v>
      </c>
      <c r="N814" s="31" t="s">
        <v>403</v>
      </c>
      <c r="O814" s="32" t="n">
        <v>1</v>
      </c>
      <c r="P814" s="15" t="n">
        <f aca="false">IF(A814="","",IF(O814&lt;&gt;"",O814,IF(L814&lt;&gt;"",L814,F814)))</f>
        <v>1</v>
      </c>
    </row>
    <row r="815" customFormat="false" ht="15" hidden="false" customHeight="true" outlineLevel="0" collapsed="false">
      <c r="A815" s="26" t="s">
        <v>104</v>
      </c>
      <c r="B815" s="26" t="s">
        <v>105</v>
      </c>
      <c r="C815" s="14" t="n">
        <f aca="false">IF(A815="","",IFERROR(VLOOKUP(A815,'Recert Status'!$A$8:$C$400,3,FALSE()),""))</f>
        <v>46387</v>
      </c>
      <c r="D815" s="18" t="s">
        <v>822</v>
      </c>
      <c r="E815" s="26" t="s">
        <v>416</v>
      </c>
      <c r="F815" s="27" t="n">
        <v>2</v>
      </c>
      <c r="G815" s="28" t="n">
        <v>45861</v>
      </c>
      <c r="H815" s="28" t="n">
        <v>45861</v>
      </c>
      <c r="I815" s="18" t="s">
        <v>823</v>
      </c>
      <c r="J815" s="26" t="s">
        <v>416</v>
      </c>
      <c r="K815" s="18" t="s">
        <v>523</v>
      </c>
      <c r="L815" s="27" t="n">
        <v>2</v>
      </c>
      <c r="M815" s="39" t="s">
        <v>413</v>
      </c>
      <c r="N815" s="18" t="s">
        <v>414</v>
      </c>
      <c r="O815" s="27" t="n">
        <v>2</v>
      </c>
      <c r="P815" s="15" t="n">
        <f aca="false">IF(A815="","",IF(O815&lt;&gt;"",O815,IF(L815&lt;&gt;"",L815,F815)))</f>
        <v>2</v>
      </c>
    </row>
    <row r="816" customFormat="false" ht="15" hidden="false" customHeight="true" outlineLevel="0" collapsed="false">
      <c r="A816" s="30" t="s">
        <v>104</v>
      </c>
      <c r="B816" s="30" t="s">
        <v>105</v>
      </c>
      <c r="C816" s="21" t="n">
        <f aca="false">IF(A816="","",IFERROR(VLOOKUP(A816,'Recert Status'!$A$8:$C$400,3,FALSE()),""))</f>
        <v>46387</v>
      </c>
      <c r="D816" s="31" t="s">
        <v>488</v>
      </c>
      <c r="E816" s="30" t="s">
        <v>416</v>
      </c>
      <c r="F816" s="32" t="n">
        <v>1</v>
      </c>
      <c r="G816" s="33" t="n">
        <v>46126</v>
      </c>
      <c r="H816" s="33" t="n">
        <v>46126</v>
      </c>
      <c r="I816" s="31" t="s">
        <v>489</v>
      </c>
      <c r="J816" s="30" t="s">
        <v>416</v>
      </c>
      <c r="K816" s="31" t="s">
        <v>490</v>
      </c>
      <c r="L816" s="32" t="n">
        <v>1</v>
      </c>
      <c r="M816" s="39" t="s">
        <v>413</v>
      </c>
      <c r="N816" s="31" t="s">
        <v>414</v>
      </c>
      <c r="O816" s="32" t="n">
        <v>1</v>
      </c>
      <c r="P816" s="15" t="n">
        <f aca="false">IF(A816="","",IF(O816&lt;&gt;"",O816,IF(L816&lt;&gt;"",L816,F816)))</f>
        <v>1</v>
      </c>
    </row>
    <row r="817" customFormat="false" ht="15" hidden="false" customHeight="true" outlineLevel="0" collapsed="false">
      <c r="A817" s="26" t="s">
        <v>104</v>
      </c>
      <c r="B817" s="26" t="s">
        <v>105</v>
      </c>
      <c r="C817" s="14" t="n">
        <f aca="false">IF(A817="","",IFERROR(VLOOKUP(A817,'Recert Status'!$A$8:$C$400,3,FALSE()),""))</f>
        <v>46387</v>
      </c>
      <c r="D817" s="18" t="s">
        <v>414</v>
      </c>
      <c r="E817" s="26" t="s">
        <v>416</v>
      </c>
      <c r="F817" s="27" t="n">
        <v>2</v>
      </c>
      <c r="G817" s="28" t="n">
        <v>46219</v>
      </c>
      <c r="H817" s="28" t="n">
        <v>46219</v>
      </c>
      <c r="I817" s="18" t="s">
        <v>567</v>
      </c>
      <c r="J817" s="26" t="s">
        <v>416</v>
      </c>
      <c r="K817" s="18" t="s">
        <v>418</v>
      </c>
      <c r="L817" s="27" t="n">
        <v>2</v>
      </c>
      <c r="M817" s="39" t="s">
        <v>413</v>
      </c>
      <c r="N817" s="18" t="s">
        <v>414</v>
      </c>
      <c r="O817" s="27" t="n">
        <v>2</v>
      </c>
      <c r="P817" s="15" t="n">
        <f aca="false">IF(A817="","",IF(O817&lt;&gt;"",O817,IF(L817&lt;&gt;"",L817,F817)))</f>
        <v>2</v>
      </c>
    </row>
    <row r="818" customFormat="false" ht="15" hidden="false" customHeight="true" outlineLevel="0" collapsed="false">
      <c r="A818" s="30" t="s">
        <v>106</v>
      </c>
      <c r="B818" s="30" t="s">
        <v>107</v>
      </c>
      <c r="C818" s="21" t="n">
        <f aca="false">IF(A818="","",IFERROR(VLOOKUP(A818,'Recert Status'!$A$8:$C$400,3,FALSE()),""))</f>
        <v>46752</v>
      </c>
      <c r="D818" s="31" t="s">
        <v>1110</v>
      </c>
      <c r="E818" s="30" t="n">
        <v>29740</v>
      </c>
      <c r="F818" s="32" t="n">
        <v>1</v>
      </c>
      <c r="G818" s="33" t="n">
        <v>45832</v>
      </c>
      <c r="H818" s="33" t="n">
        <v>45832</v>
      </c>
      <c r="I818" s="31" t="s">
        <v>1142</v>
      </c>
      <c r="J818" s="30" t="s">
        <v>394</v>
      </c>
      <c r="K818" s="31" t="s">
        <v>630</v>
      </c>
      <c r="L818" s="32" t="n">
        <v>1</v>
      </c>
      <c r="M818" s="29" t="s">
        <v>366</v>
      </c>
      <c r="N818" s="31" t="s">
        <v>367</v>
      </c>
      <c r="O818" s="32" t="n">
        <v>1</v>
      </c>
      <c r="P818" s="15" t="n">
        <f aca="false">IF(A818="","",IF(O818&lt;&gt;"",O818,IF(L818&lt;&gt;"",L818,F818)))</f>
        <v>1</v>
      </c>
    </row>
    <row r="819" customFormat="false" ht="15" hidden="false" customHeight="true" outlineLevel="0" collapsed="false">
      <c r="A819" s="26" t="s">
        <v>106</v>
      </c>
      <c r="B819" s="26" t="s">
        <v>107</v>
      </c>
      <c r="C819" s="14" t="n">
        <f aca="false">IF(A819="","",IFERROR(VLOOKUP(A819,'Recert Status'!$A$8:$C$400,3,FALSE()),""))</f>
        <v>46752</v>
      </c>
      <c r="D819" s="18" t="s">
        <v>367</v>
      </c>
      <c r="E819" s="26" t="s">
        <v>363</v>
      </c>
      <c r="F819" s="27" t="n">
        <v>1</v>
      </c>
      <c r="G819" s="28" t="n">
        <v>46279</v>
      </c>
      <c r="H819" s="28" t="n">
        <v>46279</v>
      </c>
      <c r="I819" s="18" t="s">
        <v>1143</v>
      </c>
      <c r="J819" s="26" t="s">
        <v>363</v>
      </c>
      <c r="K819" s="18" t="s">
        <v>365</v>
      </c>
      <c r="L819" s="27" t="n">
        <v>1</v>
      </c>
      <c r="M819" s="29" t="s">
        <v>366</v>
      </c>
      <c r="N819" s="18" t="s">
        <v>367</v>
      </c>
      <c r="O819" s="27" t="n">
        <v>1</v>
      </c>
      <c r="P819" s="15" t="n">
        <f aca="false">IF(A819="","",IF(O819&lt;&gt;"",O819,IF(L819&lt;&gt;"",L819,F819)))</f>
        <v>1</v>
      </c>
    </row>
    <row r="820" customFormat="false" ht="15" hidden="false" customHeight="true" outlineLevel="0" collapsed="false">
      <c r="A820" s="30" t="s">
        <v>106</v>
      </c>
      <c r="B820" s="30" t="s">
        <v>107</v>
      </c>
      <c r="C820" s="21" t="n">
        <f aca="false">IF(A820="","",IFERROR(VLOOKUP(A820,'Recert Status'!$A$8:$C$400,3,FALSE()),""))</f>
        <v>46752</v>
      </c>
      <c r="D820" s="31" t="s">
        <v>584</v>
      </c>
      <c r="E820" s="30" t="s">
        <v>542</v>
      </c>
      <c r="F820" s="32" t="n">
        <v>3</v>
      </c>
      <c r="G820" s="33" t="n">
        <v>45892</v>
      </c>
      <c r="H820" s="33" t="n">
        <v>45892</v>
      </c>
      <c r="I820" s="31" t="s">
        <v>585</v>
      </c>
      <c r="J820" s="30" t="s">
        <v>542</v>
      </c>
      <c r="K820" s="31" t="s">
        <v>586</v>
      </c>
      <c r="L820" s="32" t="n">
        <v>3</v>
      </c>
      <c r="M820" s="40" t="s">
        <v>423</v>
      </c>
      <c r="N820" s="31" t="s">
        <v>424</v>
      </c>
      <c r="O820" s="32" t="n">
        <v>3</v>
      </c>
      <c r="P820" s="15" t="n">
        <f aca="false">IF(A820="","",IF(O820&lt;&gt;"",O820,IF(L820&lt;&gt;"",L820,F820)))</f>
        <v>3</v>
      </c>
    </row>
    <row r="821" customFormat="false" ht="15" hidden="false" customHeight="true" outlineLevel="0" collapsed="false">
      <c r="A821" s="26" t="s">
        <v>106</v>
      </c>
      <c r="B821" s="26" t="s">
        <v>107</v>
      </c>
      <c r="C821" s="14" t="n">
        <f aca="false">IF(A821="","",IFERROR(VLOOKUP(A821,'Recert Status'!$A$8:$C$400,3,FALSE()),""))</f>
        <v>46752</v>
      </c>
      <c r="D821" s="18" t="s">
        <v>1144</v>
      </c>
      <c r="E821" s="26" t="s">
        <v>426</v>
      </c>
      <c r="F821" s="27" t="n">
        <v>2</v>
      </c>
      <c r="G821" s="28" t="n">
        <v>45997</v>
      </c>
      <c r="H821" s="28" t="n">
        <v>45997</v>
      </c>
      <c r="I821" s="18" t="s">
        <v>1145</v>
      </c>
      <c r="J821" s="26" t="s">
        <v>426</v>
      </c>
      <c r="K821" s="18" t="s">
        <v>428</v>
      </c>
      <c r="L821" s="27" t="n">
        <v>2</v>
      </c>
      <c r="M821" s="41" t="s">
        <v>429</v>
      </c>
      <c r="N821" s="18" t="s">
        <v>430</v>
      </c>
      <c r="O821" s="27" t="n">
        <v>2</v>
      </c>
      <c r="P821" s="15" t="n">
        <f aca="false">IF(A821="","",IF(O821&lt;&gt;"",O821,IF(L821&lt;&gt;"",L821,F821)))</f>
        <v>2</v>
      </c>
    </row>
    <row r="822" customFormat="false" ht="15" hidden="false" customHeight="true" outlineLevel="0" collapsed="false">
      <c r="A822" s="30" t="s">
        <v>106</v>
      </c>
      <c r="B822" s="30" t="s">
        <v>107</v>
      </c>
      <c r="C822" s="21" t="n">
        <f aca="false">IF(A822="","",IFERROR(VLOOKUP(A822,'Recert Status'!$A$8:$C$400,3,FALSE()),""))</f>
        <v>46752</v>
      </c>
      <c r="D822" s="31" t="s">
        <v>762</v>
      </c>
      <c r="E822" s="30" t="s">
        <v>426</v>
      </c>
      <c r="F822" s="32" t="n">
        <v>1</v>
      </c>
      <c r="G822" s="33" t="n">
        <v>46015</v>
      </c>
      <c r="H822" s="33" t="n">
        <v>46015</v>
      </c>
      <c r="I822" s="31" t="s">
        <v>763</v>
      </c>
      <c r="J822" s="30" t="s">
        <v>426</v>
      </c>
      <c r="K822" s="31" t="s">
        <v>428</v>
      </c>
      <c r="L822" s="32" t="n">
        <v>1</v>
      </c>
      <c r="M822" s="41" t="s">
        <v>429</v>
      </c>
      <c r="N822" s="31" t="s">
        <v>430</v>
      </c>
      <c r="O822" s="32" t="n">
        <v>1</v>
      </c>
      <c r="P822" s="15" t="n">
        <f aca="false">IF(A822="","",IF(O822&lt;&gt;"",O822,IF(L822&lt;&gt;"",L822,F822)))</f>
        <v>1</v>
      </c>
    </row>
    <row r="823" customFormat="false" ht="15" hidden="false" customHeight="true" outlineLevel="0" collapsed="false">
      <c r="A823" s="26" t="s">
        <v>106</v>
      </c>
      <c r="B823" s="26" t="s">
        <v>107</v>
      </c>
      <c r="C823" s="14" t="n">
        <f aca="false">IF(A823="","",IFERROR(VLOOKUP(A823,'Recert Status'!$A$8:$C$400,3,FALSE()),""))</f>
        <v>46752</v>
      </c>
      <c r="D823" s="18" t="s">
        <v>430</v>
      </c>
      <c r="E823" s="26" t="s">
        <v>426</v>
      </c>
      <c r="F823" s="27" t="n">
        <v>1</v>
      </c>
      <c r="G823" s="28" t="n">
        <v>46279</v>
      </c>
      <c r="H823" s="28" t="n">
        <v>46279</v>
      </c>
      <c r="I823" s="18" t="s">
        <v>1146</v>
      </c>
      <c r="J823" s="26" t="s">
        <v>426</v>
      </c>
      <c r="K823" s="18" t="s">
        <v>428</v>
      </c>
      <c r="L823" s="27" t="n">
        <v>1</v>
      </c>
      <c r="M823" s="41" t="s">
        <v>429</v>
      </c>
      <c r="N823" s="18" t="s">
        <v>430</v>
      </c>
      <c r="O823" s="27" t="n">
        <v>1</v>
      </c>
      <c r="P823" s="15" t="n">
        <f aca="false">IF(A823="","",IF(O823&lt;&gt;"",O823,IF(L823&lt;&gt;"",L823,F823)))</f>
        <v>1</v>
      </c>
    </row>
    <row r="824" customFormat="false" ht="15" hidden="false" customHeight="true" outlineLevel="0" collapsed="false">
      <c r="A824" s="30" t="s">
        <v>106</v>
      </c>
      <c r="B824" s="30" t="s">
        <v>107</v>
      </c>
      <c r="C824" s="21" t="n">
        <f aca="false">IF(A824="","",IFERROR(VLOOKUP(A824,'Recert Status'!$A$8:$C$400,3,FALSE()),""))</f>
        <v>46752</v>
      </c>
      <c r="D824" s="31" t="s">
        <v>376</v>
      </c>
      <c r="E824" s="30" t="s">
        <v>372</v>
      </c>
      <c r="F824" s="32" t="n">
        <v>1</v>
      </c>
      <c r="G824" s="33" t="n">
        <v>45943</v>
      </c>
      <c r="H824" s="33" t="n">
        <v>45943</v>
      </c>
      <c r="I824" s="31" t="s">
        <v>1147</v>
      </c>
      <c r="J824" s="30" t="s">
        <v>372</v>
      </c>
      <c r="K824" s="31" t="s">
        <v>374</v>
      </c>
      <c r="L824" s="32" t="n">
        <v>1</v>
      </c>
      <c r="M824" s="34" t="s">
        <v>375</v>
      </c>
      <c r="N824" s="31" t="s">
        <v>376</v>
      </c>
      <c r="O824" s="32" t="n">
        <v>1</v>
      </c>
      <c r="P824" s="15" t="n">
        <f aca="false">IF(A824="","",IF(O824&lt;&gt;"",O824,IF(L824&lt;&gt;"",L824,F824)))</f>
        <v>1</v>
      </c>
    </row>
    <row r="825" customFormat="false" ht="15" hidden="false" customHeight="true" outlineLevel="0" collapsed="false">
      <c r="A825" s="26" t="s">
        <v>106</v>
      </c>
      <c r="B825" s="26" t="s">
        <v>107</v>
      </c>
      <c r="C825" s="14" t="n">
        <f aca="false">IF(A825="","",IFERROR(VLOOKUP(A825,'Recert Status'!$A$8:$C$400,3,FALSE()),""))</f>
        <v>46752</v>
      </c>
      <c r="D825" s="18" t="s">
        <v>1148</v>
      </c>
      <c r="E825" s="26" t="n">
        <v>29668</v>
      </c>
      <c r="F825" s="27" t="n">
        <v>1</v>
      </c>
      <c r="G825" s="28" t="n">
        <v>45802</v>
      </c>
      <c r="H825" s="28" t="n">
        <v>45802</v>
      </c>
      <c r="I825" s="18" t="s">
        <v>1149</v>
      </c>
      <c r="J825" s="26" t="s">
        <v>511</v>
      </c>
      <c r="K825" s="18" t="s">
        <v>509</v>
      </c>
      <c r="L825" s="27" t="n">
        <v>1</v>
      </c>
      <c r="M825" s="35" t="s">
        <v>386</v>
      </c>
      <c r="N825" s="18" t="s">
        <v>387</v>
      </c>
      <c r="O825" s="27" t="n">
        <v>1</v>
      </c>
      <c r="P825" s="15" t="n">
        <f aca="false">IF(A825="","",IF(O825&lt;&gt;"",O825,IF(L825&lt;&gt;"",L825,F825)))</f>
        <v>1</v>
      </c>
    </row>
    <row r="826" customFormat="false" ht="15" hidden="false" customHeight="true" outlineLevel="0" collapsed="false">
      <c r="A826" s="30" t="s">
        <v>106</v>
      </c>
      <c r="B826" s="30" t="s">
        <v>107</v>
      </c>
      <c r="C826" s="21" t="n">
        <f aca="false">IF(A826="","",IFERROR(VLOOKUP(A826,'Recert Status'!$A$8:$C$400,3,FALSE()),""))</f>
        <v>46752</v>
      </c>
      <c r="D826" s="31" t="s">
        <v>872</v>
      </c>
      <c r="E826" s="30" t="s">
        <v>389</v>
      </c>
      <c r="F826" s="32" t="n">
        <v>1</v>
      </c>
      <c r="G826" s="33" t="n">
        <v>45943</v>
      </c>
      <c r="H826" s="33" t="n">
        <v>45943</v>
      </c>
      <c r="I826" s="31" t="s">
        <v>1150</v>
      </c>
      <c r="J826" s="30" t="s">
        <v>389</v>
      </c>
      <c r="K826" s="31" t="s">
        <v>507</v>
      </c>
      <c r="L826" s="32" t="n">
        <v>1</v>
      </c>
      <c r="M826" s="35" t="s">
        <v>386</v>
      </c>
      <c r="N826" s="31" t="s">
        <v>387</v>
      </c>
      <c r="O826" s="32" t="n">
        <v>1</v>
      </c>
      <c r="P826" s="15" t="n">
        <f aca="false">IF(A826="","",IF(O826&lt;&gt;"",O826,IF(L826&lt;&gt;"",L826,F826)))</f>
        <v>1</v>
      </c>
    </row>
    <row r="827" customFormat="false" ht="15" hidden="false" customHeight="true" outlineLevel="0" collapsed="false">
      <c r="A827" s="26" t="s">
        <v>106</v>
      </c>
      <c r="B827" s="26" t="s">
        <v>107</v>
      </c>
      <c r="C827" s="14" t="n">
        <f aca="false">IF(A827="","",IFERROR(VLOOKUP(A827,'Recert Status'!$A$8:$C$400,3,FALSE()),""))</f>
        <v>46752</v>
      </c>
      <c r="D827" s="18" t="s">
        <v>1151</v>
      </c>
      <c r="E827" s="26" t="n">
        <v>29674</v>
      </c>
      <c r="F827" s="27" t="n">
        <v>1</v>
      </c>
      <c r="G827" s="28" t="n">
        <v>45955</v>
      </c>
      <c r="H827" s="28" t="n">
        <v>45955</v>
      </c>
      <c r="I827" s="18" t="s">
        <v>1152</v>
      </c>
      <c r="J827" s="26" t="s">
        <v>1153</v>
      </c>
      <c r="K827" s="18" t="s">
        <v>845</v>
      </c>
      <c r="L827" s="27" t="n">
        <v>1</v>
      </c>
      <c r="M827" s="35" t="s">
        <v>386</v>
      </c>
      <c r="N827" s="18" t="s">
        <v>387</v>
      </c>
      <c r="O827" s="27" t="n">
        <v>1</v>
      </c>
      <c r="P827" s="15" t="n">
        <f aca="false">IF(A827="","",IF(O827&lt;&gt;"",O827,IF(L827&lt;&gt;"",L827,F827)))</f>
        <v>1</v>
      </c>
    </row>
    <row r="828" customFormat="false" ht="15" hidden="false" customHeight="true" outlineLevel="0" collapsed="false">
      <c r="A828" s="30" t="s">
        <v>106</v>
      </c>
      <c r="B828" s="30" t="s">
        <v>107</v>
      </c>
      <c r="C828" s="21" t="n">
        <f aca="false">IF(A828="","",IFERROR(VLOOKUP(A828,'Recert Status'!$A$8:$C$400,3,FALSE()),""))</f>
        <v>46752</v>
      </c>
      <c r="D828" s="31" t="s">
        <v>682</v>
      </c>
      <c r="E828" s="30" t="n">
        <v>29675</v>
      </c>
      <c r="F828" s="32" t="n">
        <v>1</v>
      </c>
      <c r="G828" s="33" t="n">
        <v>45985</v>
      </c>
      <c r="H828" s="33" t="n">
        <v>45985</v>
      </c>
      <c r="I828" s="31" t="s">
        <v>1074</v>
      </c>
      <c r="J828" s="30" t="s">
        <v>406</v>
      </c>
      <c r="K828" s="31" t="s">
        <v>446</v>
      </c>
      <c r="L828" s="32" t="n">
        <v>1</v>
      </c>
      <c r="M828" s="35" t="s">
        <v>386</v>
      </c>
      <c r="N828" s="31" t="s">
        <v>387</v>
      </c>
      <c r="O828" s="32" t="n">
        <v>1</v>
      </c>
      <c r="P828" s="15" t="n">
        <f aca="false">IF(A828="","",IF(O828&lt;&gt;"",O828,IF(L828&lt;&gt;"",L828,F828)))</f>
        <v>1</v>
      </c>
    </row>
    <row r="829" customFormat="false" ht="15" hidden="false" customHeight="true" outlineLevel="0" collapsed="false">
      <c r="A829" s="26" t="s">
        <v>106</v>
      </c>
      <c r="B829" s="26" t="s">
        <v>107</v>
      </c>
      <c r="C829" s="14" t="n">
        <f aca="false">IF(A829="","",IFERROR(VLOOKUP(A829,'Recert Status'!$A$8:$C$400,3,FALSE()),""))</f>
        <v>46752</v>
      </c>
      <c r="D829" s="18" t="s">
        <v>591</v>
      </c>
      <c r="E829" s="26" t="s">
        <v>389</v>
      </c>
      <c r="F829" s="27" t="n">
        <v>1</v>
      </c>
      <c r="G829" s="28" t="n">
        <v>45994</v>
      </c>
      <c r="H829" s="28" t="n">
        <v>45994</v>
      </c>
      <c r="I829" s="18" t="s">
        <v>770</v>
      </c>
      <c r="J829" s="26" t="s">
        <v>389</v>
      </c>
      <c r="K829" s="18" t="s">
        <v>451</v>
      </c>
      <c r="L829" s="27" t="n">
        <v>1</v>
      </c>
      <c r="M829" s="35" t="s">
        <v>386</v>
      </c>
      <c r="N829" s="18" t="s">
        <v>387</v>
      </c>
      <c r="O829" s="27" t="n">
        <v>1</v>
      </c>
      <c r="P829" s="15" t="n">
        <f aca="false">IF(A829="","",IF(O829&lt;&gt;"",O829,IF(L829&lt;&gt;"",L829,F829)))</f>
        <v>1</v>
      </c>
    </row>
    <row r="830" customFormat="false" ht="15" hidden="false" customHeight="true" outlineLevel="0" collapsed="false">
      <c r="A830" s="30" t="s">
        <v>106</v>
      </c>
      <c r="B830" s="30" t="s">
        <v>107</v>
      </c>
      <c r="C830" s="21" t="n">
        <f aca="false">IF(A830="","",IFERROR(VLOOKUP(A830,'Recert Status'!$A$8:$C$400,3,FALSE()),""))</f>
        <v>46752</v>
      </c>
      <c r="D830" s="31" t="s">
        <v>732</v>
      </c>
      <c r="E830" s="30" t="n">
        <v>29740</v>
      </c>
      <c r="F830" s="32" t="n">
        <v>1</v>
      </c>
      <c r="G830" s="33" t="n">
        <v>46141</v>
      </c>
      <c r="H830" s="33" t="n">
        <v>46141</v>
      </c>
      <c r="I830" s="31" t="s">
        <v>1154</v>
      </c>
      <c r="J830" s="30" t="s">
        <v>394</v>
      </c>
      <c r="K830" s="31" t="s">
        <v>735</v>
      </c>
      <c r="L830" s="32" t="n">
        <v>1</v>
      </c>
      <c r="M830" s="35" t="s">
        <v>386</v>
      </c>
      <c r="N830" s="31" t="s">
        <v>387</v>
      </c>
      <c r="O830" s="32" t="n">
        <v>1</v>
      </c>
      <c r="P830" s="15" t="n">
        <f aca="false">IF(A830="","",IF(O830&lt;&gt;"",O830,IF(L830&lt;&gt;"",L830,F830)))</f>
        <v>1</v>
      </c>
    </row>
    <row r="831" customFormat="false" ht="15" hidden="false" customHeight="true" outlineLevel="0" collapsed="false">
      <c r="A831" s="26" t="s">
        <v>106</v>
      </c>
      <c r="B831" s="26" t="s">
        <v>107</v>
      </c>
      <c r="C831" s="14" t="n">
        <f aca="false">IF(A831="","",IFERROR(VLOOKUP(A831,'Recert Status'!$A$8:$C$400,3,FALSE()),""))</f>
        <v>46752</v>
      </c>
      <c r="D831" s="18" t="s">
        <v>474</v>
      </c>
      <c r="E831" s="26" t="s">
        <v>389</v>
      </c>
      <c r="F831" s="27" t="n">
        <v>1</v>
      </c>
      <c r="G831" s="28" t="n">
        <v>46204</v>
      </c>
      <c r="H831" s="28" t="n">
        <v>46204</v>
      </c>
      <c r="I831" s="18" t="s">
        <v>475</v>
      </c>
      <c r="J831" s="26" t="s">
        <v>389</v>
      </c>
      <c r="K831" s="18" t="s">
        <v>476</v>
      </c>
      <c r="L831" s="27" t="n">
        <v>1</v>
      </c>
      <c r="M831" s="35" t="s">
        <v>386</v>
      </c>
      <c r="N831" s="18" t="s">
        <v>387</v>
      </c>
      <c r="O831" s="27" t="n">
        <v>1</v>
      </c>
      <c r="P831" s="15" t="n">
        <f aca="false">IF(A831="","",IF(O831&lt;&gt;"",O831,IF(L831&lt;&gt;"",L831,F831)))</f>
        <v>1</v>
      </c>
    </row>
    <row r="832" customFormat="false" ht="15" hidden="false" customHeight="true" outlineLevel="0" collapsed="false">
      <c r="A832" s="30" t="s">
        <v>106</v>
      </c>
      <c r="B832" s="30" t="s">
        <v>107</v>
      </c>
      <c r="C832" s="21" t="n">
        <f aca="false">IF(A832="","",IFERROR(VLOOKUP(A832,'Recert Status'!$A$8:$C$400,3,FALSE()),""))</f>
        <v>46752</v>
      </c>
      <c r="D832" s="31" t="s">
        <v>387</v>
      </c>
      <c r="E832" s="30" t="s">
        <v>389</v>
      </c>
      <c r="F832" s="32" t="n">
        <v>1</v>
      </c>
      <c r="G832" s="33" t="n">
        <v>46279</v>
      </c>
      <c r="H832" s="33" t="n">
        <v>46279</v>
      </c>
      <c r="I832" s="31" t="s">
        <v>1138</v>
      </c>
      <c r="J832" s="30" t="s">
        <v>389</v>
      </c>
      <c r="K832" s="31" t="s">
        <v>451</v>
      </c>
      <c r="L832" s="32" t="n">
        <v>1</v>
      </c>
      <c r="M832" s="35" t="s">
        <v>386</v>
      </c>
      <c r="N832" s="31" t="s">
        <v>387</v>
      </c>
      <c r="O832" s="32" t="n">
        <v>1</v>
      </c>
      <c r="P832" s="15" t="n">
        <f aca="false">IF(A832="","",IF(O832&lt;&gt;"",O832,IF(L832&lt;&gt;"",L832,F832)))</f>
        <v>1</v>
      </c>
    </row>
    <row r="833" customFormat="false" ht="15" hidden="false" customHeight="true" outlineLevel="0" collapsed="false">
      <c r="A833" s="26" t="s">
        <v>106</v>
      </c>
      <c r="B833" s="26" t="s">
        <v>107</v>
      </c>
      <c r="C833" s="14" t="n">
        <f aca="false">IF(A833="","",IFERROR(VLOOKUP(A833,'Recert Status'!$A$8:$C$400,3,FALSE()),""))</f>
        <v>46752</v>
      </c>
      <c r="D833" s="18" t="s">
        <v>387</v>
      </c>
      <c r="E833" s="26" t="s">
        <v>389</v>
      </c>
      <c r="F833" s="27" t="n">
        <v>1</v>
      </c>
      <c r="G833" s="28" t="n">
        <v>46279</v>
      </c>
      <c r="H833" s="28" t="n">
        <v>46279</v>
      </c>
      <c r="I833" s="18" t="s">
        <v>1155</v>
      </c>
      <c r="J833" s="26" t="s">
        <v>389</v>
      </c>
      <c r="K833" s="18" t="s">
        <v>495</v>
      </c>
      <c r="L833" s="27" t="n">
        <v>1</v>
      </c>
      <c r="M833" s="35" t="s">
        <v>386</v>
      </c>
      <c r="N833" s="18" t="s">
        <v>387</v>
      </c>
      <c r="O833" s="27" t="n">
        <v>1</v>
      </c>
      <c r="P833" s="15" t="n">
        <f aca="false">IF(A833="","",IF(O833&lt;&gt;"",O833,IF(L833&lt;&gt;"",L833,F833)))</f>
        <v>1</v>
      </c>
    </row>
    <row r="834" customFormat="false" ht="15" hidden="false" customHeight="true" outlineLevel="0" collapsed="false">
      <c r="A834" s="30" t="s">
        <v>106</v>
      </c>
      <c r="B834" s="30" t="s">
        <v>107</v>
      </c>
      <c r="C834" s="21" t="n">
        <f aca="false">IF(A834="","",IFERROR(VLOOKUP(A834,'Recert Status'!$A$8:$C$400,3,FALSE()),""))</f>
        <v>46752</v>
      </c>
      <c r="D834" s="31" t="s">
        <v>802</v>
      </c>
      <c r="E834" s="30" t="n">
        <v>35513</v>
      </c>
      <c r="F834" s="32" t="n">
        <v>1</v>
      </c>
      <c r="G834" s="33" t="n">
        <v>45868</v>
      </c>
      <c r="H834" s="33" t="n">
        <v>45868</v>
      </c>
      <c r="I834" s="31" t="s">
        <v>803</v>
      </c>
      <c r="J834" s="30" t="s">
        <v>384</v>
      </c>
      <c r="K834" s="31" t="s">
        <v>385</v>
      </c>
      <c r="L834" s="32" t="n">
        <v>1</v>
      </c>
      <c r="M834" s="36" t="s">
        <v>396</v>
      </c>
      <c r="N834" s="31" t="s">
        <v>397</v>
      </c>
      <c r="O834" s="32" t="n">
        <v>1</v>
      </c>
      <c r="P834" s="15" t="n">
        <f aca="false">IF(A834="","",IF(O834&lt;&gt;"",O834,IF(L834&lt;&gt;"",L834,F834)))</f>
        <v>1</v>
      </c>
    </row>
    <row r="835" customFormat="false" ht="15" hidden="false" customHeight="true" outlineLevel="0" collapsed="false">
      <c r="A835" s="26" t="s">
        <v>106</v>
      </c>
      <c r="B835" s="26" t="s">
        <v>107</v>
      </c>
      <c r="C835" s="14" t="n">
        <f aca="false">IF(A835="","",IFERROR(VLOOKUP(A835,'Recert Status'!$A$8:$C$400,3,FALSE()),""))</f>
        <v>46752</v>
      </c>
      <c r="D835" s="18" t="s">
        <v>560</v>
      </c>
      <c r="E835" s="26" t="n">
        <v>29740</v>
      </c>
      <c r="F835" s="27" t="n">
        <v>1</v>
      </c>
      <c r="G835" s="28" t="n">
        <v>46141</v>
      </c>
      <c r="H835" s="28" t="n">
        <v>46141</v>
      </c>
      <c r="I835" s="18" t="s">
        <v>1156</v>
      </c>
      <c r="J835" s="26" t="s">
        <v>394</v>
      </c>
      <c r="K835" s="18" t="s">
        <v>385</v>
      </c>
      <c r="L835" s="27" t="n">
        <v>1</v>
      </c>
      <c r="M835" s="36" t="s">
        <v>396</v>
      </c>
      <c r="N835" s="18" t="s">
        <v>397</v>
      </c>
      <c r="O835" s="27" t="n">
        <v>1</v>
      </c>
      <c r="P835" s="15" t="n">
        <f aca="false">IF(A835="","",IF(O835&lt;&gt;"",O835,IF(L835&lt;&gt;"",L835,F835)))</f>
        <v>1</v>
      </c>
    </row>
    <row r="836" customFormat="false" ht="15" hidden="false" customHeight="true" outlineLevel="0" collapsed="false">
      <c r="A836" s="30" t="s">
        <v>106</v>
      </c>
      <c r="B836" s="30" t="s">
        <v>107</v>
      </c>
      <c r="C836" s="21" t="n">
        <f aca="false">IF(A836="","",IFERROR(VLOOKUP(A836,'Recert Status'!$A$8:$C$400,3,FALSE()),""))</f>
        <v>46752</v>
      </c>
      <c r="D836" s="31" t="s">
        <v>397</v>
      </c>
      <c r="E836" s="30" t="s">
        <v>452</v>
      </c>
      <c r="F836" s="32" t="n">
        <v>1</v>
      </c>
      <c r="G836" s="33" t="n">
        <v>46279</v>
      </c>
      <c r="H836" s="33" t="n">
        <v>46279</v>
      </c>
      <c r="I836" s="31" t="s">
        <v>1139</v>
      </c>
      <c r="J836" s="30" t="s">
        <v>452</v>
      </c>
      <c r="K836" s="31" t="s">
        <v>385</v>
      </c>
      <c r="L836" s="32" t="n">
        <v>1</v>
      </c>
      <c r="M836" s="36" t="s">
        <v>396</v>
      </c>
      <c r="N836" s="31" t="s">
        <v>397</v>
      </c>
      <c r="O836" s="32" t="n">
        <v>1</v>
      </c>
      <c r="P836" s="15" t="n">
        <f aca="false">IF(A836="","",IF(O836&lt;&gt;"",O836,IF(L836&lt;&gt;"",L836,F836)))</f>
        <v>1</v>
      </c>
    </row>
    <row r="837" customFormat="false" ht="15" hidden="false" customHeight="true" outlineLevel="0" collapsed="false">
      <c r="A837" s="26" t="s">
        <v>106</v>
      </c>
      <c r="B837" s="26" t="s">
        <v>107</v>
      </c>
      <c r="C837" s="14" t="n">
        <f aca="false">IF(A837="","",IFERROR(VLOOKUP(A837,'Recert Status'!$A$8:$C$400,3,FALSE()),""))</f>
        <v>46752</v>
      </c>
      <c r="D837" s="18" t="s">
        <v>398</v>
      </c>
      <c r="E837" s="26" t="s">
        <v>399</v>
      </c>
      <c r="F837" s="27" t="n">
        <v>1</v>
      </c>
      <c r="G837" s="28" t="n">
        <v>45943</v>
      </c>
      <c r="H837" s="28" t="n">
        <v>45943</v>
      </c>
      <c r="I837" s="18" t="s">
        <v>1157</v>
      </c>
      <c r="J837" s="26" t="s">
        <v>399</v>
      </c>
      <c r="K837" s="18" t="s">
        <v>401</v>
      </c>
      <c r="L837" s="27" t="n">
        <v>1</v>
      </c>
      <c r="M837" s="37" t="s">
        <v>402</v>
      </c>
      <c r="N837" s="18" t="s">
        <v>403</v>
      </c>
      <c r="O837" s="27" t="n">
        <v>1</v>
      </c>
      <c r="P837" s="15" t="n">
        <f aca="false">IF(A837="","",IF(O837&lt;&gt;"",O837,IF(L837&lt;&gt;"",L837,F837)))</f>
        <v>1</v>
      </c>
    </row>
    <row r="838" customFormat="false" ht="15" hidden="false" customHeight="true" outlineLevel="0" collapsed="false">
      <c r="A838" s="30" t="s">
        <v>106</v>
      </c>
      <c r="B838" s="30" t="s">
        <v>107</v>
      </c>
      <c r="C838" s="21" t="n">
        <f aca="false">IF(A838="","",IFERROR(VLOOKUP(A838,'Recert Status'!$A$8:$C$400,3,FALSE()),""))</f>
        <v>46752</v>
      </c>
      <c r="D838" s="31" t="s">
        <v>717</v>
      </c>
      <c r="E838" s="30" t="s">
        <v>416</v>
      </c>
      <c r="F838" s="32" t="n">
        <v>1</v>
      </c>
      <c r="G838" s="33" t="n">
        <v>45826</v>
      </c>
      <c r="H838" s="33" t="n">
        <v>45826</v>
      </c>
      <c r="I838" s="31" t="s">
        <v>1020</v>
      </c>
      <c r="J838" s="30" t="s">
        <v>416</v>
      </c>
      <c r="K838" s="31" t="s">
        <v>1021</v>
      </c>
      <c r="L838" s="32" t="n">
        <v>1</v>
      </c>
      <c r="M838" s="39" t="s">
        <v>413</v>
      </c>
      <c r="N838" s="31" t="s">
        <v>414</v>
      </c>
      <c r="O838" s="32" t="n">
        <v>1</v>
      </c>
      <c r="P838" s="15" t="n">
        <f aca="false">IF(A838="","",IF(O838&lt;&gt;"",O838,IF(L838&lt;&gt;"",L838,F838)))</f>
        <v>1</v>
      </c>
    </row>
    <row r="839" customFormat="false" ht="15" hidden="false" customHeight="true" outlineLevel="0" collapsed="false">
      <c r="A839" s="26" t="s">
        <v>106</v>
      </c>
      <c r="B839" s="26" t="s">
        <v>107</v>
      </c>
      <c r="C839" s="14" t="n">
        <f aca="false">IF(A839="","",IFERROR(VLOOKUP(A839,'Recert Status'!$A$8:$C$400,3,FALSE()),""))</f>
        <v>46752</v>
      </c>
      <c r="D839" s="18" t="s">
        <v>457</v>
      </c>
      <c r="E839" s="26" t="s">
        <v>416</v>
      </c>
      <c r="F839" s="27" t="n">
        <v>2</v>
      </c>
      <c r="G839" s="28" t="n">
        <v>45859</v>
      </c>
      <c r="H839" s="28" t="n">
        <v>45859</v>
      </c>
      <c r="I839" s="18" t="s">
        <v>780</v>
      </c>
      <c r="J839" s="26" t="s">
        <v>416</v>
      </c>
      <c r="K839" s="18" t="s">
        <v>781</v>
      </c>
      <c r="L839" s="27" t="n">
        <v>2</v>
      </c>
      <c r="M839" s="39" t="s">
        <v>413</v>
      </c>
      <c r="N839" s="18" t="s">
        <v>414</v>
      </c>
      <c r="O839" s="27" t="n">
        <v>2</v>
      </c>
      <c r="P839" s="15" t="n">
        <f aca="false">IF(A839="","",IF(O839&lt;&gt;"",O839,IF(L839&lt;&gt;"",L839,F839)))</f>
        <v>2</v>
      </c>
    </row>
    <row r="840" customFormat="false" ht="15" hidden="false" customHeight="true" outlineLevel="0" collapsed="false">
      <c r="A840" s="30" t="s">
        <v>106</v>
      </c>
      <c r="B840" s="30" t="s">
        <v>107</v>
      </c>
      <c r="C840" s="21" t="n">
        <f aca="false">IF(A840="","",IFERROR(VLOOKUP(A840,'Recert Status'!$A$8:$C$400,3,FALSE()),""))</f>
        <v>46752</v>
      </c>
      <c r="D840" s="31" t="s">
        <v>1158</v>
      </c>
      <c r="E840" s="30" t="s">
        <v>416</v>
      </c>
      <c r="F840" s="32" t="n">
        <v>2</v>
      </c>
      <c r="G840" s="33" t="n">
        <v>46048</v>
      </c>
      <c r="H840" s="33" t="n">
        <v>46048</v>
      </c>
      <c r="I840" s="31" t="s">
        <v>1159</v>
      </c>
      <c r="J840" s="30" t="s">
        <v>416</v>
      </c>
      <c r="K840" s="31" t="s">
        <v>418</v>
      </c>
      <c r="L840" s="32" t="n">
        <v>2</v>
      </c>
      <c r="M840" s="39" t="s">
        <v>413</v>
      </c>
      <c r="N840" s="31" t="s">
        <v>414</v>
      </c>
      <c r="O840" s="32" t="n">
        <v>2</v>
      </c>
      <c r="P840" s="15" t="n">
        <f aca="false">IF(A840="","",IF(O840&lt;&gt;"",O840,IF(L840&lt;&gt;"",L840,F840)))</f>
        <v>2</v>
      </c>
    </row>
    <row r="841" customFormat="false" ht="15" hidden="false" customHeight="true" outlineLevel="0" collapsed="false">
      <c r="A841" s="26" t="s">
        <v>106</v>
      </c>
      <c r="B841" s="26" t="s">
        <v>107</v>
      </c>
      <c r="C841" s="14" t="n">
        <f aca="false">IF(A841="","",IFERROR(VLOOKUP(A841,'Recert Status'!$A$8:$C$400,3,FALSE()),""))</f>
        <v>46752</v>
      </c>
      <c r="D841" s="18" t="s">
        <v>414</v>
      </c>
      <c r="E841" s="26" t="s">
        <v>416</v>
      </c>
      <c r="F841" s="27" t="n">
        <v>2</v>
      </c>
      <c r="G841" s="28" t="n">
        <v>46219</v>
      </c>
      <c r="H841" s="28" t="n">
        <v>46219</v>
      </c>
      <c r="I841" s="18" t="s">
        <v>567</v>
      </c>
      <c r="J841" s="26" t="s">
        <v>416</v>
      </c>
      <c r="K841" s="18" t="s">
        <v>418</v>
      </c>
      <c r="L841" s="27" t="n">
        <v>2</v>
      </c>
      <c r="M841" s="39" t="s">
        <v>413</v>
      </c>
      <c r="N841" s="18" t="s">
        <v>414</v>
      </c>
      <c r="O841" s="27" t="n">
        <v>2</v>
      </c>
      <c r="P841" s="15" t="n">
        <f aca="false">IF(A841="","",IF(O841&lt;&gt;"",O841,IF(L841&lt;&gt;"",L841,F841)))</f>
        <v>2</v>
      </c>
    </row>
    <row r="842" customFormat="false" ht="15" hidden="false" customHeight="true" outlineLevel="0" collapsed="false">
      <c r="A842" s="30" t="s">
        <v>106</v>
      </c>
      <c r="B842" s="30" t="s">
        <v>107</v>
      </c>
      <c r="C842" s="21" t="n">
        <f aca="false">IF(A842="","",IFERROR(VLOOKUP(A842,'Recert Status'!$A$8:$C$400,3,FALSE()),""))</f>
        <v>46752</v>
      </c>
      <c r="D842" s="31" t="s">
        <v>414</v>
      </c>
      <c r="E842" s="30" t="s">
        <v>416</v>
      </c>
      <c r="F842" s="32" t="n">
        <v>1</v>
      </c>
      <c r="G842" s="33" t="n">
        <v>46279</v>
      </c>
      <c r="H842" s="33" t="n">
        <v>46279</v>
      </c>
      <c r="I842" s="31" t="s">
        <v>1160</v>
      </c>
      <c r="J842" s="30" t="s">
        <v>416</v>
      </c>
      <c r="K842" s="31" t="s">
        <v>418</v>
      </c>
      <c r="L842" s="32" t="n">
        <v>1</v>
      </c>
      <c r="M842" s="39" t="s">
        <v>413</v>
      </c>
      <c r="N842" s="31" t="s">
        <v>414</v>
      </c>
      <c r="O842" s="32" t="n">
        <v>1</v>
      </c>
      <c r="P842" s="15" t="n">
        <f aca="false">IF(A842="","",IF(O842&lt;&gt;"",O842,IF(L842&lt;&gt;"",L842,F842)))</f>
        <v>1</v>
      </c>
    </row>
    <row r="843" customFormat="false" ht="15" hidden="false" customHeight="true" outlineLevel="0" collapsed="false">
      <c r="A843" s="26" t="s">
        <v>108</v>
      </c>
      <c r="B843" s="26" t="s">
        <v>109</v>
      </c>
      <c r="C843" s="14" t="n">
        <f aca="false">IF(A843="","",IFERROR(VLOOKUP(A843,'Recert Status'!$A$8:$C$400,3,FALSE()),""))</f>
        <v>46387</v>
      </c>
      <c r="D843" s="18" t="s">
        <v>1161</v>
      </c>
      <c r="E843" s="26" t="s">
        <v>363</v>
      </c>
      <c r="F843" s="27" t="n">
        <v>1</v>
      </c>
      <c r="G843" s="28" t="n">
        <v>45761</v>
      </c>
      <c r="H843" s="28" t="n">
        <v>45761</v>
      </c>
      <c r="I843" s="18" t="s">
        <v>1162</v>
      </c>
      <c r="J843" s="26" t="s">
        <v>363</v>
      </c>
      <c r="K843" s="18" t="s">
        <v>1036</v>
      </c>
      <c r="L843" s="27" t="n">
        <v>1</v>
      </c>
      <c r="M843" s="29" t="s">
        <v>366</v>
      </c>
      <c r="N843" s="18" t="s">
        <v>367</v>
      </c>
      <c r="O843" s="27" t="n">
        <v>1</v>
      </c>
      <c r="P843" s="15" t="n">
        <f aca="false">IF(A843="","",IF(O843&lt;&gt;"",O843,IF(L843&lt;&gt;"",L843,F843)))</f>
        <v>1</v>
      </c>
    </row>
    <row r="844" customFormat="false" ht="15" hidden="false" customHeight="true" outlineLevel="0" collapsed="false">
      <c r="A844" s="30" t="s">
        <v>108</v>
      </c>
      <c r="B844" s="30" t="s">
        <v>109</v>
      </c>
      <c r="C844" s="21" t="n">
        <f aca="false">IF(A844="","",IFERROR(VLOOKUP(A844,'Recert Status'!$A$8:$C$400,3,FALSE()),""))</f>
        <v>46387</v>
      </c>
      <c r="D844" s="31" t="s">
        <v>367</v>
      </c>
      <c r="E844" s="30" t="s">
        <v>363</v>
      </c>
      <c r="F844" s="32" t="n">
        <v>1</v>
      </c>
      <c r="G844" s="33" t="n">
        <v>46280</v>
      </c>
      <c r="H844" s="33" t="n">
        <v>46280</v>
      </c>
      <c r="I844" s="31" t="s">
        <v>1163</v>
      </c>
      <c r="J844" s="30" t="s">
        <v>363</v>
      </c>
      <c r="K844" s="31" t="s">
        <v>365</v>
      </c>
      <c r="L844" s="32" t="n">
        <v>1</v>
      </c>
      <c r="M844" s="29" t="s">
        <v>366</v>
      </c>
      <c r="N844" s="31" t="s">
        <v>367</v>
      </c>
      <c r="O844" s="32" t="n">
        <v>1</v>
      </c>
      <c r="P844" s="15" t="n">
        <f aca="false">IF(A844="","",IF(O844&lt;&gt;"",O844,IF(L844&lt;&gt;"",L844,F844)))</f>
        <v>1</v>
      </c>
    </row>
    <row r="845" customFormat="false" ht="15" hidden="false" customHeight="true" outlineLevel="0" collapsed="false">
      <c r="A845" s="26" t="s">
        <v>108</v>
      </c>
      <c r="B845" s="26" t="s">
        <v>109</v>
      </c>
      <c r="C845" s="14" t="n">
        <f aca="false">IF(A845="","",IFERROR(VLOOKUP(A845,'Recert Status'!$A$8:$C$400,3,FALSE()),""))</f>
        <v>46387</v>
      </c>
      <c r="D845" s="18" t="s">
        <v>367</v>
      </c>
      <c r="E845" s="26" t="s">
        <v>363</v>
      </c>
      <c r="F845" s="27" t="n">
        <v>1</v>
      </c>
      <c r="G845" s="28" t="n">
        <v>46286</v>
      </c>
      <c r="H845" s="28" t="n">
        <v>46286</v>
      </c>
      <c r="I845" s="18" t="s">
        <v>883</v>
      </c>
      <c r="J845" s="26" t="s">
        <v>363</v>
      </c>
      <c r="K845" s="18" t="s">
        <v>365</v>
      </c>
      <c r="L845" s="27" t="n">
        <v>1</v>
      </c>
      <c r="M845" s="29" t="s">
        <v>366</v>
      </c>
      <c r="N845" s="18" t="s">
        <v>367</v>
      </c>
      <c r="O845" s="27" t="n">
        <v>1</v>
      </c>
      <c r="P845" s="15" t="n">
        <f aca="false">IF(A845="","",IF(O845&lt;&gt;"",O845,IF(L845&lt;&gt;"",L845,F845)))</f>
        <v>1</v>
      </c>
    </row>
    <row r="846" customFormat="false" ht="15" hidden="false" customHeight="true" outlineLevel="0" collapsed="false">
      <c r="A846" s="30" t="s">
        <v>108</v>
      </c>
      <c r="B846" s="30" t="s">
        <v>109</v>
      </c>
      <c r="C846" s="21" t="n">
        <f aca="false">IF(A846="","",IFERROR(VLOOKUP(A846,'Recert Status'!$A$8:$C$400,3,FALSE()),""))</f>
        <v>46387</v>
      </c>
      <c r="D846" s="31" t="s">
        <v>367</v>
      </c>
      <c r="E846" s="30" t="s">
        <v>363</v>
      </c>
      <c r="F846" s="32" t="n">
        <v>1</v>
      </c>
      <c r="G846" s="33" t="n">
        <v>46295</v>
      </c>
      <c r="H846" s="33" t="n">
        <v>46295</v>
      </c>
      <c r="I846" s="31" t="s">
        <v>1164</v>
      </c>
      <c r="J846" s="30" t="s">
        <v>363</v>
      </c>
      <c r="K846" s="31" t="s">
        <v>370</v>
      </c>
      <c r="L846" s="32" t="n">
        <v>1</v>
      </c>
      <c r="M846" s="29" t="s">
        <v>366</v>
      </c>
      <c r="N846" s="31" t="s">
        <v>367</v>
      </c>
      <c r="O846" s="32" t="n">
        <v>1</v>
      </c>
      <c r="P846" s="15" t="n">
        <f aca="false">IF(A846="","",IF(O846&lt;&gt;"",O846,IF(L846&lt;&gt;"",L846,F846)))</f>
        <v>1</v>
      </c>
    </row>
    <row r="847" customFormat="false" ht="15" hidden="false" customHeight="true" outlineLevel="0" collapsed="false">
      <c r="A847" s="26" t="s">
        <v>108</v>
      </c>
      <c r="B847" s="26" t="s">
        <v>109</v>
      </c>
      <c r="C847" s="14" t="n">
        <f aca="false">IF(A847="","",IFERROR(VLOOKUP(A847,'Recert Status'!$A$8:$C$400,3,FALSE()),""))</f>
        <v>46387</v>
      </c>
      <c r="D847" s="18" t="s">
        <v>1165</v>
      </c>
      <c r="E847" s="26" t="s">
        <v>426</v>
      </c>
      <c r="F847" s="27" t="n">
        <v>1</v>
      </c>
      <c r="G847" s="28" t="n">
        <v>45761</v>
      </c>
      <c r="H847" s="28" t="n">
        <v>45761</v>
      </c>
      <c r="I847" s="18" t="s">
        <v>1166</v>
      </c>
      <c r="J847" s="26" t="s">
        <v>426</v>
      </c>
      <c r="K847" s="18" t="s">
        <v>526</v>
      </c>
      <c r="L847" s="27" t="n">
        <v>1</v>
      </c>
      <c r="M847" s="41" t="s">
        <v>429</v>
      </c>
      <c r="N847" s="18" t="s">
        <v>430</v>
      </c>
      <c r="O847" s="27" t="n">
        <v>1</v>
      </c>
      <c r="P847" s="15" t="n">
        <f aca="false">IF(A847="","",IF(O847&lt;&gt;"",O847,IF(L847&lt;&gt;"",L847,F847)))</f>
        <v>1</v>
      </c>
    </row>
    <row r="848" customFormat="false" ht="15" hidden="false" customHeight="true" outlineLevel="0" collapsed="false">
      <c r="A848" s="30" t="s">
        <v>108</v>
      </c>
      <c r="B848" s="30" t="s">
        <v>109</v>
      </c>
      <c r="C848" s="21" t="n">
        <f aca="false">IF(A848="","",IFERROR(VLOOKUP(A848,'Recert Status'!$A$8:$C$400,3,FALSE()),""))</f>
        <v>46387</v>
      </c>
      <c r="D848" s="31" t="s">
        <v>884</v>
      </c>
      <c r="E848" s="30" t="s">
        <v>426</v>
      </c>
      <c r="F848" s="32" t="n">
        <v>2</v>
      </c>
      <c r="G848" s="33" t="n">
        <v>45929</v>
      </c>
      <c r="H848" s="33" t="n">
        <v>45929</v>
      </c>
      <c r="I848" s="31" t="s">
        <v>885</v>
      </c>
      <c r="J848" s="30" t="s">
        <v>426</v>
      </c>
      <c r="K848" s="31" t="s">
        <v>428</v>
      </c>
      <c r="L848" s="32" t="n">
        <v>2</v>
      </c>
      <c r="M848" s="41" t="s">
        <v>429</v>
      </c>
      <c r="N848" s="31" t="s">
        <v>430</v>
      </c>
      <c r="O848" s="32" t="n">
        <v>2</v>
      </c>
      <c r="P848" s="15" t="n">
        <f aca="false">IF(A848="","",IF(O848&lt;&gt;"",O848,IF(L848&lt;&gt;"",L848,F848)))</f>
        <v>2</v>
      </c>
    </row>
    <row r="849" customFormat="false" ht="15" hidden="false" customHeight="true" outlineLevel="0" collapsed="false">
      <c r="A849" s="26" t="s">
        <v>108</v>
      </c>
      <c r="B849" s="26" t="s">
        <v>109</v>
      </c>
      <c r="C849" s="14" t="n">
        <f aca="false">IF(A849="","",IFERROR(VLOOKUP(A849,'Recert Status'!$A$8:$C$400,3,FALSE()),""))</f>
        <v>46387</v>
      </c>
      <c r="D849" s="18" t="s">
        <v>430</v>
      </c>
      <c r="E849" s="26" t="s">
        <v>426</v>
      </c>
      <c r="F849" s="27" t="n">
        <v>1</v>
      </c>
      <c r="G849" s="28" t="n">
        <v>46283</v>
      </c>
      <c r="H849" s="28" t="n">
        <v>46283</v>
      </c>
      <c r="I849" s="18" t="s">
        <v>1167</v>
      </c>
      <c r="J849" s="26" t="s">
        <v>426</v>
      </c>
      <c r="K849" s="18" t="s">
        <v>428</v>
      </c>
      <c r="L849" s="27" t="n">
        <v>1</v>
      </c>
      <c r="M849" s="41" t="s">
        <v>429</v>
      </c>
      <c r="N849" s="18" t="s">
        <v>430</v>
      </c>
      <c r="O849" s="27" t="n">
        <v>1</v>
      </c>
      <c r="P849" s="15" t="n">
        <f aca="false">IF(A849="","",IF(O849&lt;&gt;"",O849,IF(L849&lt;&gt;"",L849,F849)))</f>
        <v>1</v>
      </c>
    </row>
    <row r="850" customFormat="false" ht="15" hidden="false" customHeight="true" outlineLevel="0" collapsed="false">
      <c r="A850" s="30" t="s">
        <v>108</v>
      </c>
      <c r="B850" s="30" t="s">
        <v>109</v>
      </c>
      <c r="C850" s="21" t="n">
        <f aca="false">IF(A850="","",IFERROR(VLOOKUP(A850,'Recert Status'!$A$8:$C$400,3,FALSE()),""))</f>
        <v>46387</v>
      </c>
      <c r="D850" s="31" t="s">
        <v>430</v>
      </c>
      <c r="E850" s="30" t="s">
        <v>426</v>
      </c>
      <c r="F850" s="32" t="n">
        <v>1</v>
      </c>
      <c r="G850" s="33" t="n">
        <v>46286</v>
      </c>
      <c r="H850" s="33" t="n">
        <v>46286</v>
      </c>
      <c r="I850" s="31" t="s">
        <v>890</v>
      </c>
      <c r="J850" s="30" t="s">
        <v>426</v>
      </c>
      <c r="K850" s="31" t="s">
        <v>428</v>
      </c>
      <c r="L850" s="32" t="n">
        <v>1</v>
      </c>
      <c r="M850" s="41" t="s">
        <v>429</v>
      </c>
      <c r="N850" s="31" t="s">
        <v>430</v>
      </c>
      <c r="O850" s="32" t="n">
        <v>1</v>
      </c>
      <c r="P850" s="15" t="n">
        <f aca="false">IF(A850="","",IF(O850&lt;&gt;"",O850,IF(L850&lt;&gt;"",L850,F850)))</f>
        <v>1</v>
      </c>
    </row>
    <row r="851" customFormat="false" ht="15" hidden="false" customHeight="true" outlineLevel="0" collapsed="false">
      <c r="A851" s="26" t="s">
        <v>108</v>
      </c>
      <c r="B851" s="26" t="s">
        <v>109</v>
      </c>
      <c r="C851" s="14" t="n">
        <f aca="false">IF(A851="","",IFERROR(VLOOKUP(A851,'Recert Status'!$A$8:$C$400,3,FALSE()),""))</f>
        <v>46387</v>
      </c>
      <c r="D851" s="18" t="s">
        <v>1168</v>
      </c>
      <c r="E851" s="26" t="s">
        <v>389</v>
      </c>
      <c r="F851" s="27" t="n">
        <v>2</v>
      </c>
      <c r="G851" s="28" t="n">
        <v>45761</v>
      </c>
      <c r="H851" s="28" t="n">
        <v>45761</v>
      </c>
      <c r="I851" s="18" t="s">
        <v>1169</v>
      </c>
      <c r="J851" s="26" t="s">
        <v>389</v>
      </c>
      <c r="K851" s="18" t="s">
        <v>1170</v>
      </c>
      <c r="L851" s="27" t="n">
        <v>2</v>
      </c>
      <c r="M851" s="35" t="s">
        <v>386</v>
      </c>
      <c r="N851" s="18" t="s">
        <v>387</v>
      </c>
      <c r="O851" s="27" t="n">
        <v>2</v>
      </c>
      <c r="P851" s="15" t="n">
        <f aca="false">IF(A851="","",IF(O851&lt;&gt;"",O851,IF(L851&lt;&gt;"",L851,F851)))</f>
        <v>2</v>
      </c>
    </row>
    <row r="852" customFormat="false" ht="15" hidden="false" customHeight="true" outlineLevel="0" collapsed="false">
      <c r="A852" s="30" t="s">
        <v>108</v>
      </c>
      <c r="B852" s="30" t="s">
        <v>109</v>
      </c>
      <c r="C852" s="21" t="n">
        <f aca="false">IF(A852="","",IFERROR(VLOOKUP(A852,'Recert Status'!$A$8:$C$400,3,FALSE()),""))</f>
        <v>46387</v>
      </c>
      <c r="D852" s="31" t="s">
        <v>437</v>
      </c>
      <c r="E852" s="30" t="n">
        <v>29743</v>
      </c>
      <c r="F852" s="32" t="n">
        <v>1</v>
      </c>
      <c r="G852" s="33" t="n">
        <v>45833</v>
      </c>
      <c r="H852" s="33" t="n">
        <v>45833</v>
      </c>
      <c r="I852" s="31" t="s">
        <v>438</v>
      </c>
      <c r="J852" s="30" t="s">
        <v>439</v>
      </c>
      <c r="K852" s="31" t="s">
        <v>440</v>
      </c>
      <c r="L852" s="32" t="n">
        <v>1</v>
      </c>
      <c r="M852" s="35" t="s">
        <v>386</v>
      </c>
      <c r="N852" s="31" t="s">
        <v>387</v>
      </c>
      <c r="O852" s="32" t="n">
        <v>1</v>
      </c>
      <c r="P852" s="15" t="n">
        <f aca="false">IF(A852="","",IF(O852&lt;&gt;"",O852,IF(L852&lt;&gt;"",L852,F852)))</f>
        <v>1</v>
      </c>
    </row>
    <row r="853" customFormat="false" ht="15" hidden="false" customHeight="true" outlineLevel="0" collapsed="false">
      <c r="A853" s="26" t="s">
        <v>108</v>
      </c>
      <c r="B853" s="26" t="s">
        <v>109</v>
      </c>
      <c r="C853" s="14" t="n">
        <f aca="false">IF(A853="","",IFERROR(VLOOKUP(A853,'Recert Status'!$A$8:$C$400,3,FALSE()),""))</f>
        <v>46387</v>
      </c>
      <c r="D853" s="18" t="s">
        <v>441</v>
      </c>
      <c r="E853" s="26" t="n">
        <v>29743</v>
      </c>
      <c r="F853" s="27" t="n">
        <v>1</v>
      </c>
      <c r="G853" s="28" t="n">
        <v>45833</v>
      </c>
      <c r="H853" s="28" t="n">
        <v>45833</v>
      </c>
      <c r="I853" s="18" t="s">
        <v>442</v>
      </c>
      <c r="J853" s="26" t="s">
        <v>439</v>
      </c>
      <c r="K853" s="18" t="s">
        <v>443</v>
      </c>
      <c r="L853" s="27" t="n">
        <v>1</v>
      </c>
      <c r="M853" s="35" t="s">
        <v>386</v>
      </c>
      <c r="N853" s="18" t="s">
        <v>387</v>
      </c>
      <c r="O853" s="27" t="n">
        <v>1</v>
      </c>
      <c r="P853" s="15" t="n">
        <f aca="false">IF(A853="","",IF(O853&lt;&gt;"",O853,IF(L853&lt;&gt;"",L853,F853)))</f>
        <v>1</v>
      </c>
    </row>
    <row r="854" customFormat="false" ht="15" hidden="false" customHeight="true" outlineLevel="0" collapsed="false">
      <c r="A854" s="30" t="s">
        <v>108</v>
      </c>
      <c r="B854" s="30" t="s">
        <v>109</v>
      </c>
      <c r="C854" s="21" t="n">
        <f aca="false">IF(A854="","",IFERROR(VLOOKUP(A854,'Recert Status'!$A$8:$C$400,3,FALSE()),""))</f>
        <v>46387</v>
      </c>
      <c r="D854" s="31" t="s">
        <v>1061</v>
      </c>
      <c r="E854" s="30" t="n">
        <v>29675</v>
      </c>
      <c r="F854" s="32" t="n">
        <v>1</v>
      </c>
      <c r="G854" s="33" t="n">
        <v>45995</v>
      </c>
      <c r="H854" s="33" t="n">
        <v>45995</v>
      </c>
      <c r="I854" s="31" t="s">
        <v>1062</v>
      </c>
      <c r="J854" s="30" t="s">
        <v>406</v>
      </c>
      <c r="K854" s="31" t="s">
        <v>446</v>
      </c>
      <c r="L854" s="32" t="n">
        <v>1</v>
      </c>
      <c r="M854" s="35" t="s">
        <v>386</v>
      </c>
      <c r="N854" s="31" t="s">
        <v>387</v>
      </c>
      <c r="O854" s="32" t="n">
        <v>1</v>
      </c>
      <c r="P854" s="15" t="n">
        <f aca="false">IF(A854="","",IF(O854&lt;&gt;"",O854,IF(L854&lt;&gt;"",L854,F854)))</f>
        <v>1</v>
      </c>
    </row>
    <row r="855" customFormat="false" ht="15" hidden="false" customHeight="true" outlineLevel="0" collapsed="false">
      <c r="A855" s="26" t="s">
        <v>108</v>
      </c>
      <c r="B855" s="26" t="s">
        <v>109</v>
      </c>
      <c r="C855" s="14" t="n">
        <f aca="false">IF(A855="","",IFERROR(VLOOKUP(A855,'Recert Status'!$A$8:$C$400,3,FALSE()),""))</f>
        <v>46387</v>
      </c>
      <c r="D855" s="18" t="s">
        <v>387</v>
      </c>
      <c r="E855" s="26" t="s">
        <v>389</v>
      </c>
      <c r="F855" s="27" t="n">
        <v>0.5</v>
      </c>
      <c r="G855" s="28" t="n">
        <v>46211</v>
      </c>
      <c r="H855" s="28" t="n">
        <v>46211</v>
      </c>
      <c r="I855" s="18" t="s">
        <v>1171</v>
      </c>
      <c r="J855" s="26" t="s">
        <v>389</v>
      </c>
      <c r="K855" s="18" t="s">
        <v>395</v>
      </c>
      <c r="L855" s="27" t="n">
        <v>0.5</v>
      </c>
      <c r="M855" s="35" t="s">
        <v>386</v>
      </c>
      <c r="N855" s="18" t="s">
        <v>387</v>
      </c>
      <c r="O855" s="27" t="n">
        <v>0.5</v>
      </c>
      <c r="P855" s="15" t="n">
        <f aca="false">IF(A855="","",IF(O855&lt;&gt;"",O855,IF(L855&lt;&gt;"",L855,F855)))</f>
        <v>0.5</v>
      </c>
    </row>
    <row r="856" customFormat="false" ht="15" hidden="false" customHeight="true" outlineLevel="0" collapsed="false">
      <c r="A856" s="30" t="s">
        <v>108</v>
      </c>
      <c r="B856" s="30" t="s">
        <v>109</v>
      </c>
      <c r="C856" s="21" t="n">
        <f aca="false">IF(A856="","",IFERROR(VLOOKUP(A856,'Recert Status'!$A$8:$C$400,3,FALSE()),""))</f>
        <v>46387</v>
      </c>
      <c r="D856" s="31" t="s">
        <v>387</v>
      </c>
      <c r="E856" s="30" t="s">
        <v>389</v>
      </c>
      <c r="F856" s="32" t="n">
        <v>1</v>
      </c>
      <c r="G856" s="33" t="n">
        <v>46232</v>
      </c>
      <c r="H856" s="33" t="n">
        <v>46232</v>
      </c>
      <c r="I856" s="31" t="s">
        <v>1063</v>
      </c>
      <c r="J856" s="30" t="s">
        <v>389</v>
      </c>
      <c r="K856" s="31" t="s">
        <v>451</v>
      </c>
      <c r="L856" s="32" t="n">
        <v>1</v>
      </c>
      <c r="M856" s="35" t="s">
        <v>386</v>
      </c>
      <c r="N856" s="31" t="s">
        <v>387</v>
      </c>
      <c r="O856" s="32" t="n">
        <v>1</v>
      </c>
      <c r="P856" s="15" t="n">
        <f aca="false">IF(A856="","",IF(O856&lt;&gt;"",O856,IF(L856&lt;&gt;"",L856,F856)))</f>
        <v>1</v>
      </c>
    </row>
    <row r="857" customFormat="false" ht="15" hidden="false" customHeight="true" outlineLevel="0" collapsed="false">
      <c r="A857" s="26" t="s">
        <v>108</v>
      </c>
      <c r="B857" s="26" t="s">
        <v>109</v>
      </c>
      <c r="C857" s="14" t="n">
        <f aca="false">IF(A857="","",IFERROR(VLOOKUP(A857,'Recert Status'!$A$8:$C$400,3,FALSE()),""))</f>
        <v>46387</v>
      </c>
      <c r="D857" s="18" t="s">
        <v>387</v>
      </c>
      <c r="E857" s="26" t="s">
        <v>389</v>
      </c>
      <c r="F857" s="27" t="n">
        <v>1</v>
      </c>
      <c r="G857" s="28" t="n">
        <v>46274</v>
      </c>
      <c r="H857" s="28" t="n">
        <v>46274</v>
      </c>
      <c r="I857" s="18" t="s">
        <v>530</v>
      </c>
      <c r="J857" s="26" t="s">
        <v>389</v>
      </c>
      <c r="K857" s="18" t="s">
        <v>451</v>
      </c>
      <c r="L857" s="27" t="n">
        <v>1</v>
      </c>
      <c r="M857" s="35" t="s">
        <v>386</v>
      </c>
      <c r="N857" s="18" t="s">
        <v>387</v>
      </c>
      <c r="O857" s="27" t="n">
        <v>1</v>
      </c>
      <c r="P857" s="15" t="n">
        <f aca="false">IF(A857="","",IF(O857&lt;&gt;"",O857,IF(L857&lt;&gt;"",L857,F857)))</f>
        <v>1</v>
      </c>
    </row>
    <row r="858" customFormat="false" ht="15" hidden="false" customHeight="true" outlineLevel="0" collapsed="false">
      <c r="A858" s="30" t="s">
        <v>108</v>
      </c>
      <c r="B858" s="30" t="s">
        <v>109</v>
      </c>
      <c r="C858" s="21" t="n">
        <f aca="false">IF(A858="","",IFERROR(VLOOKUP(A858,'Recert Status'!$A$8:$C$400,3,FALSE()),""))</f>
        <v>46387</v>
      </c>
      <c r="D858" s="31" t="s">
        <v>387</v>
      </c>
      <c r="E858" s="30" t="s">
        <v>389</v>
      </c>
      <c r="F858" s="32" t="n">
        <v>1</v>
      </c>
      <c r="G858" s="33" t="n">
        <v>46286</v>
      </c>
      <c r="H858" s="33" t="n">
        <v>46286</v>
      </c>
      <c r="I858" s="31" t="s">
        <v>903</v>
      </c>
      <c r="J858" s="30" t="s">
        <v>389</v>
      </c>
      <c r="K858" s="31" t="s">
        <v>904</v>
      </c>
      <c r="L858" s="32" t="n">
        <v>1</v>
      </c>
      <c r="M858" s="35" t="s">
        <v>386</v>
      </c>
      <c r="N858" s="31" t="s">
        <v>387</v>
      </c>
      <c r="O858" s="32" t="n">
        <v>1</v>
      </c>
      <c r="P858" s="15" t="n">
        <f aca="false">IF(A858="","",IF(O858&lt;&gt;"",O858,IF(L858&lt;&gt;"",L858,F858)))</f>
        <v>1</v>
      </c>
    </row>
    <row r="859" customFormat="false" ht="15" hidden="false" customHeight="true" outlineLevel="0" collapsed="false">
      <c r="A859" s="26" t="s">
        <v>108</v>
      </c>
      <c r="B859" s="26" t="s">
        <v>109</v>
      </c>
      <c r="C859" s="14" t="n">
        <f aca="false">IF(A859="","",IFERROR(VLOOKUP(A859,'Recert Status'!$A$8:$C$400,3,FALSE()),""))</f>
        <v>46387</v>
      </c>
      <c r="D859" s="18" t="s">
        <v>403</v>
      </c>
      <c r="E859" s="26" t="s">
        <v>399</v>
      </c>
      <c r="F859" s="27" t="n">
        <v>1</v>
      </c>
      <c r="G859" s="28" t="n">
        <v>46268</v>
      </c>
      <c r="H859" s="28" t="n">
        <v>46268</v>
      </c>
      <c r="I859" s="18" t="s">
        <v>479</v>
      </c>
      <c r="J859" s="26" t="s">
        <v>399</v>
      </c>
      <c r="K859" s="18" t="s">
        <v>401</v>
      </c>
      <c r="L859" s="27" t="n">
        <v>1</v>
      </c>
      <c r="M859" s="37" t="s">
        <v>402</v>
      </c>
      <c r="N859" s="18" t="s">
        <v>403</v>
      </c>
      <c r="O859" s="27" t="n">
        <v>1</v>
      </c>
      <c r="P859" s="15" t="n">
        <f aca="false">IF(A859="","",IF(O859&lt;&gt;"",O859,IF(L859&lt;&gt;"",L859,F859)))</f>
        <v>1</v>
      </c>
    </row>
    <row r="860" customFormat="false" ht="15" hidden="false" customHeight="true" outlineLevel="0" collapsed="false">
      <c r="A860" s="30" t="s">
        <v>108</v>
      </c>
      <c r="B860" s="30" t="s">
        <v>109</v>
      </c>
      <c r="C860" s="21" t="n">
        <f aca="false">IF(A860="","",IFERROR(VLOOKUP(A860,'Recert Status'!$A$8:$C$400,3,FALSE()),""))</f>
        <v>46387</v>
      </c>
      <c r="D860" s="31" t="s">
        <v>409</v>
      </c>
      <c r="E860" s="30" t="s">
        <v>480</v>
      </c>
      <c r="F860" s="32" t="n">
        <v>1</v>
      </c>
      <c r="G860" s="33" t="n">
        <v>46268</v>
      </c>
      <c r="H860" s="33" t="n">
        <v>46268</v>
      </c>
      <c r="I860" s="31" t="s">
        <v>481</v>
      </c>
      <c r="J860" s="30" t="s">
        <v>480</v>
      </c>
      <c r="K860" s="31" t="s">
        <v>482</v>
      </c>
      <c r="L860" s="32" t="n">
        <v>1</v>
      </c>
      <c r="M860" s="38" t="s">
        <v>408</v>
      </c>
      <c r="N860" s="31" t="s">
        <v>409</v>
      </c>
      <c r="O860" s="32" t="n">
        <v>1</v>
      </c>
      <c r="P860" s="15" t="n">
        <f aca="false">IF(A860="","",IF(O860&lt;&gt;"",O860,IF(L860&lt;&gt;"",L860,F860)))</f>
        <v>1</v>
      </c>
    </row>
    <row r="861" customFormat="false" ht="15" hidden="false" customHeight="true" outlineLevel="0" collapsed="false">
      <c r="A861" s="26" t="s">
        <v>108</v>
      </c>
      <c r="B861" s="26" t="s">
        <v>109</v>
      </c>
      <c r="C861" s="14" t="n">
        <f aca="false">IF(A861="","",IFERROR(VLOOKUP(A861,'Recert Status'!$A$8:$C$400,3,FALSE()),""))</f>
        <v>46387</v>
      </c>
      <c r="D861" s="18" t="s">
        <v>672</v>
      </c>
      <c r="E861" s="26" t="s">
        <v>416</v>
      </c>
      <c r="F861" s="27" t="n">
        <v>1</v>
      </c>
      <c r="G861" s="28" t="n">
        <v>45824</v>
      </c>
      <c r="H861" s="28" t="n">
        <v>45824</v>
      </c>
      <c r="I861" s="18" t="s">
        <v>1172</v>
      </c>
      <c r="J861" s="26" t="s">
        <v>416</v>
      </c>
      <c r="K861" s="18" t="s">
        <v>418</v>
      </c>
      <c r="L861" s="27" t="n">
        <v>1</v>
      </c>
      <c r="M861" s="39" t="s">
        <v>413</v>
      </c>
      <c r="N861" s="18" t="s">
        <v>414</v>
      </c>
      <c r="O861" s="27" t="n">
        <v>1</v>
      </c>
      <c r="P861" s="15" t="n">
        <f aca="false">IF(A861="","",IF(O861&lt;&gt;"",O861,IF(L861&lt;&gt;"",L861,F861)))</f>
        <v>1</v>
      </c>
    </row>
    <row r="862" customFormat="false" ht="15" hidden="false" customHeight="true" outlineLevel="0" collapsed="false">
      <c r="A862" s="30" t="s">
        <v>108</v>
      </c>
      <c r="B862" s="30" t="s">
        <v>109</v>
      </c>
      <c r="C862" s="21" t="n">
        <f aca="false">IF(A862="","",IFERROR(VLOOKUP(A862,'Recert Status'!$A$8:$C$400,3,FALSE()),""))</f>
        <v>46387</v>
      </c>
      <c r="D862" s="31" t="s">
        <v>415</v>
      </c>
      <c r="E862" s="30" t="s">
        <v>416</v>
      </c>
      <c r="F862" s="32" t="n">
        <v>1</v>
      </c>
      <c r="G862" s="33" t="n">
        <v>45825</v>
      </c>
      <c r="H862" s="33" t="n">
        <v>45825</v>
      </c>
      <c r="I862" s="31" t="s">
        <v>920</v>
      </c>
      <c r="J862" s="30" t="s">
        <v>416</v>
      </c>
      <c r="K862" s="31" t="s">
        <v>418</v>
      </c>
      <c r="L862" s="32" t="n">
        <v>1</v>
      </c>
      <c r="M862" s="39" t="s">
        <v>413</v>
      </c>
      <c r="N862" s="31" t="s">
        <v>414</v>
      </c>
      <c r="O862" s="32" t="n">
        <v>1</v>
      </c>
      <c r="P862" s="15" t="n">
        <f aca="false">IF(A862="","",IF(O862&lt;&gt;"",O862,IF(L862&lt;&gt;"",L862,F862)))</f>
        <v>1</v>
      </c>
    </row>
    <row r="863" customFormat="false" ht="15" hidden="false" customHeight="true" outlineLevel="0" collapsed="false">
      <c r="A863" s="26" t="s">
        <v>108</v>
      </c>
      <c r="B863" s="26" t="s">
        <v>109</v>
      </c>
      <c r="C863" s="14" t="n">
        <f aca="false">IF(A863="","",IFERROR(VLOOKUP(A863,'Recert Status'!$A$8:$C$400,3,FALSE()),""))</f>
        <v>46387</v>
      </c>
      <c r="D863" s="18" t="s">
        <v>705</v>
      </c>
      <c r="E863" s="26" t="s">
        <v>416</v>
      </c>
      <c r="F863" s="27" t="n">
        <v>0.5</v>
      </c>
      <c r="G863" s="28" t="n">
        <v>45854</v>
      </c>
      <c r="H863" s="28" t="n">
        <v>45854</v>
      </c>
      <c r="I863" s="18" t="s">
        <v>1173</v>
      </c>
      <c r="J863" s="26" t="s">
        <v>416</v>
      </c>
      <c r="K863" s="18" t="s">
        <v>412</v>
      </c>
      <c r="L863" s="27" t="n">
        <v>0.5</v>
      </c>
      <c r="M863" s="39" t="s">
        <v>413</v>
      </c>
      <c r="N863" s="18" t="s">
        <v>414</v>
      </c>
      <c r="O863" s="27" t="n">
        <v>0.5</v>
      </c>
      <c r="P863" s="15" t="n">
        <f aca="false">IF(A863="","",IF(O863&lt;&gt;"",O863,IF(L863&lt;&gt;"",L863,F863)))</f>
        <v>0.5</v>
      </c>
    </row>
    <row r="864" customFormat="false" ht="15" hidden="false" customHeight="true" outlineLevel="0" collapsed="false">
      <c r="A864" s="30" t="s">
        <v>108</v>
      </c>
      <c r="B864" s="30" t="s">
        <v>109</v>
      </c>
      <c r="C864" s="21" t="n">
        <f aca="false">IF(A864="","",IFERROR(VLOOKUP(A864,'Recert Status'!$A$8:$C$400,3,FALSE()),""))</f>
        <v>46387</v>
      </c>
      <c r="D864" s="31" t="s">
        <v>457</v>
      </c>
      <c r="E864" s="30" t="s">
        <v>416</v>
      </c>
      <c r="F864" s="32" t="n">
        <v>2</v>
      </c>
      <c r="G864" s="33" t="n">
        <v>45860</v>
      </c>
      <c r="H864" s="33" t="n">
        <v>45860</v>
      </c>
      <c r="I864" s="31" t="s">
        <v>720</v>
      </c>
      <c r="J864" s="30" t="s">
        <v>416</v>
      </c>
      <c r="K864" s="31" t="s">
        <v>459</v>
      </c>
      <c r="L864" s="32" t="n">
        <v>2</v>
      </c>
      <c r="M864" s="39" t="s">
        <v>413</v>
      </c>
      <c r="N864" s="31" t="s">
        <v>414</v>
      </c>
      <c r="O864" s="32" t="n">
        <v>2</v>
      </c>
      <c r="P864" s="15" t="n">
        <f aca="false">IF(A864="","",IF(O864&lt;&gt;"",O864,IF(L864&lt;&gt;"",L864,F864)))</f>
        <v>2</v>
      </c>
    </row>
    <row r="865" customFormat="false" ht="15" hidden="false" customHeight="true" outlineLevel="0" collapsed="false">
      <c r="A865" s="26" t="s">
        <v>108</v>
      </c>
      <c r="B865" s="26" t="s">
        <v>109</v>
      </c>
      <c r="C865" s="14" t="n">
        <f aca="false">IF(A865="","",IFERROR(VLOOKUP(A865,'Recert Status'!$A$8:$C$400,3,FALSE()),""))</f>
        <v>46387</v>
      </c>
      <c r="D865" s="18" t="s">
        <v>488</v>
      </c>
      <c r="E865" s="26" t="s">
        <v>416</v>
      </c>
      <c r="F865" s="27" t="n">
        <v>1</v>
      </c>
      <c r="G865" s="28" t="n">
        <v>46139</v>
      </c>
      <c r="H865" s="28" t="n">
        <v>46139</v>
      </c>
      <c r="I865" s="18" t="s">
        <v>610</v>
      </c>
      <c r="J865" s="26" t="s">
        <v>416</v>
      </c>
      <c r="K865" s="18" t="s">
        <v>490</v>
      </c>
      <c r="L865" s="27" t="n">
        <v>1</v>
      </c>
      <c r="M865" s="39" t="s">
        <v>413</v>
      </c>
      <c r="N865" s="18" t="s">
        <v>414</v>
      </c>
      <c r="O865" s="27" t="n">
        <v>1</v>
      </c>
      <c r="P865" s="15" t="n">
        <f aca="false">IF(A865="","",IF(O865&lt;&gt;"",O865,IF(L865&lt;&gt;"",L865,F865)))</f>
        <v>1</v>
      </c>
    </row>
    <row r="866" customFormat="false" ht="15" hidden="false" customHeight="true" outlineLevel="0" collapsed="false">
      <c r="A866" s="30" t="s">
        <v>108</v>
      </c>
      <c r="B866" s="30" t="s">
        <v>109</v>
      </c>
      <c r="C866" s="21" t="n">
        <f aca="false">IF(A866="","",IFERROR(VLOOKUP(A866,'Recert Status'!$A$8:$C$400,3,FALSE()),""))</f>
        <v>46387</v>
      </c>
      <c r="D866" s="31" t="s">
        <v>414</v>
      </c>
      <c r="E866" s="30" t="s">
        <v>416</v>
      </c>
      <c r="F866" s="32" t="n">
        <v>2</v>
      </c>
      <c r="G866" s="33" t="n">
        <v>46217</v>
      </c>
      <c r="H866" s="33" t="n">
        <v>46217</v>
      </c>
      <c r="I866" s="31" t="s">
        <v>460</v>
      </c>
      <c r="J866" s="30" t="s">
        <v>416</v>
      </c>
      <c r="K866" s="31" t="s">
        <v>418</v>
      </c>
      <c r="L866" s="32" t="n">
        <v>2</v>
      </c>
      <c r="M866" s="39" t="s">
        <v>413</v>
      </c>
      <c r="N866" s="31" t="s">
        <v>414</v>
      </c>
      <c r="O866" s="32" t="n">
        <v>2</v>
      </c>
      <c r="P866" s="15" t="n">
        <f aca="false">IF(A866="","",IF(O866&lt;&gt;"",O866,IF(L866&lt;&gt;"",L866,F866)))</f>
        <v>2</v>
      </c>
    </row>
    <row r="867" customFormat="false" ht="15" hidden="false" customHeight="true" outlineLevel="0" collapsed="false">
      <c r="A867" s="26" t="s">
        <v>108</v>
      </c>
      <c r="B867" s="26" t="s">
        <v>109</v>
      </c>
      <c r="C867" s="14" t="n">
        <f aca="false">IF(A867="","",IFERROR(VLOOKUP(A867,'Recert Status'!$A$8:$C$400,3,FALSE()),""))</f>
        <v>46387</v>
      </c>
      <c r="D867" s="18" t="s">
        <v>414</v>
      </c>
      <c r="E867" s="26" t="s">
        <v>416</v>
      </c>
      <c r="F867" s="27" t="n">
        <v>2</v>
      </c>
      <c r="G867" s="28" t="n">
        <v>46286</v>
      </c>
      <c r="H867" s="28" t="n">
        <v>46286</v>
      </c>
      <c r="I867" s="18" t="s">
        <v>907</v>
      </c>
      <c r="J867" s="26" t="s">
        <v>416</v>
      </c>
      <c r="K867" s="18" t="s">
        <v>490</v>
      </c>
      <c r="L867" s="27" t="n">
        <v>2</v>
      </c>
      <c r="M867" s="39" t="s">
        <v>413</v>
      </c>
      <c r="N867" s="18" t="s">
        <v>414</v>
      </c>
      <c r="O867" s="27" t="n">
        <v>2</v>
      </c>
      <c r="P867" s="15" t="n">
        <f aca="false">IF(A867="","",IF(O867&lt;&gt;"",O867,IF(L867&lt;&gt;"",L867,F867)))</f>
        <v>2</v>
      </c>
    </row>
    <row r="868" customFormat="false" ht="15" hidden="false" customHeight="true" outlineLevel="0" collapsed="false">
      <c r="A868" s="30" t="s">
        <v>110</v>
      </c>
      <c r="B868" s="30" t="s">
        <v>111</v>
      </c>
      <c r="C868" s="21" t="n">
        <f aca="false">IF(A868="","",IFERROR(VLOOKUP(A868,'Recert Status'!$A$8:$C$400,3,FALSE()),""))</f>
        <v>46387</v>
      </c>
      <c r="D868" s="31" t="s">
        <v>811</v>
      </c>
      <c r="E868" s="30" t="s">
        <v>363</v>
      </c>
      <c r="F868" s="32" t="n">
        <v>1</v>
      </c>
      <c r="G868" s="33" t="n">
        <v>45783</v>
      </c>
      <c r="H868" s="33" t="n">
        <v>45783</v>
      </c>
      <c r="I868" s="31" t="s">
        <v>812</v>
      </c>
      <c r="J868" s="30" t="s">
        <v>363</v>
      </c>
      <c r="K868" s="31" t="s">
        <v>813</v>
      </c>
      <c r="L868" s="32" t="n">
        <v>1</v>
      </c>
      <c r="M868" s="29" t="s">
        <v>366</v>
      </c>
      <c r="N868" s="31" t="s">
        <v>367</v>
      </c>
      <c r="O868" s="32" t="n">
        <v>1</v>
      </c>
      <c r="P868" s="15" t="n">
        <f aca="false">IF(A868="","",IF(O868&lt;&gt;"",O868,IF(L868&lt;&gt;"",L868,F868)))</f>
        <v>1</v>
      </c>
    </row>
    <row r="869" customFormat="false" ht="15" hidden="false" customHeight="true" outlineLevel="0" collapsed="false">
      <c r="A869" s="26" t="s">
        <v>110</v>
      </c>
      <c r="B869" s="26" t="s">
        <v>111</v>
      </c>
      <c r="C869" s="14" t="n">
        <f aca="false">IF(A869="","",IFERROR(VLOOKUP(A869,'Recert Status'!$A$8:$C$400,3,FALSE()),""))</f>
        <v>46387</v>
      </c>
      <c r="D869" s="18" t="s">
        <v>1174</v>
      </c>
      <c r="E869" s="26" t="s">
        <v>542</v>
      </c>
      <c r="F869" s="27" t="n">
        <v>1</v>
      </c>
      <c r="G869" s="28" t="n">
        <v>45783</v>
      </c>
      <c r="H869" s="28" t="n">
        <v>45783</v>
      </c>
      <c r="I869" s="18" t="s">
        <v>1175</v>
      </c>
      <c r="J869" s="26" t="s">
        <v>542</v>
      </c>
      <c r="K869" s="18" t="s">
        <v>422</v>
      </c>
      <c r="L869" s="27" t="n">
        <v>1</v>
      </c>
      <c r="M869" s="40" t="s">
        <v>423</v>
      </c>
      <c r="N869" s="18" t="s">
        <v>424</v>
      </c>
      <c r="O869" s="27" t="n">
        <v>1</v>
      </c>
      <c r="P869" s="15" t="n">
        <f aca="false">IF(A869="","",IF(O869&lt;&gt;"",O869,IF(L869&lt;&gt;"",L869,F869)))</f>
        <v>1</v>
      </c>
    </row>
    <row r="870" customFormat="false" ht="15" hidden="false" customHeight="true" outlineLevel="0" collapsed="false">
      <c r="A870" s="30" t="s">
        <v>110</v>
      </c>
      <c r="B870" s="30" t="s">
        <v>111</v>
      </c>
      <c r="C870" s="21" t="n">
        <f aca="false">IF(A870="","",IFERROR(VLOOKUP(A870,'Recert Status'!$A$8:$C$400,3,FALSE()),""))</f>
        <v>46387</v>
      </c>
      <c r="D870" s="31" t="s">
        <v>584</v>
      </c>
      <c r="E870" s="30" t="s">
        <v>542</v>
      </c>
      <c r="F870" s="32" t="n">
        <v>3</v>
      </c>
      <c r="G870" s="33" t="n">
        <v>45892</v>
      </c>
      <c r="H870" s="33" t="n">
        <v>45892</v>
      </c>
      <c r="I870" s="31" t="s">
        <v>585</v>
      </c>
      <c r="J870" s="30" t="s">
        <v>542</v>
      </c>
      <c r="K870" s="31" t="s">
        <v>586</v>
      </c>
      <c r="L870" s="32" t="n">
        <v>3</v>
      </c>
      <c r="M870" s="40" t="s">
        <v>423</v>
      </c>
      <c r="N870" s="31" t="s">
        <v>424</v>
      </c>
      <c r="O870" s="32" t="n">
        <v>3</v>
      </c>
      <c r="P870" s="15" t="n">
        <f aca="false">IF(A870="","",IF(O870&lt;&gt;"",O870,IF(L870&lt;&gt;"",L870,F870)))</f>
        <v>3</v>
      </c>
    </row>
    <row r="871" customFormat="false" ht="15" hidden="false" customHeight="true" outlineLevel="0" collapsed="false">
      <c r="A871" s="26" t="s">
        <v>110</v>
      </c>
      <c r="B871" s="26" t="s">
        <v>111</v>
      </c>
      <c r="C871" s="14" t="n">
        <f aca="false">IF(A871="","",IFERROR(VLOOKUP(A871,'Recert Status'!$A$8:$C$400,3,FALSE()),""))</f>
        <v>46387</v>
      </c>
      <c r="D871" s="18" t="s">
        <v>496</v>
      </c>
      <c r="E871" s="26" t="s">
        <v>542</v>
      </c>
      <c r="F871" s="27" t="n">
        <v>4</v>
      </c>
      <c r="G871" s="28" t="n">
        <v>45961</v>
      </c>
      <c r="H871" s="28" t="n">
        <v>45961</v>
      </c>
      <c r="I871" s="18" t="s">
        <v>587</v>
      </c>
      <c r="J871" s="26" t="s">
        <v>542</v>
      </c>
      <c r="K871" s="18" t="s">
        <v>422</v>
      </c>
      <c r="L871" s="27" t="n">
        <v>4</v>
      </c>
      <c r="M871" s="40" t="s">
        <v>423</v>
      </c>
      <c r="N871" s="18" t="s">
        <v>424</v>
      </c>
      <c r="O871" s="27" t="n">
        <v>4</v>
      </c>
      <c r="P871" s="15" t="n">
        <f aca="false">IF(A871="","",IF(O871&lt;&gt;"",O871,IF(L871&lt;&gt;"",L871,F871)))</f>
        <v>4</v>
      </c>
    </row>
    <row r="872" customFormat="false" ht="15" hidden="false" customHeight="true" outlineLevel="0" collapsed="false">
      <c r="A872" s="30" t="s">
        <v>110</v>
      </c>
      <c r="B872" s="30" t="s">
        <v>111</v>
      </c>
      <c r="C872" s="21" t="n">
        <f aca="false">IF(A872="","",IFERROR(VLOOKUP(A872,'Recert Status'!$A$8:$C$400,3,FALSE()),""))</f>
        <v>46387</v>
      </c>
      <c r="D872" s="31" t="s">
        <v>1176</v>
      </c>
      <c r="E872" s="30" t="s">
        <v>542</v>
      </c>
      <c r="F872" s="32" t="n">
        <v>2</v>
      </c>
      <c r="G872" s="33" t="n">
        <v>46078</v>
      </c>
      <c r="H872" s="33" t="n">
        <v>46078</v>
      </c>
      <c r="I872" s="31" t="s">
        <v>1177</v>
      </c>
      <c r="J872" s="30" t="s">
        <v>542</v>
      </c>
      <c r="K872" s="31" t="s">
        <v>407</v>
      </c>
      <c r="L872" s="32" t="n">
        <v>2</v>
      </c>
      <c r="M872" s="40" t="s">
        <v>423</v>
      </c>
      <c r="N872" s="31" t="s">
        <v>424</v>
      </c>
      <c r="O872" s="32" t="n">
        <v>2</v>
      </c>
      <c r="P872" s="15" t="n">
        <f aca="false">IF(A872="","",IF(O872&lt;&gt;"",O872,IF(L872&lt;&gt;"",L872,F872)))</f>
        <v>2</v>
      </c>
    </row>
    <row r="873" customFormat="false" ht="15" hidden="false" customHeight="true" outlineLevel="0" collapsed="false">
      <c r="A873" s="26" t="s">
        <v>110</v>
      </c>
      <c r="B873" s="26" t="s">
        <v>111</v>
      </c>
      <c r="C873" s="14" t="n">
        <f aca="false">IF(A873="","",IFERROR(VLOOKUP(A873,'Recert Status'!$A$8:$C$400,3,FALSE()),""))</f>
        <v>46387</v>
      </c>
      <c r="D873" s="18" t="s">
        <v>1024</v>
      </c>
      <c r="E873" s="26" t="n">
        <v>57433</v>
      </c>
      <c r="F873" s="27" t="n">
        <v>2</v>
      </c>
      <c r="G873" s="28" t="n">
        <v>45960</v>
      </c>
      <c r="H873" s="28" t="n">
        <v>45960</v>
      </c>
      <c r="I873" s="18" t="s">
        <v>1025</v>
      </c>
      <c r="J873" s="26" t="s">
        <v>421</v>
      </c>
      <c r="K873" s="18" t="s">
        <v>428</v>
      </c>
      <c r="L873" s="27" t="n">
        <v>2</v>
      </c>
      <c r="M873" s="41" t="s">
        <v>429</v>
      </c>
      <c r="N873" s="18" t="s">
        <v>430</v>
      </c>
      <c r="O873" s="27" t="n">
        <v>2</v>
      </c>
      <c r="P873" s="15" t="n">
        <f aca="false">IF(A873="","",IF(O873&lt;&gt;"",O873,IF(L873&lt;&gt;"",L873,F873)))</f>
        <v>2</v>
      </c>
    </row>
    <row r="874" customFormat="false" ht="15" hidden="false" customHeight="true" outlineLevel="0" collapsed="false">
      <c r="A874" s="30" t="s">
        <v>110</v>
      </c>
      <c r="B874" s="30" t="s">
        <v>111</v>
      </c>
      <c r="C874" s="21" t="n">
        <f aca="false">IF(A874="","",IFERROR(VLOOKUP(A874,'Recert Status'!$A$8:$C$400,3,FALSE()),""))</f>
        <v>46387</v>
      </c>
      <c r="D874" s="31" t="s">
        <v>1178</v>
      </c>
      <c r="E874" s="30" t="s">
        <v>372</v>
      </c>
      <c r="F874" s="32" t="n">
        <v>1</v>
      </c>
      <c r="G874" s="33" t="n">
        <v>46048</v>
      </c>
      <c r="H874" s="33" t="n">
        <v>46048</v>
      </c>
      <c r="I874" s="31" t="s">
        <v>1179</v>
      </c>
      <c r="J874" s="30" t="s">
        <v>372</v>
      </c>
      <c r="K874" s="31" t="s">
        <v>374</v>
      </c>
      <c r="L874" s="32" t="n">
        <v>1</v>
      </c>
      <c r="M874" s="34" t="s">
        <v>375</v>
      </c>
      <c r="N874" s="31" t="s">
        <v>376</v>
      </c>
      <c r="O874" s="32" t="n">
        <v>1</v>
      </c>
      <c r="P874" s="15" t="n">
        <f aca="false">IF(A874="","",IF(O874&lt;&gt;"",O874,IF(L874&lt;&gt;"",L874,F874)))</f>
        <v>1</v>
      </c>
    </row>
    <row r="875" customFormat="false" ht="15" hidden="false" customHeight="true" outlineLevel="0" collapsed="false">
      <c r="A875" s="26" t="s">
        <v>110</v>
      </c>
      <c r="B875" s="26" t="s">
        <v>111</v>
      </c>
      <c r="C875" s="14" t="n">
        <f aca="false">IF(A875="","",IFERROR(VLOOKUP(A875,'Recert Status'!$A$8:$C$400,3,FALSE()),""))</f>
        <v>46387</v>
      </c>
      <c r="D875" s="18" t="s">
        <v>1180</v>
      </c>
      <c r="E875" s="26" t="n">
        <v>29735</v>
      </c>
      <c r="F875" s="27" t="n">
        <v>0.5</v>
      </c>
      <c r="G875" s="28" t="n">
        <v>45720</v>
      </c>
      <c r="H875" s="28" t="n">
        <v>45720</v>
      </c>
      <c r="I875" s="18" t="s">
        <v>1181</v>
      </c>
      <c r="J875" s="26" t="s">
        <v>599</v>
      </c>
      <c r="K875" s="18" t="s">
        <v>600</v>
      </c>
      <c r="L875" s="27" t="n">
        <v>0.5</v>
      </c>
      <c r="M875" s="35" t="s">
        <v>386</v>
      </c>
      <c r="N875" s="18" t="s">
        <v>387</v>
      </c>
      <c r="O875" s="27" t="n">
        <v>0.5</v>
      </c>
      <c r="P875" s="15" t="n">
        <f aca="false">IF(A875="","",IF(O875&lt;&gt;"",O875,IF(L875&lt;&gt;"",L875,F875)))</f>
        <v>0.5</v>
      </c>
    </row>
    <row r="876" customFormat="false" ht="15" hidden="false" customHeight="true" outlineLevel="0" collapsed="false">
      <c r="A876" s="30" t="s">
        <v>110</v>
      </c>
      <c r="B876" s="30" t="s">
        <v>111</v>
      </c>
      <c r="C876" s="21" t="n">
        <f aca="false">IF(A876="","",IFERROR(VLOOKUP(A876,'Recert Status'!$A$8:$C$400,3,FALSE()),""))</f>
        <v>46387</v>
      </c>
      <c r="D876" s="31" t="s">
        <v>1182</v>
      </c>
      <c r="E876" s="30" t="n">
        <v>29743</v>
      </c>
      <c r="F876" s="32" t="n">
        <v>1.5</v>
      </c>
      <c r="G876" s="33" t="n">
        <v>45911</v>
      </c>
      <c r="H876" s="33" t="n">
        <v>45911</v>
      </c>
      <c r="I876" s="31" t="s">
        <v>1183</v>
      </c>
      <c r="J876" s="30" t="s">
        <v>439</v>
      </c>
      <c r="K876" s="31" t="s">
        <v>385</v>
      </c>
      <c r="L876" s="32" t="n">
        <v>1.5</v>
      </c>
      <c r="M876" s="35" t="s">
        <v>386</v>
      </c>
      <c r="N876" s="31" t="s">
        <v>387</v>
      </c>
      <c r="O876" s="32" t="n">
        <v>1.5</v>
      </c>
      <c r="P876" s="15" t="n">
        <f aca="false">IF(A876="","",IF(O876&lt;&gt;"",O876,IF(L876&lt;&gt;"",L876,F876)))</f>
        <v>1.5</v>
      </c>
    </row>
    <row r="877" customFormat="false" ht="15" hidden="false" customHeight="true" outlineLevel="0" collapsed="false">
      <c r="A877" s="26" t="s">
        <v>110</v>
      </c>
      <c r="B877" s="26" t="s">
        <v>111</v>
      </c>
      <c r="C877" s="14" t="n">
        <f aca="false">IF(A877="","",IFERROR(VLOOKUP(A877,'Recert Status'!$A$8:$C$400,3,FALSE()),""))</f>
        <v>46387</v>
      </c>
      <c r="D877" s="18" t="s">
        <v>682</v>
      </c>
      <c r="E877" s="26" t="n">
        <v>29675</v>
      </c>
      <c r="F877" s="27" t="n">
        <v>1</v>
      </c>
      <c r="G877" s="28" t="n">
        <v>45987</v>
      </c>
      <c r="H877" s="28" t="n">
        <v>45987</v>
      </c>
      <c r="I877" s="18" t="s">
        <v>683</v>
      </c>
      <c r="J877" s="26" t="s">
        <v>406</v>
      </c>
      <c r="K877" s="18" t="s">
        <v>446</v>
      </c>
      <c r="L877" s="27" t="n">
        <v>1</v>
      </c>
      <c r="M877" s="35" t="s">
        <v>386</v>
      </c>
      <c r="N877" s="18" t="s">
        <v>387</v>
      </c>
      <c r="O877" s="27" t="n">
        <v>1</v>
      </c>
      <c r="P877" s="15" t="n">
        <f aca="false">IF(A877="","",IF(O877&lt;&gt;"",O877,IF(L877&lt;&gt;"",L877,F877)))</f>
        <v>1</v>
      </c>
    </row>
    <row r="878" customFormat="false" ht="15" hidden="false" customHeight="true" outlineLevel="0" collapsed="false">
      <c r="A878" s="30" t="s">
        <v>110</v>
      </c>
      <c r="B878" s="30" t="s">
        <v>111</v>
      </c>
      <c r="C878" s="21" t="n">
        <f aca="false">IF(A878="","",IFERROR(VLOOKUP(A878,'Recert Status'!$A$8:$C$400,3,FALSE()),""))</f>
        <v>46387</v>
      </c>
      <c r="D878" s="31" t="s">
        <v>597</v>
      </c>
      <c r="E878" s="30" t="n">
        <v>29735</v>
      </c>
      <c r="F878" s="32" t="n">
        <v>4</v>
      </c>
      <c r="G878" s="33" t="n">
        <v>45961</v>
      </c>
      <c r="H878" s="33" t="n">
        <v>45961</v>
      </c>
      <c r="I878" s="31" t="s">
        <v>598</v>
      </c>
      <c r="J878" s="30" t="s">
        <v>599</v>
      </c>
      <c r="K878" s="31" t="s">
        <v>600</v>
      </c>
      <c r="L878" s="32" t="n">
        <v>4</v>
      </c>
      <c r="M878" s="36" t="s">
        <v>396</v>
      </c>
      <c r="N878" s="31" t="s">
        <v>397</v>
      </c>
      <c r="O878" s="32" t="n">
        <v>4</v>
      </c>
      <c r="P878" s="15" t="n">
        <f aca="false">IF(A878="","",IF(O878&lt;&gt;"",O878,IF(L878&lt;&gt;"",L878,F878)))</f>
        <v>4</v>
      </c>
    </row>
    <row r="879" customFormat="false" ht="15" hidden="false" customHeight="true" outlineLevel="0" collapsed="false">
      <c r="A879" s="26" t="s">
        <v>110</v>
      </c>
      <c r="B879" s="26" t="s">
        <v>111</v>
      </c>
      <c r="C879" s="14" t="n">
        <f aca="false">IF(A879="","",IFERROR(VLOOKUP(A879,'Recert Status'!$A$8:$C$400,3,FALSE()),""))</f>
        <v>46387</v>
      </c>
      <c r="D879" s="18" t="s">
        <v>662</v>
      </c>
      <c r="E879" s="26" t="n">
        <v>35513</v>
      </c>
      <c r="F879" s="27" t="n">
        <v>1</v>
      </c>
      <c r="G879" s="28" t="n">
        <v>46113</v>
      </c>
      <c r="H879" s="28" t="n">
        <v>46113</v>
      </c>
      <c r="I879" s="18" t="s">
        <v>1184</v>
      </c>
      <c r="J879" s="26" t="s">
        <v>384</v>
      </c>
      <c r="K879" s="18" t="s">
        <v>407</v>
      </c>
      <c r="L879" s="27" t="n">
        <v>1</v>
      </c>
      <c r="M879" s="36" t="s">
        <v>396</v>
      </c>
      <c r="N879" s="18" t="s">
        <v>397</v>
      </c>
      <c r="O879" s="27" t="n">
        <v>1</v>
      </c>
      <c r="P879" s="15" t="n">
        <f aca="false">IF(A879="","",IF(O879&lt;&gt;"",O879,IF(L879&lt;&gt;"",L879,F879)))</f>
        <v>1</v>
      </c>
    </row>
    <row r="880" customFormat="false" ht="15" hidden="false" customHeight="true" outlineLevel="0" collapsed="false">
      <c r="A880" s="30" t="s">
        <v>110</v>
      </c>
      <c r="B880" s="30" t="s">
        <v>111</v>
      </c>
      <c r="C880" s="21" t="n">
        <f aca="false">IF(A880="","",IFERROR(VLOOKUP(A880,'Recert Status'!$A$8:$C$400,3,FALSE()),""))</f>
        <v>46387</v>
      </c>
      <c r="D880" s="31" t="s">
        <v>1185</v>
      </c>
      <c r="E880" s="30" t="s">
        <v>452</v>
      </c>
      <c r="F880" s="32" t="n">
        <v>1</v>
      </c>
      <c r="G880" s="33" t="n">
        <v>46113</v>
      </c>
      <c r="H880" s="33" t="n">
        <v>46113</v>
      </c>
      <c r="I880" s="31" t="s">
        <v>1186</v>
      </c>
      <c r="J880" s="30" t="s">
        <v>452</v>
      </c>
      <c r="K880" s="31" t="s">
        <v>407</v>
      </c>
      <c r="L880" s="32" t="n">
        <v>1</v>
      </c>
      <c r="M880" s="36" t="s">
        <v>396</v>
      </c>
      <c r="N880" s="31" t="s">
        <v>397</v>
      </c>
      <c r="O880" s="32" t="n">
        <v>1</v>
      </c>
      <c r="P880" s="15" t="n">
        <f aca="false">IF(A880="","",IF(O880&lt;&gt;"",O880,IF(L880&lt;&gt;"",L880,F880)))</f>
        <v>1</v>
      </c>
    </row>
    <row r="881" customFormat="false" ht="15" hidden="false" customHeight="true" outlineLevel="0" collapsed="false">
      <c r="A881" s="26" t="s">
        <v>110</v>
      </c>
      <c r="B881" s="26" t="s">
        <v>111</v>
      </c>
      <c r="C881" s="14" t="n">
        <f aca="false">IF(A881="","",IFERROR(VLOOKUP(A881,'Recert Status'!$A$8:$C$400,3,FALSE()),""))</f>
        <v>46387</v>
      </c>
      <c r="D881" s="18" t="s">
        <v>1187</v>
      </c>
      <c r="E881" s="26" t="s">
        <v>399</v>
      </c>
      <c r="F881" s="27" t="n">
        <v>1</v>
      </c>
      <c r="G881" s="28" t="n">
        <v>46048</v>
      </c>
      <c r="H881" s="28" t="n">
        <v>46048</v>
      </c>
      <c r="I881" s="18" t="s">
        <v>1188</v>
      </c>
      <c r="J881" s="26" t="s">
        <v>399</v>
      </c>
      <c r="K881" s="18" t="s">
        <v>401</v>
      </c>
      <c r="L881" s="27" t="n">
        <v>1</v>
      </c>
      <c r="M881" s="37" t="s">
        <v>402</v>
      </c>
      <c r="N881" s="18" t="s">
        <v>403</v>
      </c>
      <c r="O881" s="27" t="n">
        <v>1</v>
      </c>
      <c r="P881" s="15" t="n">
        <f aca="false">IF(A881="","",IF(O881&lt;&gt;"",O881,IF(L881&lt;&gt;"",L881,F881)))</f>
        <v>1</v>
      </c>
    </row>
    <row r="882" customFormat="false" ht="15" hidden="false" customHeight="true" outlineLevel="0" collapsed="false">
      <c r="A882" s="30" t="s">
        <v>110</v>
      </c>
      <c r="B882" s="30" t="s">
        <v>111</v>
      </c>
      <c r="C882" s="21" t="n">
        <f aca="false">IF(A882="","",IFERROR(VLOOKUP(A882,'Recert Status'!$A$8:$C$400,3,FALSE()),""))</f>
        <v>46387</v>
      </c>
      <c r="D882" s="31" t="s">
        <v>1189</v>
      </c>
      <c r="E882" s="30" t="n">
        <v>29718</v>
      </c>
      <c r="F882" s="32" t="n">
        <v>1</v>
      </c>
      <c r="G882" s="33" t="n">
        <v>46048</v>
      </c>
      <c r="H882" s="33" t="n">
        <v>46048</v>
      </c>
      <c r="I882" s="31" t="s">
        <v>1190</v>
      </c>
      <c r="J882" s="30" t="s">
        <v>1123</v>
      </c>
      <c r="K882" s="31" t="s">
        <v>407</v>
      </c>
      <c r="L882" s="32" t="n">
        <v>1</v>
      </c>
      <c r="M882" s="38" t="s">
        <v>408</v>
      </c>
      <c r="N882" s="31" t="s">
        <v>409</v>
      </c>
      <c r="O882" s="32" t="n">
        <v>1</v>
      </c>
      <c r="P882" s="15" t="n">
        <f aca="false">IF(A882="","",IF(O882&lt;&gt;"",O882,IF(L882&lt;&gt;"",L882,F882)))</f>
        <v>1</v>
      </c>
    </row>
    <row r="883" customFormat="false" ht="15" hidden="false" customHeight="true" outlineLevel="0" collapsed="false">
      <c r="A883" s="26" t="s">
        <v>110</v>
      </c>
      <c r="B883" s="26" t="s">
        <v>111</v>
      </c>
      <c r="C883" s="14" t="n">
        <f aca="false">IF(A883="","",IFERROR(VLOOKUP(A883,'Recert Status'!$A$8:$C$400,3,FALSE()),""))</f>
        <v>46387</v>
      </c>
      <c r="D883" s="18" t="s">
        <v>1191</v>
      </c>
      <c r="E883" s="26" t="s">
        <v>416</v>
      </c>
      <c r="F883" s="27" t="n">
        <v>1</v>
      </c>
      <c r="G883" s="28" t="n">
        <v>45825</v>
      </c>
      <c r="H883" s="28" t="n">
        <v>45825</v>
      </c>
      <c r="I883" s="18" t="s">
        <v>1192</v>
      </c>
      <c r="J883" s="26" t="s">
        <v>416</v>
      </c>
      <c r="K883" s="18" t="s">
        <v>456</v>
      </c>
      <c r="L883" s="27" t="n">
        <v>1</v>
      </c>
      <c r="M883" s="39" t="s">
        <v>413</v>
      </c>
      <c r="N883" s="18" t="s">
        <v>414</v>
      </c>
      <c r="O883" s="27" t="n">
        <v>1</v>
      </c>
      <c r="P883" s="15" t="n">
        <f aca="false">IF(A883="","",IF(O883&lt;&gt;"",O883,IF(L883&lt;&gt;"",L883,F883)))</f>
        <v>1</v>
      </c>
    </row>
    <row r="884" customFormat="false" ht="15" hidden="false" customHeight="true" outlineLevel="0" collapsed="false">
      <c r="A884" s="30" t="s">
        <v>110</v>
      </c>
      <c r="B884" s="30" t="s">
        <v>111</v>
      </c>
      <c r="C884" s="21" t="n">
        <f aca="false">IF(A884="","",IFERROR(VLOOKUP(A884,'Recert Status'!$A$8:$C$400,3,FALSE()),""))</f>
        <v>46387</v>
      </c>
      <c r="D884" s="31" t="s">
        <v>822</v>
      </c>
      <c r="E884" s="30" t="s">
        <v>416</v>
      </c>
      <c r="F884" s="32" t="n">
        <v>2</v>
      </c>
      <c r="G884" s="33" t="n">
        <v>45861</v>
      </c>
      <c r="H884" s="33" t="n">
        <v>45861</v>
      </c>
      <c r="I884" s="31" t="s">
        <v>823</v>
      </c>
      <c r="J884" s="30" t="s">
        <v>416</v>
      </c>
      <c r="K884" s="31" t="s">
        <v>523</v>
      </c>
      <c r="L884" s="32" t="n">
        <v>2</v>
      </c>
      <c r="M884" s="39" t="s">
        <v>413</v>
      </c>
      <c r="N884" s="31" t="s">
        <v>414</v>
      </c>
      <c r="O884" s="32" t="n">
        <v>2</v>
      </c>
      <c r="P884" s="15" t="n">
        <f aca="false">IF(A884="","",IF(O884&lt;&gt;"",O884,IF(L884&lt;&gt;"",L884,F884)))</f>
        <v>2</v>
      </c>
    </row>
    <row r="885" customFormat="false" ht="15" hidden="false" customHeight="true" outlineLevel="0" collapsed="false">
      <c r="A885" s="26" t="s">
        <v>110</v>
      </c>
      <c r="B885" s="26" t="s">
        <v>111</v>
      </c>
      <c r="C885" s="14" t="n">
        <f aca="false">IF(A885="","",IFERROR(VLOOKUP(A885,'Recert Status'!$A$8:$C$400,3,FALSE()),""))</f>
        <v>46387</v>
      </c>
      <c r="D885" s="18" t="s">
        <v>457</v>
      </c>
      <c r="E885" s="26" t="s">
        <v>416</v>
      </c>
      <c r="F885" s="27" t="n">
        <v>1</v>
      </c>
      <c r="G885" s="28" t="n">
        <v>45897</v>
      </c>
      <c r="H885" s="28" t="n">
        <v>45897</v>
      </c>
      <c r="I885" s="18" t="s">
        <v>1193</v>
      </c>
      <c r="J885" s="26" t="s">
        <v>416</v>
      </c>
      <c r="K885" s="18" t="s">
        <v>485</v>
      </c>
      <c r="L885" s="27" t="n">
        <v>1</v>
      </c>
      <c r="M885" s="39" t="s">
        <v>413</v>
      </c>
      <c r="N885" s="18" t="s">
        <v>414</v>
      </c>
      <c r="O885" s="27" t="n">
        <v>1</v>
      </c>
      <c r="P885" s="15" t="n">
        <f aca="false">IF(A885="","",IF(O885&lt;&gt;"",O885,IF(L885&lt;&gt;"",L885,F885)))</f>
        <v>1</v>
      </c>
    </row>
    <row r="886" customFormat="false" ht="15" hidden="false" customHeight="true" outlineLevel="0" collapsed="false">
      <c r="A886" s="30" t="s">
        <v>110</v>
      </c>
      <c r="B886" s="30" t="s">
        <v>111</v>
      </c>
      <c r="C886" s="21" t="n">
        <f aca="false">IF(A886="","",IFERROR(VLOOKUP(A886,'Recert Status'!$A$8:$C$400,3,FALSE()),""))</f>
        <v>46387</v>
      </c>
      <c r="D886" s="31" t="s">
        <v>959</v>
      </c>
      <c r="E886" s="30" t="s">
        <v>416</v>
      </c>
      <c r="F886" s="32" t="n">
        <v>1</v>
      </c>
      <c r="G886" s="33" t="n">
        <v>45927</v>
      </c>
      <c r="H886" s="33" t="n">
        <v>45927</v>
      </c>
      <c r="I886" s="31" t="s">
        <v>1194</v>
      </c>
      <c r="J886" s="30" t="s">
        <v>416</v>
      </c>
      <c r="K886" s="31" t="s">
        <v>456</v>
      </c>
      <c r="L886" s="32" t="n">
        <v>1</v>
      </c>
      <c r="M886" s="39" t="s">
        <v>413</v>
      </c>
      <c r="N886" s="31" t="s">
        <v>414</v>
      </c>
      <c r="O886" s="32" t="n">
        <v>1</v>
      </c>
      <c r="P886" s="15" t="n">
        <f aca="false">IF(A886="","",IF(O886&lt;&gt;"",O886,IF(L886&lt;&gt;"",L886,F886)))</f>
        <v>1</v>
      </c>
    </row>
    <row r="887" customFormat="false" ht="15" hidden="false" customHeight="true" outlineLevel="0" collapsed="false">
      <c r="A887" s="26" t="s">
        <v>110</v>
      </c>
      <c r="B887" s="26" t="s">
        <v>111</v>
      </c>
      <c r="C887" s="14" t="n">
        <f aca="false">IF(A887="","",IFERROR(VLOOKUP(A887,'Recert Status'!$A$8:$C$400,3,FALSE()),""))</f>
        <v>46387</v>
      </c>
      <c r="D887" s="18" t="s">
        <v>488</v>
      </c>
      <c r="E887" s="26" t="s">
        <v>416</v>
      </c>
      <c r="F887" s="27" t="n">
        <v>1</v>
      </c>
      <c r="G887" s="28" t="n">
        <v>46127</v>
      </c>
      <c r="H887" s="28" t="n">
        <v>46127</v>
      </c>
      <c r="I887" s="18" t="s">
        <v>534</v>
      </c>
      <c r="J887" s="26" t="s">
        <v>416</v>
      </c>
      <c r="K887" s="18" t="s">
        <v>490</v>
      </c>
      <c r="L887" s="27" t="n">
        <v>1</v>
      </c>
      <c r="M887" s="39" t="s">
        <v>413</v>
      </c>
      <c r="N887" s="18" t="s">
        <v>414</v>
      </c>
      <c r="O887" s="27" t="n">
        <v>1</v>
      </c>
      <c r="P887" s="15" t="n">
        <f aca="false">IF(A887="","",IF(O887&lt;&gt;"",O887,IF(L887&lt;&gt;"",L887,F887)))</f>
        <v>1</v>
      </c>
    </row>
    <row r="888" customFormat="false" ht="15" hidden="false" customHeight="true" outlineLevel="0" collapsed="false">
      <c r="A888" s="30" t="s">
        <v>112</v>
      </c>
      <c r="B888" s="30" t="s">
        <v>113</v>
      </c>
      <c r="C888" s="21" t="n">
        <f aca="false">IF(A888="","",IFERROR(VLOOKUP(A888,'Recert Status'!$A$8:$C$400,3,FALSE()),""))</f>
        <v>46752</v>
      </c>
      <c r="D888" s="31" t="s">
        <v>362</v>
      </c>
      <c r="E888" s="30" t="s">
        <v>363</v>
      </c>
      <c r="F888" s="32" t="n">
        <v>1</v>
      </c>
      <c r="G888" s="33" t="n">
        <v>45832</v>
      </c>
      <c r="H888" s="33" t="n">
        <v>45832</v>
      </c>
      <c r="I888" s="31" t="s">
        <v>461</v>
      </c>
      <c r="J888" s="30" t="s">
        <v>363</v>
      </c>
      <c r="K888" s="31" t="s">
        <v>365</v>
      </c>
      <c r="L888" s="32" t="n">
        <v>1</v>
      </c>
      <c r="M888" s="29" t="s">
        <v>366</v>
      </c>
      <c r="N888" s="31" t="s">
        <v>367</v>
      </c>
      <c r="O888" s="32" t="n">
        <v>1</v>
      </c>
      <c r="P888" s="15" t="n">
        <f aca="false">IF(A888="","",IF(O888&lt;&gt;"",O888,IF(L888&lt;&gt;"",L888,F888)))</f>
        <v>1</v>
      </c>
    </row>
    <row r="889" customFormat="false" ht="15" hidden="false" customHeight="true" outlineLevel="0" collapsed="false">
      <c r="A889" s="26" t="s">
        <v>112</v>
      </c>
      <c r="B889" s="26" t="s">
        <v>113</v>
      </c>
      <c r="C889" s="14" t="n">
        <f aca="false">IF(A889="","",IFERROR(VLOOKUP(A889,'Recert Status'!$A$8:$C$400,3,FALSE()),""))</f>
        <v>46752</v>
      </c>
      <c r="D889" s="18" t="s">
        <v>1195</v>
      </c>
      <c r="E889" s="26" t="s">
        <v>363</v>
      </c>
      <c r="F889" s="27" t="n">
        <v>1</v>
      </c>
      <c r="G889" s="28" t="n">
        <v>45919</v>
      </c>
      <c r="H889" s="28" t="n">
        <v>45919</v>
      </c>
      <c r="I889" s="18" t="s">
        <v>1196</v>
      </c>
      <c r="J889" s="26" t="s">
        <v>363</v>
      </c>
      <c r="K889" s="18" t="s">
        <v>365</v>
      </c>
      <c r="L889" s="27" t="n">
        <v>1</v>
      </c>
      <c r="M889" s="29" t="s">
        <v>366</v>
      </c>
      <c r="N889" s="18" t="s">
        <v>367</v>
      </c>
      <c r="O889" s="27" t="n">
        <v>1</v>
      </c>
      <c r="P889" s="15" t="n">
        <f aca="false">IF(A889="","",IF(O889&lt;&gt;"",O889,IF(L889&lt;&gt;"",L889,F889)))</f>
        <v>1</v>
      </c>
    </row>
    <row r="890" customFormat="false" ht="15" hidden="false" customHeight="true" outlineLevel="0" collapsed="false">
      <c r="A890" s="30" t="s">
        <v>112</v>
      </c>
      <c r="B890" s="30" t="s">
        <v>113</v>
      </c>
      <c r="C890" s="21" t="n">
        <f aca="false">IF(A890="","",IFERROR(VLOOKUP(A890,'Recert Status'!$A$8:$C$400,3,FALSE()),""))</f>
        <v>46752</v>
      </c>
      <c r="D890" s="31" t="s">
        <v>367</v>
      </c>
      <c r="E890" s="30" t="s">
        <v>363</v>
      </c>
      <c r="F890" s="32" t="n">
        <v>1</v>
      </c>
      <c r="G890" s="33" t="n">
        <v>46243</v>
      </c>
      <c r="H890" s="33" t="n">
        <v>46243</v>
      </c>
      <c r="I890" s="31" t="s">
        <v>1197</v>
      </c>
      <c r="J890" s="30" t="s">
        <v>363</v>
      </c>
      <c r="K890" s="31" t="s">
        <v>370</v>
      </c>
      <c r="L890" s="32" t="n">
        <v>1</v>
      </c>
      <c r="M890" s="29" t="s">
        <v>366</v>
      </c>
      <c r="N890" s="31" t="s">
        <v>367</v>
      </c>
      <c r="O890" s="32" t="n">
        <v>1</v>
      </c>
      <c r="P890" s="15" t="n">
        <f aca="false">IF(A890="","",IF(O890&lt;&gt;"",O890,IF(L890&lt;&gt;"",L890,F890)))</f>
        <v>1</v>
      </c>
    </row>
    <row r="891" customFormat="false" ht="15" hidden="false" customHeight="true" outlineLevel="0" collapsed="false">
      <c r="A891" s="26" t="s">
        <v>112</v>
      </c>
      <c r="B891" s="26" t="s">
        <v>113</v>
      </c>
      <c r="C891" s="14" t="n">
        <f aca="false">IF(A891="","",IFERROR(VLOOKUP(A891,'Recert Status'!$A$8:$C$400,3,FALSE()),""))</f>
        <v>46752</v>
      </c>
      <c r="D891" s="18" t="s">
        <v>1125</v>
      </c>
      <c r="E891" s="26" t="s">
        <v>542</v>
      </c>
      <c r="F891" s="27" t="n">
        <v>0.5</v>
      </c>
      <c r="G891" s="28" t="n">
        <v>45745</v>
      </c>
      <c r="H891" s="28" t="n">
        <v>45745</v>
      </c>
      <c r="I891" s="18" t="s">
        <v>1126</v>
      </c>
      <c r="J891" s="26" t="s">
        <v>542</v>
      </c>
      <c r="K891" s="18" t="s">
        <v>422</v>
      </c>
      <c r="L891" s="27" t="n">
        <v>0.5</v>
      </c>
      <c r="M891" s="40" t="s">
        <v>423</v>
      </c>
      <c r="N891" s="18" t="s">
        <v>424</v>
      </c>
      <c r="O891" s="27" t="n">
        <v>0.5</v>
      </c>
      <c r="P891" s="15" t="n">
        <f aca="false">IF(A891="","",IF(O891&lt;&gt;"",O891,IF(L891&lt;&gt;"",L891,F891)))</f>
        <v>0.5</v>
      </c>
    </row>
    <row r="892" customFormat="false" ht="15" hidden="false" customHeight="true" outlineLevel="0" collapsed="false">
      <c r="A892" s="30" t="s">
        <v>112</v>
      </c>
      <c r="B892" s="30" t="s">
        <v>113</v>
      </c>
      <c r="C892" s="21" t="n">
        <f aca="false">IF(A892="","",IFERROR(VLOOKUP(A892,'Recert Status'!$A$8:$C$400,3,FALSE()),""))</f>
        <v>46752</v>
      </c>
      <c r="D892" s="31" t="s">
        <v>584</v>
      </c>
      <c r="E892" s="30" t="s">
        <v>542</v>
      </c>
      <c r="F892" s="32" t="n">
        <v>3</v>
      </c>
      <c r="G892" s="33" t="n">
        <v>45892</v>
      </c>
      <c r="H892" s="33" t="n">
        <v>45892</v>
      </c>
      <c r="I892" s="31" t="s">
        <v>585</v>
      </c>
      <c r="J892" s="30" t="s">
        <v>542</v>
      </c>
      <c r="K892" s="31" t="s">
        <v>586</v>
      </c>
      <c r="L892" s="32" t="n">
        <v>3</v>
      </c>
      <c r="M892" s="40" t="s">
        <v>423</v>
      </c>
      <c r="N892" s="31" t="s">
        <v>424</v>
      </c>
      <c r="O892" s="32" t="n">
        <v>3</v>
      </c>
      <c r="P892" s="15" t="n">
        <f aca="false">IF(A892="","",IF(O892&lt;&gt;"",O892,IF(L892&lt;&gt;"",L892,F892)))</f>
        <v>3</v>
      </c>
    </row>
    <row r="893" customFormat="false" ht="15" hidden="false" customHeight="true" outlineLevel="0" collapsed="false">
      <c r="A893" s="26" t="s">
        <v>112</v>
      </c>
      <c r="B893" s="26" t="s">
        <v>113</v>
      </c>
      <c r="C893" s="14" t="n">
        <f aca="false">IF(A893="","",IFERROR(VLOOKUP(A893,'Recert Status'!$A$8:$C$400,3,FALSE()),""))</f>
        <v>46752</v>
      </c>
      <c r="D893" s="18" t="s">
        <v>1198</v>
      </c>
      <c r="E893" s="26" t="s">
        <v>426</v>
      </c>
      <c r="F893" s="27" t="n">
        <v>1</v>
      </c>
      <c r="G893" s="28" t="n">
        <v>45697</v>
      </c>
      <c r="H893" s="28" t="n">
        <v>45697</v>
      </c>
      <c r="I893" s="18" t="s">
        <v>1199</v>
      </c>
      <c r="J893" s="26" t="s">
        <v>426</v>
      </c>
      <c r="K893" s="18" t="s">
        <v>428</v>
      </c>
      <c r="L893" s="27" t="n">
        <v>1</v>
      </c>
      <c r="M893" s="41" t="s">
        <v>429</v>
      </c>
      <c r="N893" s="18" t="s">
        <v>430</v>
      </c>
      <c r="O893" s="27" t="n">
        <v>1</v>
      </c>
      <c r="P893" s="15" t="n">
        <f aca="false">IF(A893="","",IF(O893&lt;&gt;"",O893,IF(L893&lt;&gt;"",L893,F893)))</f>
        <v>1</v>
      </c>
    </row>
    <row r="894" customFormat="false" ht="15" hidden="false" customHeight="true" outlineLevel="0" collapsed="false">
      <c r="A894" s="30" t="s">
        <v>112</v>
      </c>
      <c r="B894" s="30" t="s">
        <v>113</v>
      </c>
      <c r="C894" s="21" t="n">
        <f aca="false">IF(A894="","",IFERROR(VLOOKUP(A894,'Recert Status'!$A$8:$C$400,3,FALSE()),""))</f>
        <v>46752</v>
      </c>
      <c r="D894" s="31" t="s">
        <v>680</v>
      </c>
      <c r="E894" s="30" t="s">
        <v>426</v>
      </c>
      <c r="F894" s="32" t="n">
        <v>2</v>
      </c>
      <c r="G894" s="33" t="n">
        <v>45697</v>
      </c>
      <c r="H894" s="33" t="n">
        <v>45697</v>
      </c>
      <c r="I894" s="31" t="s">
        <v>1200</v>
      </c>
      <c r="J894" s="30" t="s">
        <v>426</v>
      </c>
      <c r="K894" s="31" t="s">
        <v>422</v>
      </c>
      <c r="L894" s="32" t="n">
        <v>2</v>
      </c>
      <c r="M894" s="41" t="s">
        <v>429</v>
      </c>
      <c r="N894" s="31" t="s">
        <v>430</v>
      </c>
      <c r="O894" s="32" t="n">
        <v>2</v>
      </c>
      <c r="P894" s="15" t="n">
        <f aca="false">IF(A894="","",IF(O894&lt;&gt;"",O894,IF(L894&lt;&gt;"",L894,F894)))</f>
        <v>2</v>
      </c>
    </row>
    <row r="895" customFormat="false" ht="15" hidden="false" customHeight="true" outlineLevel="0" collapsed="false">
      <c r="A895" s="26" t="s">
        <v>112</v>
      </c>
      <c r="B895" s="26" t="s">
        <v>113</v>
      </c>
      <c r="C895" s="14" t="n">
        <f aca="false">IF(A895="","",IFERROR(VLOOKUP(A895,'Recert Status'!$A$8:$C$400,3,FALSE()),""))</f>
        <v>46752</v>
      </c>
      <c r="D895" s="18" t="s">
        <v>1201</v>
      </c>
      <c r="E895" s="26" t="s">
        <v>389</v>
      </c>
      <c r="F895" s="27" t="n">
        <v>1</v>
      </c>
      <c r="G895" s="28" t="n">
        <v>45838</v>
      </c>
      <c r="H895" s="28" t="n">
        <v>45838</v>
      </c>
      <c r="I895" s="18" t="s">
        <v>1197</v>
      </c>
      <c r="J895" s="26" t="s">
        <v>389</v>
      </c>
      <c r="K895" s="18" t="s">
        <v>495</v>
      </c>
      <c r="L895" s="27" t="n">
        <v>1</v>
      </c>
      <c r="M895" s="35" t="s">
        <v>386</v>
      </c>
      <c r="N895" s="18" t="s">
        <v>387</v>
      </c>
      <c r="O895" s="27" t="n">
        <v>1</v>
      </c>
      <c r="P895" s="15" t="n">
        <f aca="false">IF(A895="","",IF(O895&lt;&gt;"",O895,IF(L895&lt;&gt;"",L895,F895)))</f>
        <v>1</v>
      </c>
    </row>
    <row r="896" customFormat="false" ht="15" hidden="false" customHeight="true" outlineLevel="0" collapsed="false">
      <c r="A896" s="30" t="s">
        <v>112</v>
      </c>
      <c r="B896" s="30" t="s">
        <v>113</v>
      </c>
      <c r="C896" s="21" t="n">
        <f aca="false">IF(A896="","",IFERROR(VLOOKUP(A896,'Recert Status'!$A$8:$C$400,3,FALSE()),""))</f>
        <v>46752</v>
      </c>
      <c r="D896" s="31" t="s">
        <v>469</v>
      </c>
      <c r="E896" s="30" t="n">
        <v>29737</v>
      </c>
      <c r="F896" s="32" t="n">
        <v>0.5</v>
      </c>
      <c r="G896" s="33" t="n">
        <v>45841</v>
      </c>
      <c r="H896" s="33" t="n">
        <v>45841</v>
      </c>
      <c r="I896" s="31" t="s">
        <v>470</v>
      </c>
      <c r="J896" s="30" t="s">
        <v>411</v>
      </c>
      <c r="K896" s="31" t="s">
        <v>412</v>
      </c>
      <c r="L896" s="32" t="n">
        <v>0.5</v>
      </c>
      <c r="M896" s="35" t="s">
        <v>386</v>
      </c>
      <c r="N896" s="31" t="s">
        <v>387</v>
      </c>
      <c r="O896" s="32" t="n">
        <v>0.5</v>
      </c>
      <c r="P896" s="15" t="n">
        <f aca="false">IF(A896="","",IF(O896&lt;&gt;"",O896,IF(L896&lt;&gt;"",L896,F896)))</f>
        <v>0.5</v>
      </c>
    </row>
    <row r="897" customFormat="false" ht="15" hidden="false" customHeight="true" outlineLevel="0" collapsed="false">
      <c r="A897" s="26" t="s">
        <v>112</v>
      </c>
      <c r="B897" s="26" t="s">
        <v>113</v>
      </c>
      <c r="C897" s="14" t="n">
        <f aca="false">IF(A897="","",IFERROR(VLOOKUP(A897,'Recert Status'!$A$8:$C$400,3,FALSE()),""))</f>
        <v>46752</v>
      </c>
      <c r="D897" s="18" t="s">
        <v>382</v>
      </c>
      <c r="E897" s="26" t="n">
        <v>35513</v>
      </c>
      <c r="F897" s="27" t="n">
        <v>2</v>
      </c>
      <c r="G897" s="28" t="n">
        <v>45883</v>
      </c>
      <c r="H897" s="28" t="n">
        <v>45883</v>
      </c>
      <c r="I897" s="18" t="s">
        <v>383</v>
      </c>
      <c r="J897" s="26" t="s">
        <v>384</v>
      </c>
      <c r="K897" s="18" t="s">
        <v>385</v>
      </c>
      <c r="L897" s="27" t="n">
        <v>2</v>
      </c>
      <c r="M897" s="35" t="s">
        <v>386</v>
      </c>
      <c r="N897" s="18" t="s">
        <v>387</v>
      </c>
      <c r="O897" s="27" t="n">
        <v>2</v>
      </c>
      <c r="P897" s="15" t="n">
        <f aca="false">IF(A897="","",IF(O897&lt;&gt;"",O897,IF(L897&lt;&gt;"",L897,F897)))</f>
        <v>2</v>
      </c>
    </row>
    <row r="898" customFormat="false" ht="15" hidden="false" customHeight="true" outlineLevel="0" collapsed="false">
      <c r="A898" s="30" t="s">
        <v>112</v>
      </c>
      <c r="B898" s="30" t="s">
        <v>113</v>
      </c>
      <c r="C898" s="21" t="n">
        <f aca="false">IF(A898="","",IFERROR(VLOOKUP(A898,'Recert Status'!$A$8:$C$400,3,FALSE()),""))</f>
        <v>46752</v>
      </c>
      <c r="D898" s="31" t="s">
        <v>591</v>
      </c>
      <c r="E898" s="30" t="n">
        <v>57435</v>
      </c>
      <c r="F898" s="32" t="n">
        <v>0.5</v>
      </c>
      <c r="G898" s="33" t="n">
        <v>45985</v>
      </c>
      <c r="H898" s="33" t="n">
        <v>45985</v>
      </c>
      <c r="I898" s="31" t="s">
        <v>592</v>
      </c>
      <c r="J898" s="30" t="s">
        <v>593</v>
      </c>
      <c r="K898" s="31" t="s">
        <v>446</v>
      </c>
      <c r="L898" s="32" t="n">
        <v>0.5</v>
      </c>
      <c r="M898" s="35" t="s">
        <v>386</v>
      </c>
      <c r="N898" s="31" t="s">
        <v>387</v>
      </c>
      <c r="O898" s="32" t="n">
        <v>0.5</v>
      </c>
      <c r="P898" s="15" t="n">
        <f aca="false">IF(A898="","",IF(O898&lt;&gt;"",O898,IF(L898&lt;&gt;"",L898,F898)))</f>
        <v>0.5</v>
      </c>
    </row>
    <row r="899" customFormat="false" ht="15" hidden="false" customHeight="true" outlineLevel="0" collapsed="false">
      <c r="A899" s="26" t="s">
        <v>112</v>
      </c>
      <c r="B899" s="26" t="s">
        <v>113</v>
      </c>
      <c r="C899" s="14" t="n">
        <f aca="false">IF(A899="","",IFERROR(VLOOKUP(A899,'Recert Status'!$A$8:$C$400,3,FALSE()),""))</f>
        <v>46752</v>
      </c>
      <c r="D899" s="18" t="s">
        <v>387</v>
      </c>
      <c r="E899" s="26" t="s">
        <v>389</v>
      </c>
      <c r="F899" s="27" t="n">
        <v>1</v>
      </c>
      <c r="G899" s="28" t="n">
        <v>45985</v>
      </c>
      <c r="H899" s="28" t="n">
        <v>45985</v>
      </c>
      <c r="I899" s="18" t="s">
        <v>1061</v>
      </c>
      <c r="J899" s="26" t="s">
        <v>389</v>
      </c>
      <c r="K899" s="18" t="s">
        <v>451</v>
      </c>
      <c r="L899" s="27" t="n">
        <v>1</v>
      </c>
      <c r="M899" s="35" t="s">
        <v>386</v>
      </c>
      <c r="N899" s="18" t="s">
        <v>387</v>
      </c>
      <c r="O899" s="27" t="n">
        <v>1</v>
      </c>
      <c r="P899" s="15" t="n">
        <f aca="false">IF(A899="","",IF(O899&lt;&gt;"",O899,IF(L899&lt;&gt;"",L899,F899)))</f>
        <v>1</v>
      </c>
    </row>
    <row r="900" customFormat="false" ht="15" hidden="false" customHeight="true" outlineLevel="0" collapsed="false">
      <c r="A900" s="30" t="s">
        <v>112</v>
      </c>
      <c r="B900" s="30" t="s">
        <v>113</v>
      </c>
      <c r="C900" s="21" t="n">
        <f aca="false">IF(A900="","",IFERROR(VLOOKUP(A900,'Recert Status'!$A$8:$C$400,3,FALSE()),""))</f>
        <v>46752</v>
      </c>
      <c r="D900" s="31" t="s">
        <v>449</v>
      </c>
      <c r="E900" s="30" t="n">
        <v>29675</v>
      </c>
      <c r="F900" s="32" t="n">
        <v>3</v>
      </c>
      <c r="G900" s="33" t="n">
        <v>46078</v>
      </c>
      <c r="H900" s="33" t="n">
        <v>46078</v>
      </c>
      <c r="I900" s="31" t="s">
        <v>1135</v>
      </c>
      <c r="J900" s="30" t="s">
        <v>406</v>
      </c>
      <c r="K900" s="31" t="s">
        <v>1136</v>
      </c>
      <c r="L900" s="32" t="n">
        <v>3</v>
      </c>
      <c r="M900" s="35" t="s">
        <v>386</v>
      </c>
      <c r="N900" s="31" t="s">
        <v>387</v>
      </c>
      <c r="O900" s="32" t="n">
        <v>3</v>
      </c>
      <c r="P900" s="15" t="n">
        <f aca="false">IF(A900="","",IF(O900&lt;&gt;"",O900,IF(L900&lt;&gt;"",L900,F900)))</f>
        <v>3</v>
      </c>
    </row>
    <row r="901" customFormat="false" ht="15" hidden="false" customHeight="true" outlineLevel="0" collapsed="false">
      <c r="A901" s="26" t="s">
        <v>112</v>
      </c>
      <c r="B901" s="26" t="s">
        <v>113</v>
      </c>
      <c r="C901" s="14" t="n">
        <f aca="false">IF(A901="","",IFERROR(VLOOKUP(A901,'Recert Status'!$A$8:$C$400,3,FALSE()),""))</f>
        <v>46752</v>
      </c>
      <c r="D901" s="18" t="s">
        <v>474</v>
      </c>
      <c r="E901" s="26" t="s">
        <v>389</v>
      </c>
      <c r="F901" s="27" t="n">
        <v>1</v>
      </c>
      <c r="G901" s="28" t="n">
        <v>46204</v>
      </c>
      <c r="H901" s="28" t="n">
        <v>46204</v>
      </c>
      <c r="I901" s="18" t="s">
        <v>475</v>
      </c>
      <c r="J901" s="26" t="s">
        <v>389</v>
      </c>
      <c r="K901" s="18" t="s">
        <v>476</v>
      </c>
      <c r="L901" s="27" t="n">
        <v>1</v>
      </c>
      <c r="M901" s="35" t="s">
        <v>386</v>
      </c>
      <c r="N901" s="18" t="s">
        <v>387</v>
      </c>
      <c r="O901" s="27" t="n">
        <v>1</v>
      </c>
      <c r="P901" s="15" t="n">
        <f aca="false">IF(A901="","",IF(O901&lt;&gt;"",O901,IF(L901&lt;&gt;"",L901,F901)))</f>
        <v>1</v>
      </c>
    </row>
    <row r="902" customFormat="false" ht="15" hidden="false" customHeight="true" outlineLevel="0" collapsed="false">
      <c r="A902" s="30" t="s">
        <v>112</v>
      </c>
      <c r="B902" s="30" t="s">
        <v>113</v>
      </c>
      <c r="C902" s="21" t="n">
        <f aca="false">IF(A902="","",IFERROR(VLOOKUP(A902,'Recert Status'!$A$8:$C$400,3,FALSE()),""))</f>
        <v>46752</v>
      </c>
      <c r="D902" s="31" t="s">
        <v>387</v>
      </c>
      <c r="E902" s="30" t="s">
        <v>389</v>
      </c>
      <c r="F902" s="32" t="n">
        <v>1</v>
      </c>
      <c r="G902" s="33" t="n">
        <v>46243</v>
      </c>
      <c r="H902" s="33" t="n">
        <v>46243</v>
      </c>
      <c r="I902" s="31" t="s">
        <v>1063</v>
      </c>
      <c r="J902" s="30" t="s">
        <v>389</v>
      </c>
      <c r="K902" s="31" t="s">
        <v>451</v>
      </c>
      <c r="L902" s="32" t="n">
        <v>1</v>
      </c>
      <c r="M902" s="35" t="s">
        <v>386</v>
      </c>
      <c r="N902" s="31" t="s">
        <v>387</v>
      </c>
      <c r="O902" s="32" t="n">
        <v>1</v>
      </c>
      <c r="P902" s="15" t="n">
        <f aca="false">IF(A902="","",IF(O902&lt;&gt;"",O902,IF(L902&lt;&gt;"",L902,F902)))</f>
        <v>1</v>
      </c>
    </row>
    <row r="903" customFormat="false" ht="15" hidden="false" customHeight="true" outlineLevel="0" collapsed="false">
      <c r="A903" s="26" t="s">
        <v>112</v>
      </c>
      <c r="B903" s="26" t="s">
        <v>113</v>
      </c>
      <c r="C903" s="14" t="n">
        <f aca="false">IF(A903="","",IFERROR(VLOOKUP(A903,'Recert Status'!$A$8:$C$400,3,FALSE()),""))</f>
        <v>46752</v>
      </c>
      <c r="D903" s="18" t="s">
        <v>387</v>
      </c>
      <c r="E903" s="26" t="s">
        <v>389</v>
      </c>
      <c r="F903" s="27" t="n">
        <v>1</v>
      </c>
      <c r="G903" s="28" t="n">
        <v>46243</v>
      </c>
      <c r="H903" s="28" t="n">
        <v>46243</v>
      </c>
      <c r="I903" s="18" t="s">
        <v>1202</v>
      </c>
      <c r="J903" s="26" t="s">
        <v>389</v>
      </c>
      <c r="K903" s="18" t="s">
        <v>451</v>
      </c>
      <c r="L903" s="27" t="n">
        <v>1</v>
      </c>
      <c r="M903" s="35" t="s">
        <v>386</v>
      </c>
      <c r="N903" s="18" t="s">
        <v>387</v>
      </c>
      <c r="O903" s="27" t="n">
        <v>1</v>
      </c>
      <c r="P903" s="15" t="n">
        <f aca="false">IF(A903="","",IF(O903&lt;&gt;"",O903,IF(L903&lt;&gt;"",L903,F903)))</f>
        <v>1</v>
      </c>
    </row>
    <row r="904" customFormat="false" ht="15" hidden="false" customHeight="true" outlineLevel="0" collapsed="false">
      <c r="A904" s="30" t="s">
        <v>112</v>
      </c>
      <c r="B904" s="30" t="s">
        <v>113</v>
      </c>
      <c r="C904" s="21" t="n">
        <f aca="false">IF(A904="","",IFERROR(VLOOKUP(A904,'Recert Status'!$A$8:$C$400,3,FALSE()),""))</f>
        <v>46752</v>
      </c>
      <c r="D904" s="31" t="s">
        <v>387</v>
      </c>
      <c r="E904" s="30" t="s">
        <v>389</v>
      </c>
      <c r="F904" s="32" t="n">
        <v>1</v>
      </c>
      <c r="G904" s="33" t="n">
        <v>46246</v>
      </c>
      <c r="H904" s="33" t="n">
        <v>46246</v>
      </c>
      <c r="I904" s="31" t="s">
        <v>1203</v>
      </c>
      <c r="J904" s="30" t="s">
        <v>389</v>
      </c>
      <c r="K904" s="31" t="s">
        <v>468</v>
      </c>
      <c r="L904" s="32" t="n">
        <v>1</v>
      </c>
      <c r="M904" s="35" t="s">
        <v>386</v>
      </c>
      <c r="N904" s="31" t="s">
        <v>387</v>
      </c>
      <c r="O904" s="32" t="n">
        <v>1</v>
      </c>
      <c r="P904" s="15" t="n">
        <f aca="false">IF(A904="","",IF(O904&lt;&gt;"",O904,IF(L904&lt;&gt;"",L904,F904)))</f>
        <v>1</v>
      </c>
    </row>
    <row r="905" customFormat="false" ht="15" hidden="false" customHeight="true" outlineLevel="0" collapsed="false">
      <c r="A905" s="26" t="s">
        <v>112</v>
      </c>
      <c r="B905" s="26" t="s">
        <v>113</v>
      </c>
      <c r="C905" s="14" t="n">
        <f aca="false">IF(A905="","",IFERROR(VLOOKUP(A905,'Recert Status'!$A$8:$C$400,3,FALSE()),""))</f>
        <v>46752</v>
      </c>
      <c r="D905" s="18" t="s">
        <v>397</v>
      </c>
      <c r="E905" s="26" t="s">
        <v>452</v>
      </c>
      <c r="F905" s="27" t="n">
        <v>1</v>
      </c>
      <c r="G905" s="28" t="n">
        <v>46246</v>
      </c>
      <c r="H905" s="28" t="n">
        <v>46246</v>
      </c>
      <c r="I905" s="18" t="s">
        <v>478</v>
      </c>
      <c r="J905" s="26" t="s">
        <v>452</v>
      </c>
      <c r="K905" s="18" t="s">
        <v>385</v>
      </c>
      <c r="L905" s="27" t="n">
        <v>1</v>
      </c>
      <c r="M905" s="36" t="s">
        <v>396</v>
      </c>
      <c r="N905" s="18" t="s">
        <v>397</v>
      </c>
      <c r="O905" s="27" t="n">
        <v>1</v>
      </c>
      <c r="P905" s="15" t="n">
        <f aca="false">IF(A905="","",IF(O905&lt;&gt;"",O905,IF(L905&lt;&gt;"",L905,F905)))</f>
        <v>1</v>
      </c>
    </row>
    <row r="906" customFormat="false" ht="15" hidden="false" customHeight="true" outlineLevel="0" collapsed="false">
      <c r="A906" s="30" t="s">
        <v>112</v>
      </c>
      <c r="B906" s="30" t="s">
        <v>113</v>
      </c>
      <c r="C906" s="21" t="n">
        <f aca="false">IF(A906="","",IFERROR(VLOOKUP(A906,'Recert Status'!$A$8:$C$400,3,FALSE()),""))</f>
        <v>46752</v>
      </c>
      <c r="D906" s="31" t="s">
        <v>1204</v>
      </c>
      <c r="E906" s="30" t="s">
        <v>416</v>
      </c>
      <c r="F906" s="32" t="n">
        <v>2</v>
      </c>
      <c r="G906" s="33" t="n">
        <v>45823</v>
      </c>
      <c r="H906" s="33" t="n">
        <v>45823</v>
      </c>
      <c r="I906" s="31" t="s">
        <v>1205</v>
      </c>
      <c r="J906" s="30" t="s">
        <v>416</v>
      </c>
      <c r="K906" s="31" t="s">
        <v>485</v>
      </c>
      <c r="L906" s="32" t="n">
        <v>2</v>
      </c>
      <c r="M906" s="39" t="s">
        <v>413</v>
      </c>
      <c r="N906" s="31" t="s">
        <v>414</v>
      </c>
      <c r="O906" s="32" t="n">
        <v>2</v>
      </c>
      <c r="P906" s="15" t="n">
        <f aca="false">IF(A906="","",IF(O906&lt;&gt;"",O906,IF(L906&lt;&gt;"",L906,F906)))</f>
        <v>2</v>
      </c>
    </row>
    <row r="907" customFormat="false" ht="15" hidden="false" customHeight="true" outlineLevel="0" collapsed="false">
      <c r="A907" s="26" t="s">
        <v>112</v>
      </c>
      <c r="B907" s="26" t="s">
        <v>113</v>
      </c>
      <c r="C907" s="14" t="n">
        <f aca="false">IF(A907="","",IFERROR(VLOOKUP(A907,'Recert Status'!$A$8:$C$400,3,FALSE()),""))</f>
        <v>46752</v>
      </c>
      <c r="D907" s="18" t="s">
        <v>672</v>
      </c>
      <c r="E907" s="26" t="s">
        <v>416</v>
      </c>
      <c r="F907" s="27" t="n">
        <v>1</v>
      </c>
      <c r="G907" s="28" t="n">
        <v>45826</v>
      </c>
      <c r="H907" s="28" t="n">
        <v>45826</v>
      </c>
      <c r="I907" s="18" t="s">
        <v>810</v>
      </c>
      <c r="J907" s="26" t="s">
        <v>416</v>
      </c>
      <c r="K907" s="18" t="s">
        <v>418</v>
      </c>
      <c r="L907" s="27" t="n">
        <v>1</v>
      </c>
      <c r="M907" s="39" t="s">
        <v>413</v>
      </c>
      <c r="N907" s="18" t="s">
        <v>414</v>
      </c>
      <c r="O907" s="27" t="n">
        <v>1</v>
      </c>
      <c r="P907" s="15" t="n">
        <f aca="false">IF(A907="","",IF(O907&lt;&gt;"",O907,IF(L907&lt;&gt;"",L907,F907)))</f>
        <v>1</v>
      </c>
    </row>
    <row r="908" customFormat="false" ht="15" hidden="false" customHeight="true" outlineLevel="0" collapsed="false">
      <c r="A908" s="30" t="s">
        <v>112</v>
      </c>
      <c r="B908" s="30" t="s">
        <v>113</v>
      </c>
      <c r="C908" s="21" t="n">
        <f aca="false">IF(A908="","",IFERROR(VLOOKUP(A908,'Recert Status'!$A$8:$C$400,3,FALSE()),""))</f>
        <v>46752</v>
      </c>
      <c r="D908" s="31" t="s">
        <v>719</v>
      </c>
      <c r="E908" s="30" t="s">
        <v>416</v>
      </c>
      <c r="F908" s="32" t="n">
        <v>2</v>
      </c>
      <c r="G908" s="33" t="n">
        <v>45859</v>
      </c>
      <c r="H908" s="33" t="n">
        <v>45859</v>
      </c>
      <c r="I908" s="31" t="s">
        <v>486</v>
      </c>
      <c r="J908" s="30" t="s">
        <v>416</v>
      </c>
      <c r="K908" s="31" t="s">
        <v>418</v>
      </c>
      <c r="L908" s="32" t="n">
        <v>2</v>
      </c>
      <c r="M908" s="39" t="s">
        <v>413</v>
      </c>
      <c r="N908" s="31" t="s">
        <v>414</v>
      </c>
      <c r="O908" s="32" t="n">
        <v>2</v>
      </c>
      <c r="P908" s="15" t="n">
        <f aca="false">IF(A908="","",IF(O908&lt;&gt;"",O908,IF(L908&lt;&gt;"",L908,F908)))</f>
        <v>2</v>
      </c>
    </row>
    <row r="909" customFormat="false" ht="15" hidden="false" customHeight="true" outlineLevel="0" collapsed="false">
      <c r="A909" s="26" t="s">
        <v>112</v>
      </c>
      <c r="B909" s="26" t="s">
        <v>113</v>
      </c>
      <c r="C909" s="14" t="n">
        <f aca="false">IF(A909="","",IFERROR(VLOOKUP(A909,'Recert Status'!$A$8:$C$400,3,FALSE()),""))</f>
        <v>46752</v>
      </c>
      <c r="D909" s="18" t="s">
        <v>1206</v>
      </c>
      <c r="E909" s="26" t="s">
        <v>416</v>
      </c>
      <c r="F909" s="27" t="n">
        <v>4</v>
      </c>
      <c r="G909" s="28" t="n">
        <v>45964</v>
      </c>
      <c r="H909" s="28" t="n">
        <v>45964</v>
      </c>
      <c r="I909" s="18" t="s">
        <v>1207</v>
      </c>
      <c r="J909" s="26" t="s">
        <v>416</v>
      </c>
      <c r="K909" s="18" t="s">
        <v>485</v>
      </c>
      <c r="L909" s="27" t="n">
        <v>4</v>
      </c>
      <c r="M909" s="39" t="s">
        <v>413</v>
      </c>
      <c r="N909" s="18" t="s">
        <v>414</v>
      </c>
      <c r="O909" s="27" t="n">
        <v>4</v>
      </c>
      <c r="P909" s="15" t="n">
        <f aca="false">IF(A909="","",IF(O909&lt;&gt;"",O909,IF(L909&lt;&gt;"",L909,F909)))</f>
        <v>4</v>
      </c>
    </row>
    <row r="910" customFormat="false" ht="15" hidden="false" customHeight="true" outlineLevel="0" collapsed="false">
      <c r="A910" s="30" t="s">
        <v>112</v>
      </c>
      <c r="B910" s="30" t="s">
        <v>113</v>
      </c>
      <c r="C910" s="21" t="n">
        <f aca="false">IF(A910="","",IFERROR(VLOOKUP(A910,'Recert Status'!$A$8:$C$400,3,FALSE()),""))</f>
        <v>46752</v>
      </c>
      <c r="D910" s="31" t="s">
        <v>488</v>
      </c>
      <c r="E910" s="30" t="s">
        <v>416</v>
      </c>
      <c r="F910" s="32" t="n">
        <v>1</v>
      </c>
      <c r="G910" s="33" t="n">
        <v>46126</v>
      </c>
      <c r="H910" s="33" t="n">
        <v>46126</v>
      </c>
      <c r="I910" s="31" t="s">
        <v>489</v>
      </c>
      <c r="J910" s="30" t="s">
        <v>416</v>
      </c>
      <c r="K910" s="31" t="s">
        <v>490</v>
      </c>
      <c r="L910" s="32" t="n">
        <v>1</v>
      </c>
      <c r="M910" s="39" t="s">
        <v>413</v>
      </c>
      <c r="N910" s="31" t="s">
        <v>414</v>
      </c>
      <c r="O910" s="32" t="n">
        <v>1</v>
      </c>
      <c r="P910" s="15" t="n">
        <f aca="false">IF(A910="","",IF(O910&lt;&gt;"",O910,IF(L910&lt;&gt;"",L910,F910)))</f>
        <v>1</v>
      </c>
    </row>
    <row r="911" customFormat="false" ht="15" hidden="false" customHeight="true" outlineLevel="0" collapsed="false">
      <c r="A911" s="26" t="s">
        <v>112</v>
      </c>
      <c r="B911" s="26" t="s">
        <v>113</v>
      </c>
      <c r="C911" s="14" t="n">
        <f aca="false">IF(A911="","",IFERROR(VLOOKUP(A911,'Recert Status'!$A$8:$C$400,3,FALSE()),""))</f>
        <v>46752</v>
      </c>
      <c r="D911" s="18" t="s">
        <v>414</v>
      </c>
      <c r="E911" s="26" t="s">
        <v>416</v>
      </c>
      <c r="F911" s="27" t="n">
        <v>2</v>
      </c>
      <c r="G911" s="28" t="n">
        <v>46219</v>
      </c>
      <c r="H911" s="28" t="n">
        <v>46219</v>
      </c>
      <c r="I911" s="18" t="s">
        <v>567</v>
      </c>
      <c r="J911" s="26" t="s">
        <v>416</v>
      </c>
      <c r="K911" s="18" t="s">
        <v>418</v>
      </c>
      <c r="L911" s="27" t="n">
        <v>2</v>
      </c>
      <c r="M911" s="39" t="s">
        <v>413</v>
      </c>
      <c r="N911" s="18" t="s">
        <v>414</v>
      </c>
      <c r="O911" s="27" t="n">
        <v>2</v>
      </c>
      <c r="P911" s="15" t="n">
        <f aca="false">IF(A911="","",IF(O911&lt;&gt;"",O911,IF(L911&lt;&gt;"",L911,F911)))</f>
        <v>2</v>
      </c>
    </row>
    <row r="912" customFormat="false" ht="15" hidden="false" customHeight="true" outlineLevel="0" collapsed="false">
      <c r="A912" s="30" t="s">
        <v>112</v>
      </c>
      <c r="B912" s="30" t="s">
        <v>113</v>
      </c>
      <c r="C912" s="21" t="n">
        <f aca="false">IF(A912="","",IFERROR(VLOOKUP(A912,'Recert Status'!$A$8:$C$400,3,FALSE()),""))</f>
        <v>46752</v>
      </c>
      <c r="D912" s="31" t="s">
        <v>414</v>
      </c>
      <c r="E912" s="30" t="s">
        <v>416</v>
      </c>
      <c r="F912" s="32" t="n">
        <v>2</v>
      </c>
      <c r="G912" s="33" t="n">
        <v>46285</v>
      </c>
      <c r="H912" s="33" t="n">
        <v>46285</v>
      </c>
      <c r="I912" s="31" t="s">
        <v>1208</v>
      </c>
      <c r="J912" s="30" t="s">
        <v>416</v>
      </c>
      <c r="K912" s="31" t="s">
        <v>485</v>
      </c>
      <c r="L912" s="32" t="n">
        <v>2</v>
      </c>
      <c r="M912" s="39" t="s">
        <v>413</v>
      </c>
      <c r="N912" s="31" t="s">
        <v>414</v>
      </c>
      <c r="O912" s="32" t="n">
        <v>2</v>
      </c>
      <c r="P912" s="15" t="n">
        <f aca="false">IF(A912="","",IF(O912&lt;&gt;"",O912,IF(L912&lt;&gt;"",L912,F912)))</f>
        <v>2</v>
      </c>
    </row>
    <row r="913" customFormat="false" ht="15" hidden="false" customHeight="true" outlineLevel="0" collapsed="false">
      <c r="A913" s="26" t="s">
        <v>114</v>
      </c>
      <c r="B913" s="26" t="s">
        <v>115</v>
      </c>
      <c r="C913" s="14" t="n">
        <f aca="false">IF(A913="","",IFERROR(VLOOKUP(A913,'Recert Status'!$A$8:$C$400,3,FALSE()),""))</f>
        <v>46752</v>
      </c>
      <c r="D913" s="18" t="s">
        <v>811</v>
      </c>
      <c r="E913" s="26" t="s">
        <v>363</v>
      </c>
      <c r="F913" s="27" t="n">
        <v>1</v>
      </c>
      <c r="G913" s="28" t="n">
        <v>45783</v>
      </c>
      <c r="H913" s="28" t="n">
        <v>45783</v>
      </c>
      <c r="I913" s="18" t="s">
        <v>812</v>
      </c>
      <c r="J913" s="26" t="s">
        <v>363</v>
      </c>
      <c r="K913" s="18" t="s">
        <v>813</v>
      </c>
      <c r="L913" s="27" t="n">
        <v>1</v>
      </c>
      <c r="M913" s="29" t="s">
        <v>366</v>
      </c>
      <c r="N913" s="18" t="s">
        <v>367</v>
      </c>
      <c r="O913" s="27" t="n">
        <v>1</v>
      </c>
      <c r="P913" s="15" t="n">
        <f aca="false">IF(A913="","",IF(O913&lt;&gt;"",O913,IF(L913&lt;&gt;"",L913,F913)))</f>
        <v>1</v>
      </c>
    </row>
    <row r="914" customFormat="false" ht="15" hidden="false" customHeight="true" outlineLevel="0" collapsed="false">
      <c r="A914" s="30" t="s">
        <v>114</v>
      </c>
      <c r="B914" s="30" t="s">
        <v>115</v>
      </c>
      <c r="C914" s="21" t="n">
        <f aca="false">IF(A914="","",IFERROR(VLOOKUP(A914,'Recert Status'!$A$8:$C$400,3,FALSE()),""))</f>
        <v>46752</v>
      </c>
      <c r="D914" s="31" t="s">
        <v>512</v>
      </c>
      <c r="E914" s="30" t="n">
        <v>29675</v>
      </c>
      <c r="F914" s="32" t="n">
        <v>1</v>
      </c>
      <c r="G914" s="33" t="n">
        <v>45952</v>
      </c>
      <c r="H914" s="33" t="n">
        <v>45952</v>
      </c>
      <c r="I914" s="31" t="s">
        <v>631</v>
      </c>
      <c r="J914" s="30" t="s">
        <v>406</v>
      </c>
      <c r="K914" s="31" t="s">
        <v>630</v>
      </c>
      <c r="L914" s="32" t="n">
        <v>1</v>
      </c>
      <c r="M914" s="29" t="s">
        <v>366</v>
      </c>
      <c r="N914" s="31" t="s">
        <v>367</v>
      </c>
      <c r="O914" s="32" t="n">
        <v>1</v>
      </c>
      <c r="P914" s="15" t="n">
        <f aca="false">IF(A914="","",IF(O914&lt;&gt;"",O914,IF(L914&lt;&gt;"",L914,F914)))</f>
        <v>1</v>
      </c>
    </row>
    <row r="915" customFormat="false" ht="15" hidden="false" customHeight="true" outlineLevel="0" collapsed="false">
      <c r="A915" s="26" t="s">
        <v>114</v>
      </c>
      <c r="B915" s="26" t="s">
        <v>115</v>
      </c>
      <c r="C915" s="14" t="n">
        <f aca="false">IF(A915="","",IFERROR(VLOOKUP(A915,'Recert Status'!$A$8:$C$400,3,FALSE()),""))</f>
        <v>46752</v>
      </c>
      <c r="D915" s="18" t="s">
        <v>1174</v>
      </c>
      <c r="E915" s="26" t="s">
        <v>542</v>
      </c>
      <c r="F915" s="27" t="n">
        <v>1</v>
      </c>
      <c r="G915" s="28" t="n">
        <v>45783</v>
      </c>
      <c r="H915" s="28" t="n">
        <v>45783</v>
      </c>
      <c r="I915" s="18" t="s">
        <v>1175</v>
      </c>
      <c r="J915" s="26" t="s">
        <v>542</v>
      </c>
      <c r="K915" s="18" t="s">
        <v>422</v>
      </c>
      <c r="L915" s="27" t="n">
        <v>1</v>
      </c>
      <c r="M915" s="40" t="s">
        <v>423</v>
      </c>
      <c r="N915" s="18" t="s">
        <v>424</v>
      </c>
      <c r="O915" s="27" t="n">
        <v>1</v>
      </c>
      <c r="P915" s="15" t="n">
        <f aca="false">IF(A915="","",IF(O915&lt;&gt;"",O915,IF(L915&lt;&gt;"",L915,F915)))</f>
        <v>1</v>
      </c>
    </row>
    <row r="916" customFormat="false" ht="15" hidden="false" customHeight="true" outlineLevel="0" collapsed="false">
      <c r="A916" s="30" t="s">
        <v>114</v>
      </c>
      <c r="B916" s="30" t="s">
        <v>115</v>
      </c>
      <c r="C916" s="21" t="n">
        <f aca="false">IF(A916="","",IFERROR(VLOOKUP(A916,'Recert Status'!$A$8:$C$400,3,FALSE()),""))</f>
        <v>46752</v>
      </c>
      <c r="D916" s="31" t="s">
        <v>569</v>
      </c>
      <c r="E916" s="30" t="n">
        <v>57433</v>
      </c>
      <c r="F916" s="32" t="n">
        <v>1</v>
      </c>
      <c r="G916" s="33" t="n">
        <v>46017</v>
      </c>
      <c r="H916" s="33" t="n">
        <v>46017</v>
      </c>
      <c r="I916" s="31" t="s">
        <v>570</v>
      </c>
      <c r="J916" s="30" t="s">
        <v>421</v>
      </c>
      <c r="K916" s="31" t="s">
        <v>428</v>
      </c>
      <c r="L916" s="32" t="n">
        <v>1</v>
      </c>
      <c r="M916" s="40" t="s">
        <v>423</v>
      </c>
      <c r="N916" s="31" t="s">
        <v>514</v>
      </c>
      <c r="O916" s="32" t="n">
        <v>1</v>
      </c>
      <c r="P916" s="15" t="n">
        <f aca="false">IF(A916="","",IF(O916&lt;&gt;"",O916,IF(L916&lt;&gt;"",L916,F916)))</f>
        <v>1</v>
      </c>
    </row>
    <row r="917" customFormat="false" ht="15" hidden="false" customHeight="true" outlineLevel="0" collapsed="false">
      <c r="A917" s="26" t="s">
        <v>114</v>
      </c>
      <c r="B917" s="26" t="s">
        <v>115</v>
      </c>
      <c r="C917" s="14" t="n">
        <f aca="false">IF(A917="","",IFERROR(VLOOKUP(A917,'Recert Status'!$A$8:$C$400,3,FALSE()),""))</f>
        <v>46752</v>
      </c>
      <c r="D917" s="18" t="s">
        <v>949</v>
      </c>
      <c r="E917" s="26" t="s">
        <v>542</v>
      </c>
      <c r="F917" s="27" t="n">
        <v>1</v>
      </c>
      <c r="G917" s="28" t="n">
        <v>46056</v>
      </c>
      <c r="H917" s="28" t="n">
        <v>46056</v>
      </c>
      <c r="I917" s="18" t="s">
        <v>950</v>
      </c>
      <c r="J917" s="26" t="s">
        <v>542</v>
      </c>
      <c r="K917" s="18" t="s">
        <v>422</v>
      </c>
      <c r="L917" s="27" t="n">
        <v>1</v>
      </c>
      <c r="M917" s="40" t="s">
        <v>423</v>
      </c>
      <c r="N917" s="18" t="s">
        <v>424</v>
      </c>
      <c r="O917" s="27" t="n">
        <v>1</v>
      </c>
      <c r="P917" s="15" t="n">
        <f aca="false">IF(A917="","",IF(O917&lt;&gt;"",O917,IF(L917&lt;&gt;"",L917,F917)))</f>
        <v>1</v>
      </c>
    </row>
    <row r="918" customFormat="false" ht="15" hidden="false" customHeight="true" outlineLevel="0" collapsed="false">
      <c r="A918" s="30" t="s">
        <v>114</v>
      </c>
      <c r="B918" s="30" t="s">
        <v>115</v>
      </c>
      <c r="C918" s="21" t="n">
        <f aca="false">IF(A918="","",IFERROR(VLOOKUP(A918,'Recert Status'!$A$8:$C$400,3,FALSE()),""))</f>
        <v>46752</v>
      </c>
      <c r="D918" s="31" t="s">
        <v>816</v>
      </c>
      <c r="E918" s="30" t="s">
        <v>817</v>
      </c>
      <c r="F918" s="32" t="n">
        <v>2</v>
      </c>
      <c r="G918" s="33" t="n">
        <v>45882</v>
      </c>
      <c r="H918" s="33" t="n">
        <v>45882</v>
      </c>
      <c r="I918" s="31" t="s">
        <v>818</v>
      </c>
      <c r="J918" s="30" t="s">
        <v>817</v>
      </c>
      <c r="K918" s="31" t="s">
        <v>819</v>
      </c>
      <c r="L918" s="32" t="n">
        <v>2</v>
      </c>
      <c r="M918" s="35" t="s">
        <v>386</v>
      </c>
      <c r="N918" s="31" t="s">
        <v>387</v>
      </c>
      <c r="O918" s="32" t="n">
        <v>2</v>
      </c>
      <c r="P918" s="15" t="n">
        <f aca="false">IF(A918="","",IF(O918&lt;&gt;"",O918,IF(L918&lt;&gt;"",L918,F918)))</f>
        <v>2</v>
      </c>
    </row>
    <row r="919" customFormat="false" ht="15" hidden="false" customHeight="true" outlineLevel="0" collapsed="false">
      <c r="A919" s="26" t="s">
        <v>114</v>
      </c>
      <c r="B919" s="26" t="s">
        <v>115</v>
      </c>
      <c r="C919" s="14" t="n">
        <f aca="false">IF(A919="","",IFERROR(VLOOKUP(A919,'Recert Status'!$A$8:$C$400,3,FALSE()),""))</f>
        <v>46752</v>
      </c>
      <c r="D919" s="18" t="s">
        <v>1088</v>
      </c>
      <c r="E919" s="26" t="n">
        <v>29740</v>
      </c>
      <c r="F919" s="27" t="n">
        <v>1</v>
      </c>
      <c r="G919" s="28" t="n">
        <v>45987</v>
      </c>
      <c r="H919" s="28" t="n">
        <v>45987</v>
      </c>
      <c r="I919" s="18" t="s">
        <v>1089</v>
      </c>
      <c r="J919" s="26" t="s">
        <v>394</v>
      </c>
      <c r="K919" s="18" t="s">
        <v>468</v>
      </c>
      <c r="L919" s="27" t="n">
        <v>1</v>
      </c>
      <c r="M919" s="35" t="s">
        <v>386</v>
      </c>
      <c r="N919" s="18" t="s">
        <v>387</v>
      </c>
      <c r="O919" s="27" t="n">
        <v>1</v>
      </c>
      <c r="P919" s="15" t="n">
        <f aca="false">IF(A919="","",IF(O919&lt;&gt;"",O919,IF(L919&lt;&gt;"",L919,F919)))</f>
        <v>1</v>
      </c>
    </row>
    <row r="920" customFormat="false" ht="15" hidden="false" customHeight="true" outlineLevel="0" collapsed="false">
      <c r="A920" s="30" t="s">
        <v>114</v>
      </c>
      <c r="B920" s="30" t="s">
        <v>115</v>
      </c>
      <c r="C920" s="21" t="n">
        <f aca="false">IF(A920="","",IFERROR(VLOOKUP(A920,'Recert Status'!$A$8:$C$400,3,FALSE()),""))</f>
        <v>46752</v>
      </c>
      <c r="D920" s="31" t="s">
        <v>474</v>
      </c>
      <c r="E920" s="30" t="n">
        <v>29675</v>
      </c>
      <c r="F920" s="32" t="n">
        <v>3</v>
      </c>
      <c r="G920" s="33" t="n">
        <v>46083</v>
      </c>
      <c r="H920" s="33" t="n">
        <v>46083</v>
      </c>
      <c r="I920" s="31" t="s">
        <v>1209</v>
      </c>
      <c r="J920" s="30" t="s">
        <v>406</v>
      </c>
      <c r="K920" s="31" t="s">
        <v>391</v>
      </c>
      <c r="L920" s="32" t="n">
        <v>3</v>
      </c>
      <c r="M920" s="35" t="s">
        <v>386</v>
      </c>
      <c r="N920" s="31" t="s">
        <v>387</v>
      </c>
      <c r="O920" s="32" t="n">
        <v>3</v>
      </c>
      <c r="P920" s="15" t="n">
        <f aca="false">IF(A920="","",IF(O920&lt;&gt;"",O920,IF(L920&lt;&gt;"",L920,F920)))</f>
        <v>3</v>
      </c>
    </row>
    <row r="921" customFormat="false" ht="15" hidden="false" customHeight="true" outlineLevel="0" collapsed="false">
      <c r="A921" s="26" t="s">
        <v>114</v>
      </c>
      <c r="B921" s="26" t="s">
        <v>115</v>
      </c>
      <c r="C921" s="14" t="n">
        <f aca="false">IF(A921="","",IFERROR(VLOOKUP(A921,'Recert Status'!$A$8:$C$400,3,FALSE()),""))</f>
        <v>46752</v>
      </c>
      <c r="D921" s="18" t="s">
        <v>397</v>
      </c>
      <c r="E921" s="26" t="s">
        <v>452</v>
      </c>
      <c r="F921" s="27" t="n">
        <v>1</v>
      </c>
      <c r="G921" s="28" t="n">
        <v>46245</v>
      </c>
      <c r="H921" s="28" t="n">
        <v>46245</v>
      </c>
      <c r="I921" s="18" t="s">
        <v>605</v>
      </c>
      <c r="J921" s="26" t="s">
        <v>452</v>
      </c>
      <c r="K921" s="18" t="s">
        <v>385</v>
      </c>
      <c r="L921" s="27" t="n">
        <v>1</v>
      </c>
      <c r="M921" s="36" t="s">
        <v>396</v>
      </c>
      <c r="N921" s="18" t="s">
        <v>397</v>
      </c>
      <c r="O921" s="27" t="n">
        <v>1</v>
      </c>
      <c r="P921" s="15" t="n">
        <f aca="false">IF(A921="","",IF(O921&lt;&gt;"",O921,IF(L921&lt;&gt;"",L921,F921)))</f>
        <v>1</v>
      </c>
    </row>
    <row r="922" customFormat="false" ht="15" hidden="false" customHeight="true" outlineLevel="0" collapsed="false">
      <c r="A922" s="30" t="s">
        <v>114</v>
      </c>
      <c r="B922" s="30" t="s">
        <v>115</v>
      </c>
      <c r="C922" s="21" t="n">
        <f aca="false">IF(A922="","",IFERROR(VLOOKUP(A922,'Recert Status'!$A$8:$C$400,3,FALSE()),""))</f>
        <v>46752</v>
      </c>
      <c r="D922" s="31" t="s">
        <v>409</v>
      </c>
      <c r="E922" s="30" t="s">
        <v>480</v>
      </c>
      <c r="F922" s="32" t="n">
        <v>1</v>
      </c>
      <c r="G922" s="33" t="n">
        <v>46209</v>
      </c>
      <c r="H922" s="33" t="n">
        <v>46209</v>
      </c>
      <c r="I922" s="31" t="s">
        <v>481</v>
      </c>
      <c r="J922" s="30" t="s">
        <v>480</v>
      </c>
      <c r="K922" s="31" t="s">
        <v>482</v>
      </c>
      <c r="L922" s="32" t="n">
        <v>1</v>
      </c>
      <c r="M922" s="38" t="s">
        <v>408</v>
      </c>
      <c r="N922" s="31" t="s">
        <v>409</v>
      </c>
      <c r="O922" s="32" t="n">
        <v>1</v>
      </c>
      <c r="P922" s="15" t="n">
        <f aca="false">IF(A922="","",IF(O922&lt;&gt;"",O922,IF(L922&lt;&gt;"",L922,F922)))</f>
        <v>1</v>
      </c>
    </row>
    <row r="923" customFormat="false" ht="15" hidden="false" customHeight="true" outlineLevel="0" collapsed="false">
      <c r="A923" s="26" t="s">
        <v>114</v>
      </c>
      <c r="B923" s="26" t="s">
        <v>115</v>
      </c>
      <c r="C923" s="14" t="n">
        <f aca="false">IF(A923="","",IFERROR(VLOOKUP(A923,'Recert Status'!$A$8:$C$400,3,FALSE()),""))</f>
        <v>46752</v>
      </c>
      <c r="D923" s="18" t="s">
        <v>959</v>
      </c>
      <c r="E923" s="26" t="s">
        <v>416</v>
      </c>
      <c r="F923" s="27" t="n">
        <v>1</v>
      </c>
      <c r="G923" s="28" t="n">
        <v>45825</v>
      </c>
      <c r="H923" s="28" t="n">
        <v>45825</v>
      </c>
      <c r="I923" s="18" t="s">
        <v>1210</v>
      </c>
      <c r="J923" s="26" t="s">
        <v>416</v>
      </c>
      <c r="K923" s="18" t="s">
        <v>456</v>
      </c>
      <c r="L923" s="27" t="n">
        <v>1</v>
      </c>
      <c r="M923" s="39" t="s">
        <v>413</v>
      </c>
      <c r="N923" s="18" t="s">
        <v>414</v>
      </c>
      <c r="O923" s="27" t="n">
        <v>1</v>
      </c>
      <c r="P923" s="15" t="n">
        <f aca="false">IF(A923="","",IF(O923&lt;&gt;"",O923,IF(L923&lt;&gt;"",L923,F923)))</f>
        <v>1</v>
      </c>
    </row>
    <row r="924" customFormat="false" ht="15" hidden="false" customHeight="true" outlineLevel="0" collapsed="false">
      <c r="A924" s="30" t="s">
        <v>114</v>
      </c>
      <c r="B924" s="30" t="s">
        <v>115</v>
      </c>
      <c r="C924" s="21" t="n">
        <f aca="false">IF(A924="","",IFERROR(VLOOKUP(A924,'Recert Status'!$A$8:$C$400,3,FALSE()),""))</f>
        <v>46752</v>
      </c>
      <c r="D924" s="31" t="s">
        <v>457</v>
      </c>
      <c r="E924" s="30" t="s">
        <v>416</v>
      </c>
      <c r="F924" s="32" t="n">
        <v>1</v>
      </c>
      <c r="G924" s="33" t="n">
        <v>45897</v>
      </c>
      <c r="H924" s="33" t="n">
        <v>45897</v>
      </c>
      <c r="I924" s="31" t="s">
        <v>1193</v>
      </c>
      <c r="J924" s="30" t="s">
        <v>416</v>
      </c>
      <c r="K924" s="31" t="s">
        <v>485</v>
      </c>
      <c r="L924" s="32" t="n">
        <v>1</v>
      </c>
      <c r="M924" s="39" t="s">
        <v>413</v>
      </c>
      <c r="N924" s="31" t="s">
        <v>414</v>
      </c>
      <c r="O924" s="32" t="n">
        <v>1</v>
      </c>
      <c r="P924" s="15" t="n">
        <f aca="false">IF(A924="","",IF(O924&lt;&gt;"",O924,IF(L924&lt;&gt;"",L924,F924)))</f>
        <v>1</v>
      </c>
    </row>
    <row r="925" customFormat="false" ht="15" hidden="false" customHeight="true" outlineLevel="0" collapsed="false">
      <c r="A925" s="26" t="s">
        <v>114</v>
      </c>
      <c r="B925" s="26" t="s">
        <v>115</v>
      </c>
      <c r="C925" s="14" t="n">
        <f aca="false">IF(A925="","",IFERROR(VLOOKUP(A925,'Recert Status'!$A$8:$C$400,3,FALSE()),""))</f>
        <v>46752</v>
      </c>
      <c r="D925" s="18" t="s">
        <v>488</v>
      </c>
      <c r="E925" s="26" t="s">
        <v>416</v>
      </c>
      <c r="F925" s="27" t="n">
        <v>1</v>
      </c>
      <c r="G925" s="28" t="n">
        <v>46125</v>
      </c>
      <c r="H925" s="28" t="n">
        <v>46125</v>
      </c>
      <c r="I925" s="18" t="s">
        <v>608</v>
      </c>
      <c r="J925" s="26" t="s">
        <v>416</v>
      </c>
      <c r="K925" s="18" t="s">
        <v>490</v>
      </c>
      <c r="L925" s="27" t="n">
        <v>1</v>
      </c>
      <c r="M925" s="39" t="s">
        <v>413</v>
      </c>
      <c r="N925" s="18" t="s">
        <v>414</v>
      </c>
      <c r="O925" s="27" t="n">
        <v>1</v>
      </c>
      <c r="P925" s="15" t="n">
        <f aca="false">IF(A925="","",IF(O925&lt;&gt;"",O925,IF(L925&lt;&gt;"",L925,F925)))</f>
        <v>1</v>
      </c>
    </row>
    <row r="926" customFormat="false" ht="15" hidden="false" customHeight="true" outlineLevel="0" collapsed="false">
      <c r="A926" s="30" t="s">
        <v>114</v>
      </c>
      <c r="B926" s="30" t="s">
        <v>115</v>
      </c>
      <c r="C926" s="21" t="n">
        <f aca="false">IF(A926="","",IFERROR(VLOOKUP(A926,'Recert Status'!$A$8:$C$400,3,FALSE()),""))</f>
        <v>46752</v>
      </c>
      <c r="D926" s="31" t="s">
        <v>414</v>
      </c>
      <c r="E926" s="30" t="s">
        <v>416</v>
      </c>
      <c r="F926" s="32" t="n">
        <v>2</v>
      </c>
      <c r="G926" s="33" t="n">
        <v>46218</v>
      </c>
      <c r="H926" s="33" t="n">
        <v>46218</v>
      </c>
      <c r="I926" s="31" t="s">
        <v>535</v>
      </c>
      <c r="J926" s="30" t="s">
        <v>416</v>
      </c>
      <c r="K926" s="31" t="s">
        <v>418</v>
      </c>
      <c r="L926" s="32" t="n">
        <v>2</v>
      </c>
      <c r="M926" s="39" t="s">
        <v>413</v>
      </c>
      <c r="N926" s="31" t="s">
        <v>414</v>
      </c>
      <c r="O926" s="32" t="n">
        <v>2</v>
      </c>
      <c r="P926" s="15" t="n">
        <f aca="false">IF(A926="","",IF(O926&lt;&gt;"",O926,IF(L926&lt;&gt;"",L926,F926)))</f>
        <v>2</v>
      </c>
    </row>
    <row r="927" customFormat="false" ht="15" hidden="false" customHeight="true" outlineLevel="0" collapsed="false">
      <c r="A927" s="26" t="s">
        <v>116</v>
      </c>
      <c r="B927" s="26" t="s">
        <v>117</v>
      </c>
      <c r="C927" s="14" t="n">
        <f aca="false">IF(A927="","",IFERROR(VLOOKUP(A927,'Recert Status'!$A$8:$C$400,3,FALSE()),""))</f>
        <v>46387</v>
      </c>
      <c r="D927" s="18" t="s">
        <v>367</v>
      </c>
      <c r="E927" s="26" t="s">
        <v>363</v>
      </c>
      <c r="F927" s="27" t="n">
        <v>2</v>
      </c>
      <c r="G927" s="28" t="n">
        <v>46297</v>
      </c>
      <c r="H927" s="28" t="n">
        <v>46297</v>
      </c>
      <c r="I927" s="18" t="s">
        <v>1211</v>
      </c>
      <c r="J927" s="26" t="s">
        <v>363</v>
      </c>
      <c r="K927" s="18" t="s">
        <v>365</v>
      </c>
      <c r="L927" s="27" t="n">
        <v>2</v>
      </c>
      <c r="M927" s="29" t="s">
        <v>366</v>
      </c>
      <c r="N927" s="18" t="s">
        <v>367</v>
      </c>
      <c r="O927" s="27" t="n">
        <v>2</v>
      </c>
      <c r="P927" s="15" t="n">
        <f aca="false">IF(A927="","",IF(O927&lt;&gt;"",O927,IF(L927&lt;&gt;"",L927,F927)))</f>
        <v>2</v>
      </c>
    </row>
    <row r="928" customFormat="false" ht="15" hidden="false" customHeight="true" outlineLevel="0" collapsed="false">
      <c r="A928" s="30" t="s">
        <v>116</v>
      </c>
      <c r="B928" s="30" t="s">
        <v>117</v>
      </c>
      <c r="C928" s="21" t="n">
        <f aca="false">IF(A928="","",IFERROR(VLOOKUP(A928,'Recert Status'!$A$8:$C$400,3,FALSE()),""))</f>
        <v>46387</v>
      </c>
      <c r="D928" s="31" t="s">
        <v>544</v>
      </c>
      <c r="E928" s="30" t="s">
        <v>426</v>
      </c>
      <c r="F928" s="32" t="n">
        <v>0.5</v>
      </c>
      <c r="G928" s="33" t="n">
        <v>45676</v>
      </c>
      <c r="H928" s="33" t="n">
        <v>45676</v>
      </c>
      <c r="I928" s="31" t="s">
        <v>545</v>
      </c>
      <c r="J928" s="30" t="s">
        <v>426</v>
      </c>
      <c r="K928" s="31" t="s">
        <v>428</v>
      </c>
      <c r="L928" s="32" t="n">
        <v>0.5</v>
      </c>
      <c r="M928" s="41" t="s">
        <v>429</v>
      </c>
      <c r="N928" s="31" t="s">
        <v>430</v>
      </c>
      <c r="O928" s="32" t="n">
        <v>0.5</v>
      </c>
      <c r="P928" s="15" t="n">
        <f aca="false">IF(A928="","",IF(O928&lt;&gt;"",O928,IF(L928&lt;&gt;"",L928,F928)))</f>
        <v>0.5</v>
      </c>
    </row>
    <row r="929" customFormat="false" ht="15" hidden="false" customHeight="true" outlineLevel="0" collapsed="false">
      <c r="A929" s="26" t="s">
        <v>116</v>
      </c>
      <c r="B929" s="26" t="s">
        <v>117</v>
      </c>
      <c r="C929" s="14" t="n">
        <f aca="false">IF(A929="","",IFERROR(VLOOKUP(A929,'Recert Status'!$A$8:$C$400,3,FALSE()),""))</f>
        <v>46387</v>
      </c>
      <c r="D929" s="18" t="s">
        <v>1012</v>
      </c>
      <c r="E929" s="26" t="s">
        <v>372</v>
      </c>
      <c r="F929" s="27" t="n">
        <v>1</v>
      </c>
      <c r="G929" s="28" t="n">
        <v>46135</v>
      </c>
      <c r="H929" s="28" t="n">
        <v>46135</v>
      </c>
      <c r="I929" s="18" t="s">
        <v>1013</v>
      </c>
      <c r="J929" s="26" t="s">
        <v>372</v>
      </c>
      <c r="K929" s="18" t="s">
        <v>374</v>
      </c>
      <c r="L929" s="27" t="n">
        <v>1</v>
      </c>
      <c r="M929" s="34" t="s">
        <v>375</v>
      </c>
      <c r="N929" s="18" t="s">
        <v>376</v>
      </c>
      <c r="O929" s="27" t="n">
        <v>1</v>
      </c>
      <c r="P929" s="15" t="n">
        <f aca="false">IF(A929="","",IF(O929&lt;&gt;"",O929,IF(L929&lt;&gt;"",L929,F929)))</f>
        <v>1</v>
      </c>
    </row>
    <row r="930" customFormat="false" ht="15" hidden="false" customHeight="true" outlineLevel="0" collapsed="false">
      <c r="A930" s="30" t="s">
        <v>116</v>
      </c>
      <c r="B930" s="30" t="s">
        <v>117</v>
      </c>
      <c r="C930" s="21" t="n">
        <f aca="false">IF(A930="","",IFERROR(VLOOKUP(A930,'Recert Status'!$A$8:$C$400,3,FALSE()),""))</f>
        <v>46387</v>
      </c>
      <c r="D930" s="31" t="s">
        <v>1014</v>
      </c>
      <c r="E930" s="30" t="n">
        <v>29675</v>
      </c>
      <c r="F930" s="32" t="n">
        <v>0.5</v>
      </c>
      <c r="G930" s="33" t="n">
        <v>45925</v>
      </c>
      <c r="H930" s="33" t="n">
        <v>45925</v>
      </c>
      <c r="I930" s="31" t="s">
        <v>1015</v>
      </c>
      <c r="J930" s="30" t="s">
        <v>406</v>
      </c>
      <c r="K930" s="31" t="s">
        <v>451</v>
      </c>
      <c r="L930" s="32" t="n">
        <v>0.5</v>
      </c>
      <c r="M930" s="35" t="s">
        <v>386</v>
      </c>
      <c r="N930" s="31" t="s">
        <v>514</v>
      </c>
      <c r="O930" s="32" t="n">
        <v>0.5</v>
      </c>
      <c r="P930" s="15" t="n">
        <f aca="false">IF(A930="","",IF(O930&lt;&gt;"",O930,IF(L930&lt;&gt;"",L930,F930)))</f>
        <v>0.5</v>
      </c>
    </row>
    <row r="931" customFormat="false" ht="15" hidden="false" customHeight="true" outlineLevel="0" collapsed="false">
      <c r="A931" s="26" t="s">
        <v>116</v>
      </c>
      <c r="B931" s="26" t="s">
        <v>117</v>
      </c>
      <c r="C931" s="14" t="n">
        <f aca="false">IF(A931="","",IFERROR(VLOOKUP(A931,'Recert Status'!$A$8:$C$400,3,FALSE()),""))</f>
        <v>46387</v>
      </c>
      <c r="D931" s="18" t="s">
        <v>1016</v>
      </c>
      <c r="E931" s="26" t="s">
        <v>389</v>
      </c>
      <c r="F931" s="27" t="n">
        <v>1</v>
      </c>
      <c r="G931" s="28" t="n">
        <v>45940</v>
      </c>
      <c r="H931" s="28" t="n">
        <v>45940</v>
      </c>
      <c r="I931" s="18" t="s">
        <v>1017</v>
      </c>
      <c r="J931" s="26" t="s">
        <v>389</v>
      </c>
      <c r="K931" s="18" t="s">
        <v>1018</v>
      </c>
      <c r="L931" s="27" t="n">
        <v>1</v>
      </c>
      <c r="M931" s="35" t="s">
        <v>386</v>
      </c>
      <c r="N931" s="18" t="s">
        <v>387</v>
      </c>
      <c r="O931" s="27" t="n">
        <v>1</v>
      </c>
      <c r="P931" s="15" t="n">
        <f aca="false">IF(A931="","",IF(O931&lt;&gt;"",O931,IF(L931&lt;&gt;"",L931,F931)))</f>
        <v>1</v>
      </c>
    </row>
    <row r="932" customFormat="false" ht="15" hidden="false" customHeight="true" outlineLevel="0" collapsed="false">
      <c r="A932" s="30" t="s">
        <v>116</v>
      </c>
      <c r="B932" s="30" t="s">
        <v>117</v>
      </c>
      <c r="C932" s="21" t="n">
        <f aca="false">IF(A932="","",IFERROR(VLOOKUP(A932,'Recert Status'!$A$8:$C$400,3,FALSE()),""))</f>
        <v>46387</v>
      </c>
      <c r="D932" s="31" t="s">
        <v>913</v>
      </c>
      <c r="E932" s="30" t="n">
        <v>29784</v>
      </c>
      <c r="F932" s="32" t="n">
        <v>0.5</v>
      </c>
      <c r="G932" s="33" t="n">
        <v>46000</v>
      </c>
      <c r="H932" s="33" t="n">
        <v>46000</v>
      </c>
      <c r="I932" s="31" t="s">
        <v>1019</v>
      </c>
      <c r="J932" s="30" t="s">
        <v>435</v>
      </c>
      <c r="K932" s="31" t="s">
        <v>468</v>
      </c>
      <c r="L932" s="32" t="n">
        <v>0.5</v>
      </c>
      <c r="M932" s="35" t="s">
        <v>386</v>
      </c>
      <c r="N932" s="31" t="s">
        <v>387</v>
      </c>
      <c r="O932" s="32" t="n">
        <v>0.5</v>
      </c>
      <c r="P932" s="15" t="n">
        <f aca="false">IF(A932="","",IF(O932&lt;&gt;"",O932,IF(L932&lt;&gt;"",L932,F932)))</f>
        <v>0.5</v>
      </c>
    </row>
    <row r="933" customFormat="false" ht="15" hidden="false" customHeight="true" outlineLevel="0" collapsed="false">
      <c r="A933" s="26" t="s">
        <v>116</v>
      </c>
      <c r="B933" s="26" t="s">
        <v>117</v>
      </c>
      <c r="C933" s="14" t="n">
        <f aca="false">IF(A933="","",IFERROR(VLOOKUP(A933,'Recert Status'!$A$8:$C$400,3,FALSE()),""))</f>
        <v>46387</v>
      </c>
      <c r="D933" s="18" t="s">
        <v>474</v>
      </c>
      <c r="E933" s="26" t="s">
        <v>389</v>
      </c>
      <c r="F933" s="27" t="n">
        <v>1</v>
      </c>
      <c r="G933" s="28" t="n">
        <v>46204</v>
      </c>
      <c r="H933" s="28" t="n">
        <v>46204</v>
      </c>
      <c r="I933" s="18" t="s">
        <v>475</v>
      </c>
      <c r="J933" s="26" t="s">
        <v>389</v>
      </c>
      <c r="K933" s="18" t="s">
        <v>476</v>
      </c>
      <c r="L933" s="27" t="n">
        <v>1</v>
      </c>
      <c r="M933" s="35" t="s">
        <v>386</v>
      </c>
      <c r="N933" s="18" t="s">
        <v>387</v>
      </c>
      <c r="O933" s="27" t="n">
        <v>1</v>
      </c>
      <c r="P933" s="15" t="n">
        <f aca="false">IF(A933="","",IF(O933&lt;&gt;"",O933,IF(L933&lt;&gt;"",L933,F933)))</f>
        <v>1</v>
      </c>
    </row>
    <row r="934" customFormat="false" ht="15" hidden="false" customHeight="true" outlineLevel="0" collapsed="false">
      <c r="A934" s="30" t="s">
        <v>116</v>
      </c>
      <c r="B934" s="30" t="s">
        <v>117</v>
      </c>
      <c r="C934" s="21" t="n">
        <f aca="false">IF(A934="","",IFERROR(VLOOKUP(A934,'Recert Status'!$A$8:$C$400,3,FALSE()),""))</f>
        <v>46387</v>
      </c>
      <c r="D934" s="31" t="s">
        <v>387</v>
      </c>
      <c r="E934" s="30" t="s">
        <v>389</v>
      </c>
      <c r="F934" s="32" t="n">
        <v>1</v>
      </c>
      <c r="G934" s="33" t="n">
        <v>46231</v>
      </c>
      <c r="H934" s="33" t="n">
        <v>46231</v>
      </c>
      <c r="I934" s="31" t="s">
        <v>1212</v>
      </c>
      <c r="J934" s="30" t="s">
        <v>389</v>
      </c>
      <c r="K934" s="31" t="s">
        <v>451</v>
      </c>
      <c r="L934" s="32" t="n">
        <v>1</v>
      </c>
      <c r="M934" s="35" t="s">
        <v>386</v>
      </c>
      <c r="N934" s="31" t="s">
        <v>387</v>
      </c>
      <c r="O934" s="32" t="n">
        <v>1</v>
      </c>
      <c r="P934" s="15" t="n">
        <f aca="false">IF(A934="","",IF(O934&lt;&gt;"",O934,IF(L934&lt;&gt;"",L934,F934)))</f>
        <v>1</v>
      </c>
    </row>
    <row r="935" customFormat="false" ht="15" hidden="false" customHeight="true" outlineLevel="0" collapsed="false">
      <c r="A935" s="26" t="s">
        <v>116</v>
      </c>
      <c r="B935" s="26" t="s">
        <v>117</v>
      </c>
      <c r="C935" s="14" t="n">
        <f aca="false">IF(A935="","",IFERROR(VLOOKUP(A935,'Recert Status'!$A$8:$C$400,3,FALSE()),""))</f>
        <v>46387</v>
      </c>
      <c r="D935" s="18" t="s">
        <v>557</v>
      </c>
      <c r="E935" s="26" t="n">
        <v>35513</v>
      </c>
      <c r="F935" s="27" t="n">
        <v>1</v>
      </c>
      <c r="G935" s="28" t="n">
        <v>45688</v>
      </c>
      <c r="H935" s="28" t="n">
        <v>45688</v>
      </c>
      <c r="I935" s="18" t="s">
        <v>558</v>
      </c>
      <c r="J935" s="26" t="s">
        <v>384</v>
      </c>
      <c r="K935" s="18" t="s">
        <v>407</v>
      </c>
      <c r="L935" s="27" t="n">
        <v>1</v>
      </c>
      <c r="M935" s="36" t="s">
        <v>396</v>
      </c>
      <c r="N935" s="18" t="s">
        <v>397</v>
      </c>
      <c r="O935" s="27" t="n">
        <v>1</v>
      </c>
      <c r="P935" s="15" t="n">
        <f aca="false">IF(A935="","",IF(O935&lt;&gt;"",O935,IF(L935&lt;&gt;"",L935,F935)))</f>
        <v>1</v>
      </c>
    </row>
    <row r="936" customFormat="false" ht="15" hidden="false" customHeight="true" outlineLevel="0" collapsed="false">
      <c r="A936" s="30" t="s">
        <v>116</v>
      </c>
      <c r="B936" s="30" t="s">
        <v>117</v>
      </c>
      <c r="C936" s="21" t="n">
        <f aca="false">IF(A936="","",IFERROR(VLOOKUP(A936,'Recert Status'!$A$8:$C$400,3,FALSE()),""))</f>
        <v>46387</v>
      </c>
      <c r="D936" s="31" t="s">
        <v>849</v>
      </c>
      <c r="E936" s="30" t="s">
        <v>452</v>
      </c>
      <c r="F936" s="32" t="n">
        <v>1</v>
      </c>
      <c r="G936" s="33" t="n">
        <v>46174</v>
      </c>
      <c r="H936" s="33" t="n">
        <v>46174</v>
      </c>
      <c r="I936" s="31" t="s">
        <v>1213</v>
      </c>
      <c r="J936" s="30" t="s">
        <v>452</v>
      </c>
      <c r="K936" s="31" t="s">
        <v>385</v>
      </c>
      <c r="L936" s="32" t="n">
        <v>1</v>
      </c>
      <c r="M936" s="36" t="s">
        <v>396</v>
      </c>
      <c r="N936" s="31" t="s">
        <v>397</v>
      </c>
      <c r="O936" s="32" t="n">
        <v>1</v>
      </c>
      <c r="P936" s="15" t="n">
        <f aca="false">IF(A936="","",IF(O936&lt;&gt;"",O936,IF(L936&lt;&gt;"",L936,F936)))</f>
        <v>1</v>
      </c>
    </row>
    <row r="937" customFormat="false" ht="15" hidden="false" customHeight="true" outlineLevel="0" collapsed="false">
      <c r="A937" s="26" t="s">
        <v>116</v>
      </c>
      <c r="B937" s="26" t="s">
        <v>117</v>
      </c>
      <c r="C937" s="14" t="n">
        <f aca="false">IF(A937="","",IFERROR(VLOOKUP(A937,'Recert Status'!$A$8:$C$400,3,FALSE()),""))</f>
        <v>46387</v>
      </c>
      <c r="D937" s="18" t="s">
        <v>397</v>
      </c>
      <c r="E937" s="26" t="s">
        <v>452</v>
      </c>
      <c r="F937" s="27" t="n">
        <v>1</v>
      </c>
      <c r="G937" s="28" t="n">
        <v>46246</v>
      </c>
      <c r="H937" s="28" t="n">
        <v>46246</v>
      </c>
      <c r="I937" s="18" t="s">
        <v>478</v>
      </c>
      <c r="J937" s="26" t="s">
        <v>452</v>
      </c>
      <c r="K937" s="18" t="s">
        <v>385</v>
      </c>
      <c r="L937" s="27" t="n">
        <v>1</v>
      </c>
      <c r="M937" s="36" t="s">
        <v>396</v>
      </c>
      <c r="N937" s="18" t="s">
        <v>397</v>
      </c>
      <c r="O937" s="27" t="n">
        <v>1</v>
      </c>
      <c r="P937" s="15" t="n">
        <f aca="false">IF(A937="","",IF(O937&lt;&gt;"",O937,IF(L937&lt;&gt;"",L937,F937)))</f>
        <v>1</v>
      </c>
    </row>
    <row r="938" customFormat="false" ht="15" hidden="false" customHeight="true" outlineLevel="0" collapsed="false">
      <c r="A938" s="30" t="s">
        <v>116</v>
      </c>
      <c r="B938" s="30" t="s">
        <v>117</v>
      </c>
      <c r="C938" s="21" t="n">
        <f aca="false">IF(A938="","",IFERROR(VLOOKUP(A938,'Recert Status'!$A$8:$C$400,3,FALSE()),""))</f>
        <v>46387</v>
      </c>
      <c r="D938" s="31" t="s">
        <v>565</v>
      </c>
      <c r="E938" s="30" t="s">
        <v>416</v>
      </c>
      <c r="F938" s="32" t="n">
        <v>1</v>
      </c>
      <c r="G938" s="33" t="n">
        <v>45826</v>
      </c>
      <c r="H938" s="33" t="n">
        <v>45826</v>
      </c>
      <c r="I938" s="31" t="s">
        <v>566</v>
      </c>
      <c r="J938" s="30" t="s">
        <v>416</v>
      </c>
      <c r="K938" s="31" t="s">
        <v>485</v>
      </c>
      <c r="L938" s="32" t="n">
        <v>1</v>
      </c>
      <c r="M938" s="39" t="s">
        <v>413</v>
      </c>
      <c r="N938" s="31" t="s">
        <v>414</v>
      </c>
      <c r="O938" s="32" t="n">
        <v>1</v>
      </c>
      <c r="P938" s="15" t="n">
        <f aca="false">IF(A938="","",IF(O938&lt;&gt;"",O938,IF(L938&lt;&gt;"",L938,F938)))</f>
        <v>1</v>
      </c>
    </row>
    <row r="939" customFormat="false" ht="15" hidden="false" customHeight="true" outlineLevel="0" collapsed="false">
      <c r="A939" s="26" t="s">
        <v>116</v>
      </c>
      <c r="B939" s="26" t="s">
        <v>117</v>
      </c>
      <c r="C939" s="14" t="n">
        <f aca="false">IF(A939="","",IFERROR(VLOOKUP(A939,'Recert Status'!$A$8:$C$400,3,FALSE()),""))</f>
        <v>46387</v>
      </c>
      <c r="D939" s="18" t="s">
        <v>414</v>
      </c>
      <c r="E939" s="26" t="s">
        <v>416</v>
      </c>
      <c r="F939" s="27" t="n">
        <v>2</v>
      </c>
      <c r="G939" s="28" t="n">
        <v>46219</v>
      </c>
      <c r="H939" s="28" t="n">
        <v>46219</v>
      </c>
      <c r="I939" s="18" t="s">
        <v>567</v>
      </c>
      <c r="J939" s="26" t="s">
        <v>416</v>
      </c>
      <c r="K939" s="18" t="s">
        <v>418</v>
      </c>
      <c r="L939" s="27" t="n">
        <v>2</v>
      </c>
      <c r="M939" s="39" t="s">
        <v>413</v>
      </c>
      <c r="N939" s="18" t="s">
        <v>414</v>
      </c>
      <c r="O939" s="27" t="n">
        <v>2</v>
      </c>
      <c r="P939" s="15" t="n">
        <f aca="false">IF(A939="","",IF(O939&lt;&gt;"",O939,IF(L939&lt;&gt;"",L939,F939)))</f>
        <v>2</v>
      </c>
    </row>
    <row r="940" customFormat="false" ht="15" hidden="false" customHeight="true" outlineLevel="0" collapsed="false">
      <c r="A940" s="30" t="s">
        <v>118</v>
      </c>
      <c r="B940" s="30" t="s">
        <v>119</v>
      </c>
      <c r="C940" s="21" t="n">
        <f aca="false">IF(A940="","",IFERROR(VLOOKUP(A940,'Recert Status'!$A$8:$C$400,3,FALSE()),""))</f>
        <v>46387</v>
      </c>
      <c r="D940" s="31" t="s">
        <v>367</v>
      </c>
      <c r="E940" s="30" t="s">
        <v>363</v>
      </c>
      <c r="F940" s="32" t="n">
        <v>1</v>
      </c>
      <c r="G940" s="33" t="n">
        <v>46224</v>
      </c>
      <c r="H940" s="33" t="n">
        <v>46224</v>
      </c>
      <c r="I940" s="31" t="s">
        <v>1035</v>
      </c>
      <c r="J940" s="30" t="s">
        <v>363</v>
      </c>
      <c r="K940" s="31" t="s">
        <v>1036</v>
      </c>
      <c r="L940" s="32" t="n">
        <v>1</v>
      </c>
      <c r="M940" s="29" t="s">
        <v>366</v>
      </c>
      <c r="N940" s="31" t="s">
        <v>367</v>
      </c>
      <c r="O940" s="32" t="n">
        <v>1</v>
      </c>
      <c r="P940" s="15" t="n">
        <f aca="false">IF(A940="","",IF(O940&lt;&gt;"",O940,IF(L940&lt;&gt;"",L940,F940)))</f>
        <v>1</v>
      </c>
    </row>
    <row r="941" customFormat="false" ht="15" hidden="false" customHeight="true" outlineLevel="0" collapsed="false">
      <c r="A941" s="26" t="s">
        <v>118</v>
      </c>
      <c r="B941" s="26" t="s">
        <v>119</v>
      </c>
      <c r="C941" s="14" t="n">
        <f aca="false">IF(A941="","",IFERROR(VLOOKUP(A941,'Recert Status'!$A$8:$C$400,3,FALSE()),""))</f>
        <v>46387</v>
      </c>
      <c r="D941" s="18" t="s">
        <v>430</v>
      </c>
      <c r="E941" s="26" t="s">
        <v>426</v>
      </c>
      <c r="F941" s="27" t="n">
        <v>1</v>
      </c>
      <c r="G941" s="28" t="n">
        <v>46224</v>
      </c>
      <c r="H941" s="28" t="n">
        <v>46224</v>
      </c>
      <c r="I941" s="18" t="s">
        <v>1037</v>
      </c>
      <c r="J941" s="26" t="s">
        <v>426</v>
      </c>
      <c r="K941" s="18" t="s">
        <v>428</v>
      </c>
      <c r="L941" s="27" t="n">
        <v>1</v>
      </c>
      <c r="M941" s="41" t="s">
        <v>429</v>
      </c>
      <c r="N941" s="18" t="s">
        <v>430</v>
      </c>
      <c r="O941" s="27" t="n">
        <v>1</v>
      </c>
      <c r="P941" s="15" t="n">
        <f aca="false">IF(A941="","",IF(O941&lt;&gt;"",O941,IF(L941&lt;&gt;"",L941,F941)))</f>
        <v>1</v>
      </c>
    </row>
    <row r="942" customFormat="false" ht="15" hidden="false" customHeight="true" outlineLevel="0" collapsed="false">
      <c r="A942" s="30" t="s">
        <v>118</v>
      </c>
      <c r="B942" s="30" t="s">
        <v>119</v>
      </c>
      <c r="C942" s="21" t="n">
        <f aca="false">IF(A942="","",IFERROR(VLOOKUP(A942,'Recert Status'!$A$8:$C$400,3,FALSE()),""))</f>
        <v>46387</v>
      </c>
      <c r="D942" s="31" t="s">
        <v>1214</v>
      </c>
      <c r="E942" s="30" t="s">
        <v>372</v>
      </c>
      <c r="F942" s="32" t="n">
        <v>1</v>
      </c>
      <c r="G942" s="33" t="n">
        <v>45874</v>
      </c>
      <c r="H942" s="33" t="n">
        <v>45874</v>
      </c>
      <c r="I942" s="31" t="s">
        <v>1215</v>
      </c>
      <c r="J942" s="30" t="s">
        <v>372</v>
      </c>
      <c r="K942" s="31" t="s">
        <v>374</v>
      </c>
      <c r="L942" s="32" t="n">
        <v>1</v>
      </c>
      <c r="M942" s="34" t="s">
        <v>375</v>
      </c>
      <c r="N942" s="31" t="s">
        <v>376</v>
      </c>
      <c r="O942" s="32" t="n">
        <v>1</v>
      </c>
      <c r="P942" s="15" t="n">
        <f aca="false">IF(A942="","",IF(O942&lt;&gt;"",O942,IF(L942&lt;&gt;"",L942,F942)))</f>
        <v>1</v>
      </c>
    </row>
    <row r="943" customFormat="false" ht="15" hidden="false" customHeight="true" outlineLevel="0" collapsed="false">
      <c r="A943" s="26" t="s">
        <v>118</v>
      </c>
      <c r="B943" s="26" t="s">
        <v>119</v>
      </c>
      <c r="C943" s="14" t="n">
        <f aca="false">IF(A943="","",IFERROR(VLOOKUP(A943,'Recert Status'!$A$8:$C$400,3,FALSE()),""))</f>
        <v>46387</v>
      </c>
      <c r="D943" s="18" t="s">
        <v>449</v>
      </c>
      <c r="E943" s="26" t="s">
        <v>389</v>
      </c>
      <c r="F943" s="27" t="n">
        <v>0.5</v>
      </c>
      <c r="G943" s="28" t="n">
        <v>45698</v>
      </c>
      <c r="H943" s="28" t="n">
        <v>45698</v>
      </c>
      <c r="I943" s="18" t="s">
        <v>1216</v>
      </c>
      <c r="J943" s="26" t="s">
        <v>389</v>
      </c>
      <c r="K943" s="18" t="s">
        <v>395</v>
      </c>
      <c r="L943" s="27" t="n">
        <v>0.5</v>
      </c>
      <c r="M943" s="35" t="s">
        <v>386</v>
      </c>
      <c r="N943" s="18" t="s">
        <v>387</v>
      </c>
      <c r="O943" s="27" t="n">
        <v>0.5</v>
      </c>
      <c r="P943" s="15" t="n">
        <f aca="false">IF(A943="","",IF(O943&lt;&gt;"",O943,IF(L943&lt;&gt;"",L943,F943)))</f>
        <v>0.5</v>
      </c>
    </row>
    <row r="944" customFormat="false" ht="15" hidden="false" customHeight="true" outlineLevel="0" collapsed="false">
      <c r="A944" s="30" t="s">
        <v>118</v>
      </c>
      <c r="B944" s="30" t="s">
        <v>119</v>
      </c>
      <c r="C944" s="21" t="n">
        <f aca="false">IF(A944="","",IFERROR(VLOOKUP(A944,'Recert Status'!$A$8:$C$400,3,FALSE()),""))</f>
        <v>46387</v>
      </c>
      <c r="D944" s="31" t="s">
        <v>387</v>
      </c>
      <c r="E944" s="30" t="s">
        <v>389</v>
      </c>
      <c r="F944" s="32" t="n">
        <v>1</v>
      </c>
      <c r="G944" s="33" t="n">
        <v>46224</v>
      </c>
      <c r="H944" s="33" t="n">
        <v>46224</v>
      </c>
      <c r="I944" s="31" t="s">
        <v>1039</v>
      </c>
      <c r="J944" s="30" t="s">
        <v>389</v>
      </c>
      <c r="K944" s="31" t="s">
        <v>1040</v>
      </c>
      <c r="L944" s="32" t="n">
        <v>1</v>
      </c>
      <c r="M944" s="35" t="s">
        <v>386</v>
      </c>
      <c r="N944" s="31" t="s">
        <v>387</v>
      </c>
      <c r="O944" s="32" t="n">
        <v>1</v>
      </c>
      <c r="P944" s="15" t="n">
        <f aca="false">IF(A944="","",IF(O944&lt;&gt;"",O944,IF(L944&lt;&gt;"",L944,F944)))</f>
        <v>1</v>
      </c>
    </row>
    <row r="945" customFormat="false" ht="15" hidden="false" customHeight="true" outlineLevel="0" collapsed="false">
      <c r="A945" s="26" t="s">
        <v>118</v>
      </c>
      <c r="B945" s="26" t="s">
        <v>119</v>
      </c>
      <c r="C945" s="14" t="n">
        <f aca="false">IF(A945="","",IFERROR(VLOOKUP(A945,'Recert Status'!$A$8:$C$400,3,FALSE()),""))</f>
        <v>46387</v>
      </c>
      <c r="D945" s="18" t="s">
        <v>387</v>
      </c>
      <c r="E945" s="26" t="s">
        <v>389</v>
      </c>
      <c r="F945" s="27" t="n">
        <v>1</v>
      </c>
      <c r="G945" s="28" t="n">
        <v>46233</v>
      </c>
      <c r="H945" s="28" t="n">
        <v>46233</v>
      </c>
      <c r="I945" s="18" t="s">
        <v>1032</v>
      </c>
      <c r="J945" s="26" t="s">
        <v>389</v>
      </c>
      <c r="K945" s="18" t="s">
        <v>468</v>
      </c>
      <c r="L945" s="27" t="n">
        <v>1</v>
      </c>
      <c r="M945" s="35" t="s">
        <v>386</v>
      </c>
      <c r="N945" s="18" t="s">
        <v>387</v>
      </c>
      <c r="O945" s="27" t="n">
        <v>1</v>
      </c>
      <c r="P945" s="15" t="n">
        <f aca="false">IF(A945="","",IF(O945&lt;&gt;"",O945,IF(L945&lt;&gt;"",L945,F945)))</f>
        <v>1</v>
      </c>
    </row>
    <row r="946" customFormat="false" ht="15" hidden="false" customHeight="true" outlineLevel="0" collapsed="false">
      <c r="A946" s="30" t="s">
        <v>118</v>
      </c>
      <c r="B946" s="30" t="s">
        <v>119</v>
      </c>
      <c r="C946" s="21" t="n">
        <f aca="false">IF(A946="","",IFERROR(VLOOKUP(A946,'Recert Status'!$A$8:$C$400,3,FALSE()),""))</f>
        <v>46387</v>
      </c>
      <c r="D946" s="31" t="s">
        <v>1217</v>
      </c>
      <c r="E946" s="30" t="n">
        <v>29740</v>
      </c>
      <c r="F946" s="32" t="n">
        <v>1</v>
      </c>
      <c r="G946" s="33" t="n">
        <v>46071</v>
      </c>
      <c r="H946" s="33" t="n">
        <v>46071</v>
      </c>
      <c r="I946" s="31" t="s">
        <v>1218</v>
      </c>
      <c r="J946" s="30" t="s">
        <v>394</v>
      </c>
      <c r="K946" s="31" t="s">
        <v>504</v>
      </c>
      <c r="L946" s="32" t="n">
        <v>1</v>
      </c>
      <c r="M946" s="36" t="s">
        <v>396</v>
      </c>
      <c r="N946" s="31" t="s">
        <v>397</v>
      </c>
      <c r="O946" s="32" t="n">
        <v>1</v>
      </c>
      <c r="P946" s="15" t="n">
        <f aca="false">IF(A946="","",IF(O946&lt;&gt;"",O946,IF(L946&lt;&gt;"",L946,F946)))</f>
        <v>1</v>
      </c>
    </row>
    <row r="947" customFormat="false" ht="15" hidden="false" customHeight="true" outlineLevel="0" collapsed="false">
      <c r="A947" s="26" t="s">
        <v>118</v>
      </c>
      <c r="B947" s="26" t="s">
        <v>119</v>
      </c>
      <c r="C947" s="14" t="n">
        <f aca="false">IF(A947="","",IFERROR(VLOOKUP(A947,'Recert Status'!$A$8:$C$400,3,FALSE()),""))</f>
        <v>46387</v>
      </c>
      <c r="D947" s="18" t="s">
        <v>1219</v>
      </c>
      <c r="E947" s="26" t="s">
        <v>452</v>
      </c>
      <c r="F947" s="27" t="n">
        <v>1</v>
      </c>
      <c r="G947" s="28" t="n">
        <v>46119</v>
      </c>
      <c r="H947" s="28" t="n">
        <v>46119</v>
      </c>
      <c r="I947" s="18" t="s">
        <v>1220</v>
      </c>
      <c r="J947" s="26" t="s">
        <v>452</v>
      </c>
      <c r="K947" s="18" t="s">
        <v>1221</v>
      </c>
      <c r="L947" s="27" t="n">
        <v>1</v>
      </c>
      <c r="M947" s="36" t="s">
        <v>396</v>
      </c>
      <c r="N947" s="18" t="s">
        <v>397</v>
      </c>
      <c r="O947" s="27" t="n">
        <v>1</v>
      </c>
      <c r="P947" s="15" t="n">
        <f aca="false">IF(A947="","",IF(O947&lt;&gt;"",O947,IF(L947&lt;&gt;"",L947,F947)))</f>
        <v>1</v>
      </c>
    </row>
    <row r="948" customFormat="false" ht="15" hidden="false" customHeight="true" outlineLevel="0" collapsed="false">
      <c r="A948" s="30" t="s">
        <v>118</v>
      </c>
      <c r="B948" s="30" t="s">
        <v>119</v>
      </c>
      <c r="C948" s="21" t="n">
        <f aca="false">IF(A948="","",IFERROR(VLOOKUP(A948,'Recert Status'!$A$8:$C$400,3,FALSE()),""))</f>
        <v>46387</v>
      </c>
      <c r="D948" s="31" t="s">
        <v>994</v>
      </c>
      <c r="E948" s="30" t="n">
        <v>35513</v>
      </c>
      <c r="F948" s="32" t="n">
        <v>1</v>
      </c>
      <c r="G948" s="33" t="n">
        <v>46161</v>
      </c>
      <c r="H948" s="33" t="n">
        <v>46161</v>
      </c>
      <c r="I948" s="31" t="s">
        <v>1222</v>
      </c>
      <c r="J948" s="30" t="s">
        <v>384</v>
      </c>
      <c r="K948" s="31" t="s">
        <v>385</v>
      </c>
      <c r="L948" s="32" t="n">
        <v>1</v>
      </c>
      <c r="M948" s="36" t="s">
        <v>396</v>
      </c>
      <c r="N948" s="31" t="s">
        <v>397</v>
      </c>
      <c r="O948" s="32" t="n">
        <v>1</v>
      </c>
      <c r="P948" s="15" t="n">
        <f aca="false">IF(A948="","",IF(O948&lt;&gt;"",O948,IF(L948&lt;&gt;"",L948,F948)))</f>
        <v>1</v>
      </c>
    </row>
    <row r="949" customFormat="false" ht="15" hidden="false" customHeight="true" outlineLevel="0" collapsed="false">
      <c r="A949" s="26" t="s">
        <v>118</v>
      </c>
      <c r="B949" s="26" t="s">
        <v>119</v>
      </c>
      <c r="C949" s="14" t="n">
        <f aca="false">IF(A949="","",IFERROR(VLOOKUP(A949,'Recert Status'!$A$8:$C$400,3,FALSE()),""))</f>
        <v>46387</v>
      </c>
      <c r="D949" s="18" t="s">
        <v>397</v>
      </c>
      <c r="E949" s="26" t="s">
        <v>452</v>
      </c>
      <c r="F949" s="27" t="n">
        <v>1</v>
      </c>
      <c r="G949" s="28" t="n">
        <v>46245</v>
      </c>
      <c r="H949" s="28" t="n">
        <v>46245</v>
      </c>
      <c r="I949" s="18" t="s">
        <v>605</v>
      </c>
      <c r="J949" s="26" t="s">
        <v>452</v>
      </c>
      <c r="K949" s="18" t="s">
        <v>385</v>
      </c>
      <c r="L949" s="27" t="n">
        <v>1</v>
      </c>
      <c r="M949" s="36" t="s">
        <v>396</v>
      </c>
      <c r="N949" s="18" t="s">
        <v>397</v>
      </c>
      <c r="O949" s="27" t="n">
        <v>1</v>
      </c>
      <c r="P949" s="15" t="n">
        <f aca="false">IF(A949="","",IF(O949&lt;&gt;"",O949,IF(L949&lt;&gt;"",L949,F949)))</f>
        <v>1</v>
      </c>
    </row>
    <row r="950" customFormat="false" ht="15" hidden="false" customHeight="true" outlineLevel="0" collapsed="false">
      <c r="A950" s="30" t="s">
        <v>118</v>
      </c>
      <c r="B950" s="30" t="s">
        <v>119</v>
      </c>
      <c r="C950" s="21" t="n">
        <f aca="false">IF(A950="","",IFERROR(VLOOKUP(A950,'Recert Status'!$A$8:$C$400,3,FALSE()),""))</f>
        <v>46387</v>
      </c>
      <c r="D950" s="31" t="s">
        <v>398</v>
      </c>
      <c r="E950" s="30" t="s">
        <v>399</v>
      </c>
      <c r="F950" s="32" t="n">
        <v>1</v>
      </c>
      <c r="G950" s="33" t="n">
        <v>45752</v>
      </c>
      <c r="H950" s="33" t="n">
        <v>45752</v>
      </c>
      <c r="I950" s="31" t="s">
        <v>1223</v>
      </c>
      <c r="J950" s="30" t="s">
        <v>399</v>
      </c>
      <c r="K950" s="31" t="s">
        <v>401</v>
      </c>
      <c r="L950" s="32" t="n">
        <v>1</v>
      </c>
      <c r="M950" s="37" t="s">
        <v>402</v>
      </c>
      <c r="N950" s="31" t="s">
        <v>403</v>
      </c>
      <c r="O950" s="32" t="n">
        <v>1</v>
      </c>
      <c r="P950" s="15" t="n">
        <f aca="false">IF(A950="","",IF(O950&lt;&gt;"",O950,IF(L950&lt;&gt;"",L950,F950)))</f>
        <v>1</v>
      </c>
    </row>
    <row r="951" customFormat="false" ht="15" hidden="false" customHeight="true" outlineLevel="0" collapsed="false">
      <c r="A951" s="26" t="s">
        <v>118</v>
      </c>
      <c r="B951" s="26" t="s">
        <v>119</v>
      </c>
      <c r="C951" s="14" t="n">
        <f aca="false">IF(A951="","",IFERROR(VLOOKUP(A951,'Recert Status'!$A$8:$C$400,3,FALSE()),""))</f>
        <v>46387</v>
      </c>
      <c r="D951" s="18" t="s">
        <v>582</v>
      </c>
      <c r="E951" s="26" t="s">
        <v>416</v>
      </c>
      <c r="F951" s="27" t="n">
        <v>2</v>
      </c>
      <c r="G951" s="28" t="n">
        <v>45861</v>
      </c>
      <c r="H951" s="28" t="n">
        <v>45861</v>
      </c>
      <c r="I951" s="18" t="s">
        <v>583</v>
      </c>
      <c r="J951" s="26" t="s">
        <v>416</v>
      </c>
      <c r="K951" s="18" t="s">
        <v>418</v>
      </c>
      <c r="L951" s="27" t="n">
        <v>2</v>
      </c>
      <c r="M951" s="39" t="s">
        <v>413</v>
      </c>
      <c r="N951" s="18" t="s">
        <v>414</v>
      </c>
      <c r="O951" s="27" t="n">
        <v>2</v>
      </c>
      <c r="P951" s="15" t="n">
        <f aca="false">IF(A951="","",IF(O951&lt;&gt;"",O951,IF(L951&lt;&gt;"",L951,F951)))</f>
        <v>2</v>
      </c>
    </row>
    <row r="952" customFormat="false" ht="15" hidden="false" customHeight="true" outlineLevel="0" collapsed="false">
      <c r="A952" s="30" t="s">
        <v>118</v>
      </c>
      <c r="B952" s="30" t="s">
        <v>119</v>
      </c>
      <c r="C952" s="21" t="n">
        <f aca="false">IF(A952="","",IFERROR(VLOOKUP(A952,'Recert Status'!$A$8:$C$400,3,FALSE()),""))</f>
        <v>46387</v>
      </c>
      <c r="D952" s="31" t="s">
        <v>488</v>
      </c>
      <c r="E952" s="30" t="s">
        <v>416</v>
      </c>
      <c r="F952" s="32" t="n">
        <v>1</v>
      </c>
      <c r="G952" s="33" t="n">
        <v>46125</v>
      </c>
      <c r="H952" s="33" t="n">
        <v>46125</v>
      </c>
      <c r="I952" s="31" t="s">
        <v>608</v>
      </c>
      <c r="J952" s="30" t="s">
        <v>416</v>
      </c>
      <c r="K952" s="31" t="s">
        <v>490</v>
      </c>
      <c r="L952" s="32" t="n">
        <v>1</v>
      </c>
      <c r="M952" s="39" t="s">
        <v>413</v>
      </c>
      <c r="N952" s="31" t="s">
        <v>414</v>
      </c>
      <c r="O952" s="32" t="n">
        <v>1</v>
      </c>
      <c r="P952" s="15" t="n">
        <f aca="false">IF(A952="","",IF(O952&lt;&gt;"",O952,IF(L952&lt;&gt;"",L952,F952)))</f>
        <v>1</v>
      </c>
    </row>
    <row r="953" customFormat="false" ht="15" hidden="false" customHeight="true" outlineLevel="0" collapsed="false">
      <c r="A953" s="26" t="s">
        <v>120</v>
      </c>
      <c r="B953" s="26" t="s">
        <v>121</v>
      </c>
      <c r="C953" s="14" t="n">
        <f aca="false">IF(A953="","",IFERROR(VLOOKUP(A953,'Recert Status'!$A$8:$C$400,3,FALSE()),""))</f>
        <v>46387</v>
      </c>
      <c r="D953" s="18" t="s">
        <v>811</v>
      </c>
      <c r="E953" s="26" t="s">
        <v>363</v>
      </c>
      <c r="F953" s="27" t="n">
        <v>1</v>
      </c>
      <c r="G953" s="28" t="n">
        <v>45783</v>
      </c>
      <c r="H953" s="28" t="n">
        <v>45783</v>
      </c>
      <c r="I953" s="18" t="s">
        <v>812</v>
      </c>
      <c r="J953" s="26" t="s">
        <v>363</v>
      </c>
      <c r="K953" s="18" t="s">
        <v>813</v>
      </c>
      <c r="L953" s="27" t="n">
        <v>1</v>
      </c>
      <c r="M953" s="29" t="s">
        <v>366</v>
      </c>
      <c r="N953" s="18" t="s">
        <v>367</v>
      </c>
      <c r="O953" s="27" t="n">
        <v>1</v>
      </c>
      <c r="P953" s="15" t="n">
        <f aca="false">IF(A953="","",IF(O953&lt;&gt;"",O953,IF(L953&lt;&gt;"",L953,F953)))</f>
        <v>1</v>
      </c>
    </row>
    <row r="954" customFormat="false" ht="15" hidden="false" customHeight="true" outlineLevel="0" collapsed="false">
      <c r="A954" s="30" t="s">
        <v>120</v>
      </c>
      <c r="B954" s="30" t="s">
        <v>121</v>
      </c>
      <c r="C954" s="21" t="n">
        <f aca="false">IF(A954="","",IFERROR(VLOOKUP(A954,'Recert Status'!$A$8:$C$400,3,FALSE()),""))</f>
        <v>46387</v>
      </c>
      <c r="D954" s="31" t="s">
        <v>368</v>
      </c>
      <c r="E954" s="30" t="s">
        <v>363</v>
      </c>
      <c r="F954" s="32" t="n">
        <v>1.5</v>
      </c>
      <c r="G954" s="33" t="n">
        <v>45820</v>
      </c>
      <c r="H954" s="33" t="n">
        <v>45820</v>
      </c>
      <c r="I954" s="31" t="s">
        <v>369</v>
      </c>
      <c r="J954" s="30" t="s">
        <v>363</v>
      </c>
      <c r="K954" s="31" t="s">
        <v>370</v>
      </c>
      <c r="L954" s="32" t="n">
        <v>1.5</v>
      </c>
      <c r="M954" s="29" t="s">
        <v>366</v>
      </c>
      <c r="N954" s="31" t="s">
        <v>367</v>
      </c>
      <c r="O954" s="32" t="n">
        <v>1.5</v>
      </c>
      <c r="P954" s="15" t="n">
        <f aca="false">IF(A954="","",IF(O954&lt;&gt;"",O954,IF(L954&lt;&gt;"",L954,F954)))</f>
        <v>1.5</v>
      </c>
    </row>
    <row r="955" customFormat="false" ht="15" hidden="false" customHeight="true" outlineLevel="0" collapsed="false">
      <c r="A955" s="26" t="s">
        <v>120</v>
      </c>
      <c r="B955" s="26" t="s">
        <v>121</v>
      </c>
      <c r="C955" s="14" t="n">
        <f aca="false">IF(A955="","",IFERROR(VLOOKUP(A955,'Recert Status'!$A$8:$C$400,3,FALSE()),""))</f>
        <v>46387</v>
      </c>
      <c r="D955" s="18" t="s">
        <v>1174</v>
      </c>
      <c r="E955" s="26" t="s">
        <v>542</v>
      </c>
      <c r="F955" s="27" t="n">
        <v>1</v>
      </c>
      <c r="G955" s="28" t="n">
        <v>45783</v>
      </c>
      <c r="H955" s="28" t="n">
        <v>45783</v>
      </c>
      <c r="I955" s="18" t="s">
        <v>1175</v>
      </c>
      <c r="J955" s="26" t="s">
        <v>542</v>
      </c>
      <c r="K955" s="18" t="s">
        <v>422</v>
      </c>
      <c r="L955" s="27" t="n">
        <v>1</v>
      </c>
      <c r="M955" s="40" t="s">
        <v>423</v>
      </c>
      <c r="N955" s="18" t="s">
        <v>424</v>
      </c>
      <c r="O955" s="27" t="n">
        <v>1</v>
      </c>
      <c r="P955" s="15" t="n">
        <f aca="false">IF(A955="","",IF(O955&lt;&gt;"",O955,IF(L955&lt;&gt;"",L955,F955)))</f>
        <v>1</v>
      </c>
    </row>
    <row r="956" customFormat="false" ht="15" hidden="false" customHeight="true" outlineLevel="0" collapsed="false">
      <c r="A956" s="30" t="s">
        <v>120</v>
      </c>
      <c r="B956" s="30" t="s">
        <v>121</v>
      </c>
      <c r="C956" s="21" t="n">
        <f aca="false">IF(A956="","",IFERROR(VLOOKUP(A956,'Recert Status'!$A$8:$C$400,3,FALSE()),""))</f>
        <v>46387</v>
      </c>
      <c r="D956" s="31" t="s">
        <v>632</v>
      </c>
      <c r="E956" s="30" t="n">
        <v>29675</v>
      </c>
      <c r="F956" s="32" t="n">
        <v>0.5</v>
      </c>
      <c r="G956" s="33" t="n">
        <v>45855</v>
      </c>
      <c r="H956" s="33" t="n">
        <v>45855</v>
      </c>
      <c r="I956" s="31" t="s">
        <v>633</v>
      </c>
      <c r="J956" s="30" t="s">
        <v>406</v>
      </c>
      <c r="K956" s="31" t="s">
        <v>422</v>
      </c>
      <c r="L956" s="32" t="n">
        <v>0.5</v>
      </c>
      <c r="M956" s="40" t="s">
        <v>423</v>
      </c>
      <c r="N956" s="31" t="s">
        <v>424</v>
      </c>
      <c r="O956" s="32" t="n">
        <v>0.5</v>
      </c>
      <c r="P956" s="15" t="n">
        <f aca="false">IF(A956="","",IF(O956&lt;&gt;"",O956,IF(L956&lt;&gt;"",L956,F956)))</f>
        <v>0.5</v>
      </c>
    </row>
    <row r="957" customFormat="false" ht="15" hidden="false" customHeight="true" outlineLevel="0" collapsed="false">
      <c r="A957" s="26" t="s">
        <v>120</v>
      </c>
      <c r="B957" s="26" t="s">
        <v>121</v>
      </c>
      <c r="C957" s="14" t="n">
        <f aca="false">IF(A957="","",IFERROR(VLOOKUP(A957,'Recert Status'!$A$8:$C$400,3,FALSE()),""))</f>
        <v>46387</v>
      </c>
      <c r="D957" s="18" t="s">
        <v>949</v>
      </c>
      <c r="E957" s="26" t="s">
        <v>542</v>
      </c>
      <c r="F957" s="27" t="n">
        <v>1</v>
      </c>
      <c r="G957" s="28" t="n">
        <v>46056</v>
      </c>
      <c r="H957" s="28" t="n">
        <v>46056</v>
      </c>
      <c r="I957" s="18" t="s">
        <v>950</v>
      </c>
      <c r="J957" s="26" t="s">
        <v>542</v>
      </c>
      <c r="K957" s="18" t="s">
        <v>422</v>
      </c>
      <c r="L957" s="27" t="n">
        <v>1</v>
      </c>
      <c r="M957" s="40" t="s">
        <v>423</v>
      </c>
      <c r="N957" s="18" t="s">
        <v>424</v>
      </c>
      <c r="O957" s="27" t="n">
        <v>1</v>
      </c>
      <c r="P957" s="15" t="n">
        <f aca="false">IF(A957="","",IF(O957&lt;&gt;"",O957,IF(L957&lt;&gt;"",L957,F957)))</f>
        <v>1</v>
      </c>
    </row>
    <row r="958" customFormat="false" ht="15" hidden="false" customHeight="true" outlineLevel="0" collapsed="false">
      <c r="A958" s="30" t="s">
        <v>120</v>
      </c>
      <c r="B958" s="30" t="s">
        <v>121</v>
      </c>
      <c r="C958" s="21" t="n">
        <f aca="false">IF(A958="","",IFERROR(VLOOKUP(A958,'Recert Status'!$A$8:$C$400,3,FALSE()),""))</f>
        <v>46387</v>
      </c>
      <c r="D958" s="31" t="s">
        <v>951</v>
      </c>
      <c r="E958" s="30" t="s">
        <v>426</v>
      </c>
      <c r="F958" s="32" t="n">
        <v>1</v>
      </c>
      <c r="G958" s="33" t="n">
        <v>45912</v>
      </c>
      <c r="H958" s="33" t="n">
        <v>45912</v>
      </c>
      <c r="I958" s="31" t="s">
        <v>952</v>
      </c>
      <c r="J958" s="30" t="s">
        <v>426</v>
      </c>
      <c r="K958" s="31" t="s">
        <v>428</v>
      </c>
      <c r="L958" s="32" t="n">
        <v>1</v>
      </c>
      <c r="M958" s="41" t="s">
        <v>429</v>
      </c>
      <c r="N958" s="31" t="s">
        <v>430</v>
      </c>
      <c r="O958" s="32" t="n">
        <v>1</v>
      </c>
      <c r="P958" s="15" t="n">
        <f aca="false">IF(A958="","",IF(O958&lt;&gt;"",O958,IF(L958&lt;&gt;"",L958,F958)))</f>
        <v>1</v>
      </c>
    </row>
    <row r="959" customFormat="false" ht="15" hidden="false" customHeight="true" outlineLevel="0" collapsed="false">
      <c r="A959" s="26" t="s">
        <v>120</v>
      </c>
      <c r="B959" s="26" t="s">
        <v>121</v>
      </c>
      <c r="C959" s="14" t="n">
        <f aca="false">IF(A959="","",IFERROR(VLOOKUP(A959,'Recert Status'!$A$8:$C$400,3,FALSE()),""))</f>
        <v>46387</v>
      </c>
      <c r="D959" s="18" t="s">
        <v>816</v>
      </c>
      <c r="E959" s="26" t="s">
        <v>817</v>
      </c>
      <c r="F959" s="27" t="n">
        <v>2</v>
      </c>
      <c r="G959" s="28" t="n">
        <v>45882</v>
      </c>
      <c r="H959" s="28" t="n">
        <v>45882</v>
      </c>
      <c r="I959" s="18" t="s">
        <v>818</v>
      </c>
      <c r="J959" s="26" t="s">
        <v>817</v>
      </c>
      <c r="K959" s="18" t="s">
        <v>819</v>
      </c>
      <c r="L959" s="27" t="n">
        <v>2</v>
      </c>
      <c r="M959" s="35" t="s">
        <v>386</v>
      </c>
      <c r="N959" s="18" t="s">
        <v>387</v>
      </c>
      <c r="O959" s="27" t="n">
        <v>2</v>
      </c>
      <c r="P959" s="15" t="n">
        <f aca="false">IF(A959="","",IF(O959&lt;&gt;"",O959,IF(L959&lt;&gt;"",L959,F959)))</f>
        <v>2</v>
      </c>
    </row>
    <row r="960" customFormat="false" ht="15" hidden="false" customHeight="true" outlineLevel="0" collapsed="false">
      <c r="A960" s="30" t="s">
        <v>120</v>
      </c>
      <c r="B960" s="30" t="s">
        <v>121</v>
      </c>
      <c r="C960" s="21" t="n">
        <f aca="false">IF(A960="","",IFERROR(VLOOKUP(A960,'Recert Status'!$A$8:$C$400,3,FALSE()),""))</f>
        <v>46387</v>
      </c>
      <c r="D960" s="31" t="s">
        <v>1088</v>
      </c>
      <c r="E960" s="30" t="n">
        <v>29740</v>
      </c>
      <c r="F960" s="32" t="n">
        <v>1</v>
      </c>
      <c r="G960" s="33" t="n">
        <v>45987</v>
      </c>
      <c r="H960" s="33" t="n">
        <v>45987</v>
      </c>
      <c r="I960" s="31" t="s">
        <v>1089</v>
      </c>
      <c r="J960" s="30" t="s">
        <v>394</v>
      </c>
      <c r="K960" s="31" t="s">
        <v>468</v>
      </c>
      <c r="L960" s="32" t="n">
        <v>1</v>
      </c>
      <c r="M960" s="35" t="s">
        <v>386</v>
      </c>
      <c r="N960" s="31" t="s">
        <v>387</v>
      </c>
      <c r="O960" s="32" t="n">
        <v>1</v>
      </c>
      <c r="P960" s="15" t="n">
        <f aca="false">IF(A960="","",IF(O960&lt;&gt;"",O960,IF(L960&lt;&gt;"",L960,F960)))</f>
        <v>1</v>
      </c>
    </row>
    <row r="961" customFormat="false" ht="15" hidden="false" customHeight="true" outlineLevel="0" collapsed="false">
      <c r="A961" s="26" t="s">
        <v>120</v>
      </c>
      <c r="B961" s="26" t="s">
        <v>121</v>
      </c>
      <c r="C961" s="14" t="n">
        <f aca="false">IF(A961="","",IFERROR(VLOOKUP(A961,'Recert Status'!$A$8:$C$400,3,FALSE()),""))</f>
        <v>46387</v>
      </c>
      <c r="D961" s="18" t="s">
        <v>387</v>
      </c>
      <c r="E961" s="26" t="s">
        <v>389</v>
      </c>
      <c r="F961" s="27" t="n">
        <v>1</v>
      </c>
      <c r="G961" s="28" t="n">
        <v>46230</v>
      </c>
      <c r="H961" s="28" t="n">
        <v>46230</v>
      </c>
      <c r="I961" s="18" t="s">
        <v>1224</v>
      </c>
      <c r="J961" s="26" t="s">
        <v>389</v>
      </c>
      <c r="K961" s="18" t="s">
        <v>451</v>
      </c>
      <c r="L961" s="27" t="n">
        <v>1</v>
      </c>
      <c r="M961" s="35" t="s">
        <v>386</v>
      </c>
      <c r="N961" s="18" t="s">
        <v>387</v>
      </c>
      <c r="O961" s="27" t="n">
        <v>1</v>
      </c>
      <c r="P961" s="15" t="n">
        <f aca="false">IF(A961="","",IF(O961&lt;&gt;"",O961,IF(L961&lt;&gt;"",L961,F961)))</f>
        <v>1</v>
      </c>
    </row>
    <row r="962" customFormat="false" ht="15" hidden="false" customHeight="true" outlineLevel="0" collapsed="false">
      <c r="A962" s="30" t="s">
        <v>120</v>
      </c>
      <c r="B962" s="30" t="s">
        <v>121</v>
      </c>
      <c r="C962" s="21" t="n">
        <f aca="false">IF(A962="","",IFERROR(VLOOKUP(A962,'Recert Status'!$A$8:$C$400,3,FALSE()),""))</f>
        <v>46387</v>
      </c>
      <c r="D962" s="31" t="s">
        <v>397</v>
      </c>
      <c r="E962" s="30" t="s">
        <v>452</v>
      </c>
      <c r="F962" s="32" t="n">
        <v>1</v>
      </c>
      <c r="G962" s="33" t="n">
        <v>46245</v>
      </c>
      <c r="H962" s="33" t="n">
        <v>46245</v>
      </c>
      <c r="I962" s="31" t="s">
        <v>605</v>
      </c>
      <c r="J962" s="30" t="s">
        <v>452</v>
      </c>
      <c r="K962" s="31" t="s">
        <v>385</v>
      </c>
      <c r="L962" s="32" t="n">
        <v>1</v>
      </c>
      <c r="M962" s="36" t="s">
        <v>396</v>
      </c>
      <c r="N962" s="31" t="s">
        <v>397</v>
      </c>
      <c r="O962" s="32" t="n">
        <v>1</v>
      </c>
      <c r="P962" s="15" t="n">
        <f aca="false">IF(A962="","",IF(O962&lt;&gt;"",O962,IF(L962&lt;&gt;"",L962,F962)))</f>
        <v>1</v>
      </c>
    </row>
    <row r="963" customFormat="false" ht="15" hidden="false" customHeight="true" outlineLevel="0" collapsed="false">
      <c r="A963" s="26" t="s">
        <v>120</v>
      </c>
      <c r="B963" s="26" t="s">
        <v>121</v>
      </c>
      <c r="C963" s="14" t="n">
        <f aca="false">IF(A963="","",IFERROR(VLOOKUP(A963,'Recert Status'!$A$8:$C$400,3,FALSE()),""))</f>
        <v>46387</v>
      </c>
      <c r="D963" s="18" t="s">
        <v>692</v>
      </c>
      <c r="E963" s="26" t="s">
        <v>416</v>
      </c>
      <c r="F963" s="27" t="n">
        <v>0.5</v>
      </c>
      <c r="G963" s="28" t="n">
        <v>45780</v>
      </c>
      <c r="H963" s="28" t="n">
        <v>45780</v>
      </c>
      <c r="I963" s="18" t="s">
        <v>693</v>
      </c>
      <c r="J963" s="26" t="s">
        <v>416</v>
      </c>
      <c r="K963" s="18" t="s">
        <v>490</v>
      </c>
      <c r="L963" s="27" t="n">
        <v>0.5</v>
      </c>
      <c r="M963" s="39" t="s">
        <v>413</v>
      </c>
      <c r="N963" s="18" t="s">
        <v>414</v>
      </c>
      <c r="O963" s="27" t="n">
        <v>0.5</v>
      </c>
      <c r="P963" s="15" t="n">
        <f aca="false">IF(A963="","",IF(O963&lt;&gt;"",O963,IF(L963&lt;&gt;"",L963,F963)))</f>
        <v>0.5</v>
      </c>
    </row>
    <row r="964" customFormat="false" ht="15" hidden="false" customHeight="true" outlineLevel="0" collapsed="false">
      <c r="A964" s="30" t="s">
        <v>120</v>
      </c>
      <c r="B964" s="30" t="s">
        <v>121</v>
      </c>
      <c r="C964" s="21" t="n">
        <f aca="false">IF(A964="","",IFERROR(VLOOKUP(A964,'Recert Status'!$A$8:$C$400,3,FALSE()),""))</f>
        <v>46387</v>
      </c>
      <c r="D964" s="31" t="s">
        <v>457</v>
      </c>
      <c r="E964" s="30" t="s">
        <v>416</v>
      </c>
      <c r="F964" s="32" t="n">
        <v>2</v>
      </c>
      <c r="G964" s="33" t="n">
        <v>45861</v>
      </c>
      <c r="H964" s="33" t="n">
        <v>45861</v>
      </c>
      <c r="I964" s="31" t="s">
        <v>921</v>
      </c>
      <c r="J964" s="30" t="s">
        <v>416</v>
      </c>
      <c r="K964" s="31" t="s">
        <v>418</v>
      </c>
      <c r="L964" s="32" t="n">
        <v>2</v>
      </c>
      <c r="M964" s="39" t="s">
        <v>413</v>
      </c>
      <c r="N964" s="31" t="s">
        <v>414</v>
      </c>
      <c r="O964" s="32" t="n">
        <v>2</v>
      </c>
      <c r="P964" s="15" t="n">
        <f aca="false">IF(A964="","",IF(O964&lt;&gt;"",O964,IF(L964&lt;&gt;"",L964,F964)))</f>
        <v>2</v>
      </c>
    </row>
    <row r="965" customFormat="false" ht="15" hidden="false" customHeight="true" outlineLevel="0" collapsed="false">
      <c r="A965" s="26" t="s">
        <v>120</v>
      </c>
      <c r="B965" s="26" t="s">
        <v>121</v>
      </c>
      <c r="C965" s="14" t="n">
        <f aca="false">IF(A965="","",IFERROR(VLOOKUP(A965,'Recert Status'!$A$8:$C$400,3,FALSE()),""))</f>
        <v>46387</v>
      </c>
      <c r="D965" s="18" t="s">
        <v>582</v>
      </c>
      <c r="E965" s="26" t="s">
        <v>416</v>
      </c>
      <c r="F965" s="27" t="n">
        <v>2</v>
      </c>
      <c r="G965" s="28" t="n">
        <v>45861</v>
      </c>
      <c r="H965" s="28" t="n">
        <v>45861</v>
      </c>
      <c r="I965" s="18" t="s">
        <v>583</v>
      </c>
      <c r="J965" s="26" t="s">
        <v>416</v>
      </c>
      <c r="K965" s="18" t="s">
        <v>418</v>
      </c>
      <c r="L965" s="27" t="n">
        <v>2</v>
      </c>
      <c r="M965" s="39" t="s">
        <v>413</v>
      </c>
      <c r="N965" s="18" t="s">
        <v>414</v>
      </c>
      <c r="O965" s="27" t="n">
        <v>2</v>
      </c>
      <c r="P965" s="15" t="n">
        <f aca="false">IF(A965="","",IF(O965&lt;&gt;"",O965,IF(L965&lt;&gt;"",L965,F965)))</f>
        <v>2</v>
      </c>
    </row>
    <row r="966" customFormat="false" ht="15" hidden="false" customHeight="true" outlineLevel="0" collapsed="false">
      <c r="A966" s="30" t="s">
        <v>120</v>
      </c>
      <c r="B966" s="30" t="s">
        <v>121</v>
      </c>
      <c r="C966" s="21" t="n">
        <f aca="false">IF(A966="","",IFERROR(VLOOKUP(A966,'Recert Status'!$A$8:$C$400,3,FALSE()),""))</f>
        <v>46387</v>
      </c>
      <c r="D966" s="31" t="s">
        <v>414</v>
      </c>
      <c r="E966" s="30" t="s">
        <v>416</v>
      </c>
      <c r="F966" s="32" t="n">
        <v>4</v>
      </c>
      <c r="G966" s="33" t="n">
        <v>46218</v>
      </c>
      <c r="H966" s="33" t="n">
        <v>46218</v>
      </c>
      <c r="I966" s="31" t="s">
        <v>752</v>
      </c>
      <c r="J966" s="30" t="s">
        <v>416</v>
      </c>
      <c r="K966" s="31" t="s">
        <v>418</v>
      </c>
      <c r="L966" s="32" t="n">
        <v>4</v>
      </c>
      <c r="M966" s="39" t="s">
        <v>413</v>
      </c>
      <c r="N966" s="31" t="s">
        <v>414</v>
      </c>
      <c r="O966" s="32" t="n">
        <v>4</v>
      </c>
      <c r="P966" s="15" t="n">
        <f aca="false">IF(A966="","",IF(O966&lt;&gt;"",O966,IF(L966&lt;&gt;"",L966,F966)))</f>
        <v>4</v>
      </c>
    </row>
    <row r="967" customFormat="false" ht="15" hidden="false" customHeight="true" outlineLevel="0" collapsed="false">
      <c r="A967" s="26" t="s">
        <v>122</v>
      </c>
      <c r="B967" s="26" t="s">
        <v>123</v>
      </c>
      <c r="C967" s="14" t="n">
        <f aca="false">IF(A967="","",IFERROR(VLOOKUP(A967,'Recert Status'!$A$8:$C$400,3,FALSE()),""))</f>
        <v>46387</v>
      </c>
      <c r="D967" s="18" t="s">
        <v>756</v>
      </c>
      <c r="E967" s="26" t="s">
        <v>363</v>
      </c>
      <c r="F967" s="27" t="n">
        <v>1</v>
      </c>
      <c r="G967" s="28" t="n">
        <v>46165</v>
      </c>
      <c r="H967" s="28" t="n">
        <v>46165</v>
      </c>
      <c r="I967" s="18" t="s">
        <v>757</v>
      </c>
      <c r="J967" s="26" t="s">
        <v>363</v>
      </c>
      <c r="K967" s="18" t="s">
        <v>365</v>
      </c>
      <c r="L967" s="27" t="n">
        <v>1</v>
      </c>
      <c r="M967" s="29" t="s">
        <v>366</v>
      </c>
      <c r="N967" s="18" t="s">
        <v>367</v>
      </c>
      <c r="O967" s="27" t="n">
        <v>1</v>
      </c>
      <c r="P967" s="15" t="n">
        <f aca="false">IF(A967="","",IF(O967&lt;&gt;"",O967,IF(L967&lt;&gt;"",L967,F967)))</f>
        <v>1</v>
      </c>
    </row>
    <row r="968" customFormat="false" ht="15" hidden="false" customHeight="true" outlineLevel="0" collapsed="false">
      <c r="A968" s="30" t="s">
        <v>122</v>
      </c>
      <c r="B968" s="30" t="s">
        <v>123</v>
      </c>
      <c r="C968" s="21" t="n">
        <f aca="false">IF(A968="","",IFERROR(VLOOKUP(A968,'Recert Status'!$A$8:$C$400,3,FALSE()),""))</f>
        <v>46387</v>
      </c>
      <c r="D968" s="31" t="s">
        <v>367</v>
      </c>
      <c r="E968" s="30" t="s">
        <v>363</v>
      </c>
      <c r="F968" s="32" t="n">
        <v>1</v>
      </c>
      <c r="G968" s="33" t="n">
        <v>46228</v>
      </c>
      <c r="H968" s="33" t="n">
        <v>46228</v>
      </c>
      <c r="I968" s="31" t="s">
        <v>758</v>
      </c>
      <c r="J968" s="30" t="s">
        <v>363</v>
      </c>
      <c r="K968" s="31" t="s">
        <v>370</v>
      </c>
      <c r="L968" s="32" t="n">
        <v>1</v>
      </c>
      <c r="M968" s="29" t="s">
        <v>366</v>
      </c>
      <c r="N968" s="31" t="s">
        <v>367</v>
      </c>
      <c r="O968" s="32" t="n">
        <v>1</v>
      </c>
      <c r="P968" s="15" t="n">
        <f aca="false">IF(A968="","",IF(O968&lt;&gt;"",O968,IF(L968&lt;&gt;"",L968,F968)))</f>
        <v>1</v>
      </c>
    </row>
    <row r="969" customFormat="false" ht="15" hidden="false" customHeight="true" outlineLevel="0" collapsed="false">
      <c r="A969" s="26" t="s">
        <v>122</v>
      </c>
      <c r="B969" s="26" t="s">
        <v>123</v>
      </c>
      <c r="C969" s="14" t="n">
        <f aca="false">IF(A969="","",IFERROR(VLOOKUP(A969,'Recert Status'!$A$8:$C$400,3,FALSE()),""))</f>
        <v>46387</v>
      </c>
      <c r="D969" s="18" t="s">
        <v>589</v>
      </c>
      <c r="E969" s="26" t="s">
        <v>542</v>
      </c>
      <c r="F969" s="27" t="n">
        <v>1</v>
      </c>
      <c r="G969" s="28" t="n">
        <v>46081</v>
      </c>
      <c r="H969" s="28" t="n">
        <v>46081</v>
      </c>
      <c r="I969" s="18" t="s">
        <v>590</v>
      </c>
      <c r="J969" s="26" t="s">
        <v>542</v>
      </c>
      <c r="K969" s="18" t="s">
        <v>422</v>
      </c>
      <c r="L969" s="27" t="n">
        <v>1</v>
      </c>
      <c r="M969" s="40" t="s">
        <v>423</v>
      </c>
      <c r="N969" s="18" t="s">
        <v>424</v>
      </c>
      <c r="O969" s="27" t="n">
        <v>1</v>
      </c>
      <c r="P969" s="15" t="n">
        <f aca="false">IF(A969="","",IF(O969&lt;&gt;"",O969,IF(L969&lt;&gt;"",L969,F969)))</f>
        <v>1</v>
      </c>
    </row>
    <row r="970" customFormat="false" ht="15" hidden="false" customHeight="true" outlineLevel="0" collapsed="false">
      <c r="A970" s="30" t="s">
        <v>122</v>
      </c>
      <c r="B970" s="30" t="s">
        <v>123</v>
      </c>
      <c r="C970" s="21" t="n">
        <f aca="false">IF(A970="","",IFERROR(VLOOKUP(A970,'Recert Status'!$A$8:$C$400,3,FALSE()),""))</f>
        <v>46387</v>
      </c>
      <c r="D970" s="31" t="s">
        <v>591</v>
      </c>
      <c r="E970" s="30" t="n">
        <v>57435</v>
      </c>
      <c r="F970" s="32" t="n">
        <v>0.5</v>
      </c>
      <c r="G970" s="33" t="n">
        <v>45985</v>
      </c>
      <c r="H970" s="33" t="n">
        <v>45985</v>
      </c>
      <c r="I970" s="31" t="s">
        <v>592</v>
      </c>
      <c r="J970" s="30" t="s">
        <v>593</v>
      </c>
      <c r="K970" s="31" t="s">
        <v>446</v>
      </c>
      <c r="L970" s="32" t="n">
        <v>0.5</v>
      </c>
      <c r="M970" s="35" t="s">
        <v>386</v>
      </c>
      <c r="N970" s="31" t="s">
        <v>387</v>
      </c>
      <c r="O970" s="32" t="n">
        <v>0.5</v>
      </c>
      <c r="P970" s="15" t="n">
        <f aca="false">IF(A970="","",IF(O970&lt;&gt;"",O970,IF(L970&lt;&gt;"",L970,F970)))</f>
        <v>0.5</v>
      </c>
    </row>
    <row r="971" customFormat="false" ht="15" hidden="false" customHeight="true" outlineLevel="0" collapsed="false">
      <c r="A971" s="26" t="s">
        <v>122</v>
      </c>
      <c r="B971" s="26" t="s">
        <v>123</v>
      </c>
      <c r="C971" s="14" t="n">
        <f aca="false">IF(A971="","",IFERROR(VLOOKUP(A971,'Recert Status'!$A$8:$C$400,3,FALSE()),""))</f>
        <v>46387</v>
      </c>
      <c r="D971" s="18" t="s">
        <v>773</v>
      </c>
      <c r="E971" s="26" t="s">
        <v>389</v>
      </c>
      <c r="F971" s="27" t="n">
        <v>1</v>
      </c>
      <c r="G971" s="28" t="n">
        <v>46165</v>
      </c>
      <c r="H971" s="28" t="n">
        <v>46165</v>
      </c>
      <c r="I971" s="18" t="s">
        <v>774</v>
      </c>
      <c r="J971" s="26" t="s">
        <v>389</v>
      </c>
      <c r="K971" s="18" t="s">
        <v>395</v>
      </c>
      <c r="L971" s="27" t="n">
        <v>1</v>
      </c>
      <c r="M971" s="35" t="s">
        <v>386</v>
      </c>
      <c r="N971" s="18" t="s">
        <v>387</v>
      </c>
      <c r="O971" s="27" t="n">
        <v>1</v>
      </c>
      <c r="P971" s="15" t="n">
        <f aca="false">IF(A971="","",IF(O971&lt;&gt;"",O971,IF(L971&lt;&gt;"",L971,F971)))</f>
        <v>1</v>
      </c>
    </row>
    <row r="972" customFormat="false" ht="15" hidden="false" customHeight="true" outlineLevel="0" collapsed="false">
      <c r="A972" s="30" t="s">
        <v>122</v>
      </c>
      <c r="B972" s="30" t="s">
        <v>123</v>
      </c>
      <c r="C972" s="21" t="n">
        <f aca="false">IF(A972="","",IFERROR(VLOOKUP(A972,'Recert Status'!$A$8:$C$400,3,FALSE()),""))</f>
        <v>46387</v>
      </c>
      <c r="D972" s="31" t="s">
        <v>1225</v>
      </c>
      <c r="E972" s="30" t="s">
        <v>452</v>
      </c>
      <c r="F972" s="32" t="n">
        <v>1</v>
      </c>
      <c r="G972" s="33" t="n">
        <v>46138</v>
      </c>
      <c r="H972" s="33" t="n">
        <v>46138</v>
      </c>
      <c r="I972" s="31" t="s">
        <v>1226</v>
      </c>
      <c r="J972" s="30" t="s">
        <v>452</v>
      </c>
      <c r="K972" s="31" t="s">
        <v>735</v>
      </c>
      <c r="L972" s="32" t="n">
        <v>1</v>
      </c>
      <c r="M972" s="36" t="s">
        <v>396</v>
      </c>
      <c r="N972" s="31" t="s">
        <v>397</v>
      </c>
      <c r="O972" s="32" t="n">
        <v>1</v>
      </c>
      <c r="P972" s="15" t="n">
        <f aca="false">IF(A972="","",IF(O972&lt;&gt;"",O972,IF(L972&lt;&gt;"",L972,F972)))</f>
        <v>1</v>
      </c>
    </row>
    <row r="973" customFormat="false" ht="15" hidden="false" customHeight="true" outlineLevel="0" collapsed="false">
      <c r="A973" s="26" t="s">
        <v>122</v>
      </c>
      <c r="B973" s="26" t="s">
        <v>123</v>
      </c>
      <c r="C973" s="14" t="n">
        <f aca="false">IF(A973="","",IFERROR(VLOOKUP(A973,'Recert Status'!$A$8:$C$400,3,FALSE()),""))</f>
        <v>46387</v>
      </c>
      <c r="D973" s="18" t="s">
        <v>397</v>
      </c>
      <c r="E973" s="26" t="s">
        <v>452</v>
      </c>
      <c r="F973" s="27" t="n">
        <v>1</v>
      </c>
      <c r="G973" s="28" t="n">
        <v>46246</v>
      </c>
      <c r="H973" s="28" t="n">
        <v>46246</v>
      </c>
      <c r="I973" s="18" t="s">
        <v>478</v>
      </c>
      <c r="J973" s="26" t="s">
        <v>452</v>
      </c>
      <c r="K973" s="18" t="s">
        <v>385</v>
      </c>
      <c r="L973" s="27" t="n">
        <v>1</v>
      </c>
      <c r="M973" s="36" t="s">
        <v>396</v>
      </c>
      <c r="N973" s="18" t="s">
        <v>397</v>
      </c>
      <c r="O973" s="27" t="n">
        <v>1</v>
      </c>
      <c r="P973" s="15" t="n">
        <f aca="false">IF(A973="","",IF(O973&lt;&gt;"",O973,IF(L973&lt;&gt;"",L973,F973)))</f>
        <v>1</v>
      </c>
    </row>
    <row r="974" customFormat="false" ht="15" hidden="false" customHeight="true" outlineLevel="0" collapsed="false">
      <c r="A974" s="30" t="s">
        <v>122</v>
      </c>
      <c r="B974" s="30" t="s">
        <v>123</v>
      </c>
      <c r="C974" s="21" t="n">
        <f aca="false">IF(A974="","",IFERROR(VLOOKUP(A974,'Recert Status'!$A$8:$C$400,3,FALSE()),""))</f>
        <v>46387</v>
      </c>
      <c r="D974" s="31" t="s">
        <v>717</v>
      </c>
      <c r="E974" s="30" t="s">
        <v>416</v>
      </c>
      <c r="F974" s="32" t="n">
        <v>1</v>
      </c>
      <c r="G974" s="33" t="n">
        <v>45826</v>
      </c>
      <c r="H974" s="33" t="n">
        <v>45826</v>
      </c>
      <c r="I974" s="31" t="s">
        <v>1227</v>
      </c>
      <c r="J974" s="30" t="s">
        <v>416</v>
      </c>
      <c r="K974" s="31" t="s">
        <v>418</v>
      </c>
      <c r="L974" s="32" t="n">
        <v>1</v>
      </c>
      <c r="M974" s="39" t="s">
        <v>413</v>
      </c>
      <c r="N974" s="31" t="s">
        <v>414</v>
      </c>
      <c r="O974" s="32" t="n">
        <v>1</v>
      </c>
      <c r="P974" s="15" t="n">
        <f aca="false">IF(A974="","",IF(O974&lt;&gt;"",O974,IF(L974&lt;&gt;"",L974,F974)))</f>
        <v>1</v>
      </c>
    </row>
    <row r="975" customFormat="false" ht="15" hidden="false" customHeight="true" outlineLevel="0" collapsed="false">
      <c r="A975" s="26" t="s">
        <v>122</v>
      </c>
      <c r="B975" s="26" t="s">
        <v>123</v>
      </c>
      <c r="C975" s="14" t="n">
        <f aca="false">IF(A975="","",IFERROR(VLOOKUP(A975,'Recert Status'!$A$8:$C$400,3,FALSE()),""))</f>
        <v>46387</v>
      </c>
      <c r="D975" s="18" t="s">
        <v>717</v>
      </c>
      <c r="E975" s="26" t="s">
        <v>416</v>
      </c>
      <c r="F975" s="27" t="n">
        <v>2</v>
      </c>
      <c r="G975" s="28" t="n">
        <v>45859</v>
      </c>
      <c r="H975" s="28" t="n">
        <v>45859</v>
      </c>
      <c r="I975" s="18" t="s">
        <v>718</v>
      </c>
      <c r="J975" s="26" t="s">
        <v>416</v>
      </c>
      <c r="K975" s="18" t="s">
        <v>418</v>
      </c>
      <c r="L975" s="27" t="n">
        <v>2</v>
      </c>
      <c r="M975" s="39" t="s">
        <v>413</v>
      </c>
      <c r="N975" s="18" t="s">
        <v>414</v>
      </c>
      <c r="O975" s="27" t="n">
        <v>2</v>
      </c>
      <c r="P975" s="15" t="n">
        <f aca="false">IF(A975="","",IF(O975&lt;&gt;"",O975,IF(L975&lt;&gt;"",L975,F975)))</f>
        <v>2</v>
      </c>
    </row>
    <row r="976" customFormat="false" ht="15" hidden="false" customHeight="true" outlineLevel="0" collapsed="false">
      <c r="A976" s="30" t="s">
        <v>122</v>
      </c>
      <c r="B976" s="30" t="s">
        <v>123</v>
      </c>
      <c r="C976" s="21" t="n">
        <f aca="false">IF(A976="","",IFERROR(VLOOKUP(A976,'Recert Status'!$A$8:$C$400,3,FALSE()),""))</f>
        <v>46387</v>
      </c>
      <c r="D976" s="31" t="s">
        <v>488</v>
      </c>
      <c r="E976" s="30" t="s">
        <v>416</v>
      </c>
      <c r="F976" s="32" t="n">
        <v>1</v>
      </c>
      <c r="G976" s="33" t="n">
        <v>46126</v>
      </c>
      <c r="H976" s="33" t="n">
        <v>46126</v>
      </c>
      <c r="I976" s="31" t="s">
        <v>489</v>
      </c>
      <c r="J976" s="30" t="s">
        <v>416</v>
      </c>
      <c r="K976" s="31" t="s">
        <v>490</v>
      </c>
      <c r="L976" s="32" t="n">
        <v>1</v>
      </c>
      <c r="M976" s="39" t="s">
        <v>413</v>
      </c>
      <c r="N976" s="31" t="s">
        <v>414</v>
      </c>
      <c r="O976" s="32" t="n">
        <v>1</v>
      </c>
      <c r="P976" s="15" t="n">
        <f aca="false">IF(A976="","",IF(O976&lt;&gt;"",O976,IF(L976&lt;&gt;"",L976,F976)))</f>
        <v>1</v>
      </c>
    </row>
    <row r="977" customFormat="false" ht="15" hidden="false" customHeight="true" outlineLevel="0" collapsed="false">
      <c r="A977" s="26" t="s">
        <v>124</v>
      </c>
      <c r="B977" s="26" t="s">
        <v>125</v>
      </c>
      <c r="C977" s="14" t="n">
        <f aca="false">IF(A977="","",IFERROR(VLOOKUP(A977,'Recert Status'!$A$8:$C$400,3,FALSE()),""))</f>
        <v>46387</v>
      </c>
      <c r="D977" s="18" t="s">
        <v>938</v>
      </c>
      <c r="E977" s="26" t="n">
        <v>57394</v>
      </c>
      <c r="F977" s="27" t="n">
        <v>8</v>
      </c>
      <c r="G977" s="28" t="n">
        <v>45971</v>
      </c>
      <c r="H977" s="28" t="n">
        <v>45971</v>
      </c>
      <c r="I977" s="18" t="s">
        <v>939</v>
      </c>
      <c r="J977" s="26" t="s">
        <v>503</v>
      </c>
      <c r="K977" s="18" t="s">
        <v>940</v>
      </c>
      <c r="L977" s="27" t="n">
        <v>3</v>
      </c>
      <c r="M977" s="29" t="s">
        <v>366</v>
      </c>
      <c r="N977" s="18" t="s">
        <v>941</v>
      </c>
      <c r="O977" s="27" t="n">
        <v>8</v>
      </c>
      <c r="P977" s="15" t="n">
        <f aca="false">IF(A977="","",IF(O977&lt;&gt;"",O977,IF(L977&lt;&gt;"",L977,F977)))</f>
        <v>8</v>
      </c>
    </row>
    <row r="978" customFormat="false" ht="15" hidden="false" customHeight="true" outlineLevel="0" collapsed="false">
      <c r="A978" s="30" t="s">
        <v>124</v>
      </c>
      <c r="B978" s="30" t="s">
        <v>125</v>
      </c>
      <c r="C978" s="21" t="n">
        <f aca="false">IF(A978="","",IFERROR(VLOOKUP(A978,'Recert Status'!$A$8:$C$400,3,FALSE()),""))</f>
        <v>46387</v>
      </c>
      <c r="D978" s="31" t="s">
        <v>938</v>
      </c>
      <c r="E978" s="30" t="n">
        <v>57394</v>
      </c>
      <c r="F978" s="32" t="n">
        <v>8</v>
      </c>
      <c r="G978" s="33" t="n">
        <v>45971</v>
      </c>
      <c r="H978" s="33" t="n">
        <v>45971</v>
      </c>
      <c r="I978" s="31" t="s">
        <v>939</v>
      </c>
      <c r="J978" s="30" t="s">
        <v>503</v>
      </c>
      <c r="K978" s="31" t="s">
        <v>940</v>
      </c>
      <c r="L978" s="32" t="n">
        <v>2</v>
      </c>
      <c r="M978" s="41" t="s">
        <v>429</v>
      </c>
      <c r="N978" s="31" t="s">
        <v>941</v>
      </c>
      <c r="O978" s="32" t="n">
        <v>8</v>
      </c>
      <c r="P978" s="15" t="n">
        <f aca="false">IF(A978="","",IF(O978&lt;&gt;"",O978,IF(L978&lt;&gt;"",L978,F978)))</f>
        <v>8</v>
      </c>
    </row>
    <row r="979" customFormat="false" ht="15" hidden="false" customHeight="true" outlineLevel="0" collapsed="false">
      <c r="A979" s="26" t="s">
        <v>124</v>
      </c>
      <c r="B979" s="26" t="s">
        <v>125</v>
      </c>
      <c r="C979" s="14" t="n">
        <f aca="false">IF(A979="","",IFERROR(VLOOKUP(A979,'Recert Status'!$A$8:$C$400,3,FALSE()),""))</f>
        <v>46387</v>
      </c>
      <c r="D979" s="18" t="s">
        <v>508</v>
      </c>
      <c r="E979" s="26" t="s">
        <v>426</v>
      </c>
      <c r="F979" s="27" t="n">
        <v>1.5</v>
      </c>
      <c r="G979" s="28" t="n">
        <v>45973</v>
      </c>
      <c r="H979" s="28" t="n">
        <v>45973</v>
      </c>
      <c r="I979" s="18" t="s">
        <v>731</v>
      </c>
      <c r="J979" s="26" t="s">
        <v>426</v>
      </c>
      <c r="K979" s="18" t="s">
        <v>428</v>
      </c>
      <c r="L979" s="27" t="n">
        <v>1.5</v>
      </c>
      <c r="M979" s="41" t="s">
        <v>429</v>
      </c>
      <c r="N979" s="18" t="s">
        <v>430</v>
      </c>
      <c r="O979" s="27" t="n">
        <v>1.5</v>
      </c>
      <c r="P979" s="15" t="n">
        <f aca="false">IF(A979="","",IF(O979&lt;&gt;"",O979,IF(L979&lt;&gt;"",L979,F979)))</f>
        <v>1.5</v>
      </c>
    </row>
    <row r="980" customFormat="false" ht="15" hidden="false" customHeight="true" outlineLevel="0" collapsed="false">
      <c r="A980" s="30" t="s">
        <v>124</v>
      </c>
      <c r="B980" s="30" t="s">
        <v>125</v>
      </c>
      <c r="C980" s="21" t="n">
        <f aca="false">IF(A980="","",IFERROR(VLOOKUP(A980,'Recert Status'!$A$8:$C$400,3,FALSE()),""))</f>
        <v>46387</v>
      </c>
      <c r="D980" s="31" t="s">
        <v>938</v>
      </c>
      <c r="E980" s="30" t="n">
        <v>57394</v>
      </c>
      <c r="F980" s="32" t="n">
        <v>8</v>
      </c>
      <c r="G980" s="33" t="n">
        <v>45971</v>
      </c>
      <c r="H980" s="33" t="n">
        <v>45971</v>
      </c>
      <c r="I980" s="31" t="s">
        <v>939</v>
      </c>
      <c r="J980" s="30" t="s">
        <v>503</v>
      </c>
      <c r="K980" s="31" t="s">
        <v>940</v>
      </c>
      <c r="L980" s="32" t="n">
        <v>2</v>
      </c>
      <c r="M980" s="35" t="s">
        <v>386</v>
      </c>
      <c r="N980" s="31" t="s">
        <v>941</v>
      </c>
      <c r="O980" s="32" t="n">
        <v>8</v>
      </c>
      <c r="P980" s="15" t="n">
        <f aca="false">IF(A980="","",IF(O980&lt;&gt;"",O980,IF(L980&lt;&gt;"",L980,F980)))</f>
        <v>8</v>
      </c>
    </row>
    <row r="981" customFormat="false" ht="15" hidden="false" customHeight="true" outlineLevel="0" collapsed="false">
      <c r="A981" s="26" t="s">
        <v>124</v>
      </c>
      <c r="B981" s="26" t="s">
        <v>125</v>
      </c>
      <c r="C981" s="14" t="n">
        <f aca="false">IF(A981="","",IFERROR(VLOOKUP(A981,'Recert Status'!$A$8:$C$400,3,FALSE()),""))</f>
        <v>46387</v>
      </c>
      <c r="D981" s="18" t="s">
        <v>741</v>
      </c>
      <c r="E981" s="26" t="s">
        <v>389</v>
      </c>
      <c r="F981" s="27" t="n">
        <v>1</v>
      </c>
      <c r="G981" s="28" t="n">
        <v>45973</v>
      </c>
      <c r="H981" s="28" t="n">
        <v>45973</v>
      </c>
      <c r="I981" s="18" t="s">
        <v>731</v>
      </c>
      <c r="J981" s="26" t="s">
        <v>389</v>
      </c>
      <c r="K981" s="18" t="s">
        <v>509</v>
      </c>
      <c r="L981" s="27" t="n">
        <v>1</v>
      </c>
      <c r="M981" s="35" t="s">
        <v>386</v>
      </c>
      <c r="N981" s="18" t="s">
        <v>387</v>
      </c>
      <c r="O981" s="27" t="n">
        <v>1</v>
      </c>
      <c r="P981" s="15" t="n">
        <f aca="false">IF(A981="","",IF(O981&lt;&gt;"",O981,IF(L981&lt;&gt;"",L981,F981)))</f>
        <v>1</v>
      </c>
    </row>
    <row r="982" customFormat="false" ht="15" hidden="false" customHeight="true" outlineLevel="0" collapsed="false">
      <c r="A982" s="30" t="s">
        <v>124</v>
      </c>
      <c r="B982" s="30" t="s">
        <v>125</v>
      </c>
      <c r="C982" s="21" t="n">
        <f aca="false">IF(A982="","",IFERROR(VLOOKUP(A982,'Recert Status'!$A$8:$C$400,3,FALSE()),""))</f>
        <v>46387</v>
      </c>
      <c r="D982" s="31" t="s">
        <v>1027</v>
      </c>
      <c r="E982" s="30" t="s">
        <v>1028</v>
      </c>
      <c r="F982" s="32" t="n">
        <v>1</v>
      </c>
      <c r="G982" s="33" t="n">
        <v>45973</v>
      </c>
      <c r="H982" s="33" t="n">
        <v>45973</v>
      </c>
      <c r="I982" s="31" t="s">
        <v>1029</v>
      </c>
      <c r="J982" s="30" t="s">
        <v>1028</v>
      </c>
      <c r="K982" s="31" t="s">
        <v>766</v>
      </c>
      <c r="L982" s="32" t="n">
        <v>1</v>
      </c>
      <c r="M982" s="35" t="s">
        <v>386</v>
      </c>
      <c r="N982" s="31" t="s">
        <v>514</v>
      </c>
      <c r="O982" s="32" t="n">
        <v>1</v>
      </c>
      <c r="P982" s="15" t="n">
        <f aca="false">IF(A982="","",IF(O982&lt;&gt;"",O982,IF(L982&lt;&gt;"",L982,F982)))</f>
        <v>1</v>
      </c>
    </row>
    <row r="983" customFormat="false" ht="15" hidden="false" customHeight="true" outlineLevel="0" collapsed="false">
      <c r="A983" s="26" t="s">
        <v>124</v>
      </c>
      <c r="B983" s="26" t="s">
        <v>125</v>
      </c>
      <c r="C983" s="14" t="n">
        <f aca="false">IF(A983="","",IFERROR(VLOOKUP(A983,'Recert Status'!$A$8:$C$400,3,FALSE()),""))</f>
        <v>46387</v>
      </c>
      <c r="D983" s="18" t="s">
        <v>742</v>
      </c>
      <c r="E983" s="26" t="n">
        <v>29668</v>
      </c>
      <c r="F983" s="27" t="n">
        <v>1.5</v>
      </c>
      <c r="G983" s="28" t="n">
        <v>45973</v>
      </c>
      <c r="H983" s="28" t="n">
        <v>45973</v>
      </c>
      <c r="I983" s="18" t="s">
        <v>743</v>
      </c>
      <c r="J983" s="26" t="s">
        <v>511</v>
      </c>
      <c r="K983" s="18" t="s">
        <v>509</v>
      </c>
      <c r="L983" s="27" t="n">
        <v>1.5</v>
      </c>
      <c r="M983" s="35" t="s">
        <v>386</v>
      </c>
      <c r="N983" s="18" t="s">
        <v>387</v>
      </c>
      <c r="O983" s="27" t="n">
        <v>1.5</v>
      </c>
      <c r="P983" s="15" t="n">
        <f aca="false">IF(A983="","",IF(O983&lt;&gt;"",O983,IF(L983&lt;&gt;"",L983,F983)))</f>
        <v>1.5</v>
      </c>
    </row>
    <row r="984" customFormat="false" ht="15" hidden="false" customHeight="true" outlineLevel="0" collapsed="false">
      <c r="A984" s="30" t="s">
        <v>124</v>
      </c>
      <c r="B984" s="30" t="s">
        <v>125</v>
      </c>
      <c r="C984" s="21" t="n">
        <f aca="false">IF(A984="","",IFERROR(VLOOKUP(A984,'Recert Status'!$A$8:$C$400,3,FALSE()),""))</f>
        <v>46387</v>
      </c>
      <c r="D984" s="31" t="s">
        <v>682</v>
      </c>
      <c r="E984" s="30" t="n">
        <v>29675</v>
      </c>
      <c r="F984" s="32" t="n">
        <v>1</v>
      </c>
      <c r="G984" s="33" t="n">
        <v>45985</v>
      </c>
      <c r="H984" s="33" t="n">
        <v>45985</v>
      </c>
      <c r="I984" s="31" t="s">
        <v>1074</v>
      </c>
      <c r="J984" s="30" t="s">
        <v>406</v>
      </c>
      <c r="K984" s="31" t="s">
        <v>446</v>
      </c>
      <c r="L984" s="32" t="n">
        <v>1</v>
      </c>
      <c r="M984" s="35" t="s">
        <v>386</v>
      </c>
      <c r="N984" s="31" t="s">
        <v>387</v>
      </c>
      <c r="O984" s="32" t="n">
        <v>1</v>
      </c>
      <c r="P984" s="15" t="n">
        <f aca="false">IF(A984="","",IF(O984&lt;&gt;"",O984,IF(L984&lt;&gt;"",L984,F984)))</f>
        <v>1</v>
      </c>
    </row>
    <row r="985" customFormat="false" ht="15" hidden="false" customHeight="true" outlineLevel="0" collapsed="false">
      <c r="A985" s="26" t="s">
        <v>124</v>
      </c>
      <c r="B985" s="26" t="s">
        <v>125</v>
      </c>
      <c r="C985" s="14" t="n">
        <f aca="false">IF(A985="","",IFERROR(VLOOKUP(A985,'Recert Status'!$A$8:$C$400,3,FALSE()),""))</f>
        <v>46387</v>
      </c>
      <c r="D985" s="18" t="s">
        <v>474</v>
      </c>
      <c r="E985" s="26" t="s">
        <v>389</v>
      </c>
      <c r="F985" s="27" t="n">
        <v>1</v>
      </c>
      <c r="G985" s="28" t="n">
        <v>46204</v>
      </c>
      <c r="H985" s="28" t="n">
        <v>46204</v>
      </c>
      <c r="I985" s="18" t="s">
        <v>475</v>
      </c>
      <c r="J985" s="26" t="s">
        <v>389</v>
      </c>
      <c r="K985" s="18" t="s">
        <v>476</v>
      </c>
      <c r="L985" s="27" t="n">
        <v>1</v>
      </c>
      <c r="M985" s="35" t="s">
        <v>386</v>
      </c>
      <c r="N985" s="18" t="s">
        <v>387</v>
      </c>
      <c r="O985" s="27" t="n">
        <v>1</v>
      </c>
      <c r="P985" s="15" t="n">
        <f aca="false">IF(A985="","",IF(O985&lt;&gt;"",O985,IF(L985&lt;&gt;"",L985,F985)))</f>
        <v>1</v>
      </c>
    </row>
    <row r="986" customFormat="false" ht="15" hidden="false" customHeight="true" outlineLevel="0" collapsed="false">
      <c r="A986" s="30" t="s">
        <v>124</v>
      </c>
      <c r="B986" s="30" t="s">
        <v>125</v>
      </c>
      <c r="C986" s="21" t="n">
        <f aca="false">IF(A986="","",IFERROR(VLOOKUP(A986,'Recert Status'!$A$8:$C$400,3,FALSE()),""))</f>
        <v>46387</v>
      </c>
      <c r="D986" s="31" t="s">
        <v>744</v>
      </c>
      <c r="E986" s="30" t="s">
        <v>452</v>
      </c>
      <c r="F986" s="32" t="n">
        <v>4</v>
      </c>
      <c r="G986" s="33" t="n">
        <v>45973</v>
      </c>
      <c r="H986" s="33" t="n">
        <v>45973</v>
      </c>
      <c r="I986" s="31" t="s">
        <v>731</v>
      </c>
      <c r="J986" s="30" t="s">
        <v>452</v>
      </c>
      <c r="K986" s="31" t="s">
        <v>385</v>
      </c>
      <c r="L986" s="32" t="n">
        <v>4</v>
      </c>
      <c r="M986" s="36" t="s">
        <v>396</v>
      </c>
      <c r="N986" s="31" t="s">
        <v>397</v>
      </c>
      <c r="O986" s="32" t="n">
        <v>4</v>
      </c>
      <c r="P986" s="15" t="n">
        <f aca="false">IF(A986="","",IF(O986&lt;&gt;"",O986,IF(L986&lt;&gt;"",L986,F986)))</f>
        <v>4</v>
      </c>
    </row>
    <row r="987" customFormat="false" ht="15" hidden="false" customHeight="true" outlineLevel="0" collapsed="false">
      <c r="A987" s="26" t="s">
        <v>124</v>
      </c>
      <c r="B987" s="26" t="s">
        <v>125</v>
      </c>
      <c r="C987" s="14" t="n">
        <f aca="false">IF(A987="","",IFERROR(VLOOKUP(A987,'Recert Status'!$A$8:$C$400,3,FALSE()),""))</f>
        <v>46387</v>
      </c>
      <c r="D987" s="18" t="s">
        <v>397</v>
      </c>
      <c r="E987" s="26" t="s">
        <v>452</v>
      </c>
      <c r="F987" s="27" t="n">
        <v>1</v>
      </c>
      <c r="G987" s="28" t="n">
        <v>46244</v>
      </c>
      <c r="H987" s="28" t="n">
        <v>46244</v>
      </c>
      <c r="I987" s="18" t="s">
        <v>577</v>
      </c>
      <c r="J987" s="26" t="s">
        <v>452</v>
      </c>
      <c r="K987" s="18" t="s">
        <v>385</v>
      </c>
      <c r="L987" s="27" t="n">
        <v>1</v>
      </c>
      <c r="M987" s="36" t="s">
        <v>396</v>
      </c>
      <c r="N987" s="18" t="s">
        <v>397</v>
      </c>
      <c r="O987" s="27" t="n">
        <v>1</v>
      </c>
      <c r="P987" s="15" t="n">
        <f aca="false">IF(A987="","",IF(O987&lt;&gt;"",O987,IF(L987&lt;&gt;"",L987,F987)))</f>
        <v>1</v>
      </c>
    </row>
    <row r="988" customFormat="false" ht="15" hidden="false" customHeight="true" outlineLevel="0" collapsed="false">
      <c r="A988" s="30" t="s">
        <v>124</v>
      </c>
      <c r="B988" s="30" t="s">
        <v>125</v>
      </c>
      <c r="C988" s="21" t="n">
        <f aca="false">IF(A988="","",IFERROR(VLOOKUP(A988,'Recert Status'!$A$8:$C$400,3,FALSE()),""))</f>
        <v>46387</v>
      </c>
      <c r="D988" s="31" t="s">
        <v>672</v>
      </c>
      <c r="E988" s="30" t="s">
        <v>416</v>
      </c>
      <c r="F988" s="32" t="n">
        <v>1</v>
      </c>
      <c r="G988" s="33" t="n">
        <v>45824</v>
      </c>
      <c r="H988" s="33" t="n">
        <v>45824</v>
      </c>
      <c r="I988" s="31" t="s">
        <v>1172</v>
      </c>
      <c r="J988" s="30" t="s">
        <v>416</v>
      </c>
      <c r="K988" s="31" t="s">
        <v>418</v>
      </c>
      <c r="L988" s="32" t="n">
        <v>1</v>
      </c>
      <c r="M988" s="39" t="s">
        <v>413</v>
      </c>
      <c r="N988" s="31" t="s">
        <v>414</v>
      </c>
      <c r="O988" s="32" t="n">
        <v>1</v>
      </c>
      <c r="P988" s="15" t="n">
        <f aca="false">IF(A988="","",IF(O988&lt;&gt;"",O988,IF(L988&lt;&gt;"",L988,F988)))</f>
        <v>1</v>
      </c>
    </row>
    <row r="989" customFormat="false" ht="15" hidden="false" customHeight="true" outlineLevel="0" collapsed="false">
      <c r="A989" s="26" t="s">
        <v>124</v>
      </c>
      <c r="B989" s="26" t="s">
        <v>125</v>
      </c>
      <c r="C989" s="14" t="n">
        <f aca="false">IF(A989="","",IFERROR(VLOOKUP(A989,'Recert Status'!$A$8:$C$400,3,FALSE()),""))</f>
        <v>46387</v>
      </c>
      <c r="D989" s="18" t="s">
        <v>717</v>
      </c>
      <c r="E989" s="26" t="s">
        <v>416</v>
      </c>
      <c r="F989" s="27" t="n">
        <v>1</v>
      </c>
      <c r="G989" s="28" t="n">
        <v>45826</v>
      </c>
      <c r="H989" s="28" t="n">
        <v>45826</v>
      </c>
      <c r="I989" s="18" t="s">
        <v>747</v>
      </c>
      <c r="J989" s="26" t="s">
        <v>416</v>
      </c>
      <c r="K989" s="18" t="s">
        <v>418</v>
      </c>
      <c r="L989" s="27" t="n">
        <v>1</v>
      </c>
      <c r="M989" s="39" t="s">
        <v>413</v>
      </c>
      <c r="N989" s="18" t="s">
        <v>414</v>
      </c>
      <c r="O989" s="27" t="n">
        <v>1</v>
      </c>
      <c r="P989" s="15" t="n">
        <f aca="false">IF(A989="","",IF(O989&lt;&gt;"",O989,IF(L989&lt;&gt;"",L989,F989)))</f>
        <v>1</v>
      </c>
    </row>
    <row r="990" customFormat="false" ht="15" hidden="false" customHeight="true" outlineLevel="0" collapsed="false">
      <c r="A990" s="30" t="s">
        <v>124</v>
      </c>
      <c r="B990" s="30" t="s">
        <v>125</v>
      </c>
      <c r="C990" s="21" t="n">
        <f aca="false">IF(A990="","",IFERROR(VLOOKUP(A990,'Recert Status'!$A$8:$C$400,3,FALSE()),""))</f>
        <v>46387</v>
      </c>
      <c r="D990" s="31" t="s">
        <v>717</v>
      </c>
      <c r="E990" s="30" t="s">
        <v>416</v>
      </c>
      <c r="F990" s="32" t="n">
        <v>2</v>
      </c>
      <c r="G990" s="33" t="n">
        <v>45859</v>
      </c>
      <c r="H990" s="33" t="n">
        <v>45859</v>
      </c>
      <c r="I990" s="31" t="s">
        <v>718</v>
      </c>
      <c r="J990" s="30" t="s">
        <v>416</v>
      </c>
      <c r="K990" s="31" t="s">
        <v>418</v>
      </c>
      <c r="L990" s="32" t="n">
        <v>2</v>
      </c>
      <c r="M990" s="39" t="s">
        <v>413</v>
      </c>
      <c r="N990" s="31" t="s">
        <v>414</v>
      </c>
      <c r="O990" s="32" t="n">
        <v>2</v>
      </c>
      <c r="P990" s="15" t="n">
        <f aca="false">IF(A990="","",IF(O990&lt;&gt;"",O990,IF(L990&lt;&gt;"",L990,F990)))</f>
        <v>2</v>
      </c>
    </row>
    <row r="991" customFormat="false" ht="15" hidden="false" customHeight="true" outlineLevel="0" collapsed="false">
      <c r="A991" s="26" t="s">
        <v>124</v>
      </c>
      <c r="B991" s="26" t="s">
        <v>125</v>
      </c>
      <c r="C991" s="14" t="n">
        <f aca="false">IF(A991="","",IFERROR(VLOOKUP(A991,'Recert Status'!$A$8:$C$400,3,FALSE()),""))</f>
        <v>46387</v>
      </c>
      <c r="D991" s="18" t="s">
        <v>488</v>
      </c>
      <c r="E991" s="26" t="s">
        <v>416</v>
      </c>
      <c r="F991" s="27" t="n">
        <v>1</v>
      </c>
      <c r="G991" s="28" t="n">
        <v>46132</v>
      </c>
      <c r="H991" s="28" t="n">
        <v>46132</v>
      </c>
      <c r="I991" s="18" t="s">
        <v>609</v>
      </c>
      <c r="J991" s="26" t="s">
        <v>416</v>
      </c>
      <c r="K991" s="18" t="s">
        <v>490</v>
      </c>
      <c r="L991" s="27" t="n">
        <v>1</v>
      </c>
      <c r="M991" s="39" t="s">
        <v>413</v>
      </c>
      <c r="N991" s="18" t="s">
        <v>414</v>
      </c>
      <c r="O991" s="27" t="n">
        <v>1</v>
      </c>
      <c r="P991" s="15" t="n">
        <f aca="false">IF(A991="","",IF(O991&lt;&gt;"",O991,IF(L991&lt;&gt;"",L991,F991)))</f>
        <v>1</v>
      </c>
    </row>
    <row r="992" customFormat="false" ht="15" hidden="false" customHeight="true" outlineLevel="0" collapsed="false">
      <c r="A992" s="30" t="s">
        <v>124</v>
      </c>
      <c r="B992" s="30" t="s">
        <v>125</v>
      </c>
      <c r="C992" s="21" t="n">
        <f aca="false">IF(A992="","",IFERROR(VLOOKUP(A992,'Recert Status'!$A$8:$C$400,3,FALSE()),""))</f>
        <v>46387</v>
      </c>
      <c r="D992" s="31" t="s">
        <v>414</v>
      </c>
      <c r="E992" s="30" t="s">
        <v>416</v>
      </c>
      <c r="F992" s="32" t="n">
        <v>2</v>
      </c>
      <c r="G992" s="33" t="n">
        <v>46219</v>
      </c>
      <c r="H992" s="33" t="n">
        <v>46219</v>
      </c>
      <c r="I992" s="31" t="s">
        <v>567</v>
      </c>
      <c r="J992" s="30" t="s">
        <v>416</v>
      </c>
      <c r="K992" s="31" t="s">
        <v>418</v>
      </c>
      <c r="L992" s="32" t="n">
        <v>2</v>
      </c>
      <c r="M992" s="39" t="s">
        <v>413</v>
      </c>
      <c r="N992" s="31" t="s">
        <v>414</v>
      </c>
      <c r="O992" s="32" t="n">
        <v>2</v>
      </c>
      <c r="P992" s="15" t="n">
        <f aca="false">IF(A992="","",IF(O992&lt;&gt;"",O992,IF(L992&lt;&gt;"",L992,F992)))</f>
        <v>2</v>
      </c>
    </row>
    <row r="993" customFormat="false" ht="15" hidden="false" customHeight="true" outlineLevel="0" collapsed="false">
      <c r="A993" s="26" t="s">
        <v>126</v>
      </c>
      <c r="B993" s="26"/>
      <c r="C993" s="14" t="n">
        <f aca="false">IF(A993="","",IFERROR(VLOOKUP(A993,'Recert Status'!$A$8:$C$400,3,FALSE()),""))</f>
        <v>0</v>
      </c>
      <c r="D993" s="18" t="s">
        <v>425</v>
      </c>
      <c r="E993" s="26" t="s">
        <v>426</v>
      </c>
      <c r="F993" s="27" t="n">
        <v>2</v>
      </c>
      <c r="G993" s="28" t="n">
        <v>45929</v>
      </c>
      <c r="H993" s="28" t="n">
        <v>45929</v>
      </c>
      <c r="I993" s="18" t="s">
        <v>427</v>
      </c>
      <c r="J993" s="26" t="s">
        <v>426</v>
      </c>
      <c r="K993" s="18" t="s">
        <v>428</v>
      </c>
      <c r="L993" s="27" t="n">
        <v>2</v>
      </c>
      <c r="M993" s="41" t="s">
        <v>429</v>
      </c>
      <c r="N993" s="18" t="s">
        <v>430</v>
      </c>
      <c r="O993" s="27" t="n">
        <v>2</v>
      </c>
      <c r="P993" s="15" t="n">
        <f aca="false">IF(A993="","",IF(O993&lt;&gt;"",O993,IF(L993&lt;&gt;"",L993,F993)))</f>
        <v>2</v>
      </c>
    </row>
    <row r="994" customFormat="false" ht="15" hidden="false" customHeight="true" outlineLevel="0" collapsed="false">
      <c r="A994" s="30" t="s">
        <v>126</v>
      </c>
      <c r="B994" s="30"/>
      <c r="C994" s="21" t="n">
        <f aca="false">IF(A994="","",IFERROR(VLOOKUP(A994,'Recert Status'!$A$8:$C$400,3,FALSE()),""))</f>
        <v>0</v>
      </c>
      <c r="D994" s="31" t="s">
        <v>437</v>
      </c>
      <c r="E994" s="30" t="n">
        <v>29743</v>
      </c>
      <c r="F994" s="32" t="n">
        <v>1</v>
      </c>
      <c r="G994" s="33" t="n">
        <v>45833</v>
      </c>
      <c r="H994" s="33" t="n">
        <v>45833</v>
      </c>
      <c r="I994" s="31" t="s">
        <v>438</v>
      </c>
      <c r="J994" s="30" t="s">
        <v>439</v>
      </c>
      <c r="K994" s="31" t="s">
        <v>440</v>
      </c>
      <c r="L994" s="32" t="n">
        <v>1</v>
      </c>
      <c r="M994" s="35" t="s">
        <v>386</v>
      </c>
      <c r="N994" s="31" t="s">
        <v>387</v>
      </c>
      <c r="O994" s="32" t="n">
        <v>1</v>
      </c>
      <c r="P994" s="15" t="n">
        <f aca="false">IF(A994="","",IF(O994&lt;&gt;"",O994,IF(L994&lt;&gt;"",L994,F994)))</f>
        <v>1</v>
      </c>
    </row>
    <row r="995" customFormat="false" ht="15" hidden="false" customHeight="true" outlineLevel="0" collapsed="false">
      <c r="A995" s="26" t="s">
        <v>126</v>
      </c>
      <c r="B995" s="26"/>
      <c r="C995" s="14" t="n">
        <f aca="false">IF(A995="","",IFERROR(VLOOKUP(A995,'Recert Status'!$A$8:$C$400,3,FALSE()),""))</f>
        <v>0</v>
      </c>
      <c r="D995" s="18" t="s">
        <v>441</v>
      </c>
      <c r="E995" s="26" t="n">
        <v>29743</v>
      </c>
      <c r="F995" s="27" t="n">
        <v>1</v>
      </c>
      <c r="G995" s="28" t="n">
        <v>45833</v>
      </c>
      <c r="H995" s="28" t="n">
        <v>45833</v>
      </c>
      <c r="I995" s="18" t="s">
        <v>442</v>
      </c>
      <c r="J995" s="26" t="s">
        <v>439</v>
      </c>
      <c r="K995" s="18" t="s">
        <v>443</v>
      </c>
      <c r="L995" s="27" t="n">
        <v>1</v>
      </c>
      <c r="M995" s="35" t="s">
        <v>386</v>
      </c>
      <c r="N995" s="18" t="s">
        <v>387</v>
      </c>
      <c r="O995" s="27" t="n">
        <v>1</v>
      </c>
      <c r="P995" s="15" t="n">
        <f aca="false">IF(A995="","",IF(O995&lt;&gt;"",O995,IF(L995&lt;&gt;"",L995,F995)))</f>
        <v>1</v>
      </c>
    </row>
    <row r="996" customFormat="false" ht="15" hidden="false" customHeight="true" outlineLevel="0" collapsed="false">
      <c r="A996" s="30" t="s">
        <v>126</v>
      </c>
      <c r="B996" s="30"/>
      <c r="C996" s="21" t="n">
        <f aca="false">IF(A996="","",IFERROR(VLOOKUP(A996,'Recert Status'!$A$8:$C$400,3,FALSE()),""))</f>
        <v>0</v>
      </c>
      <c r="D996" s="31" t="s">
        <v>717</v>
      </c>
      <c r="E996" s="30" t="s">
        <v>416</v>
      </c>
      <c r="F996" s="32" t="n">
        <v>1</v>
      </c>
      <c r="G996" s="33" t="n">
        <v>45824</v>
      </c>
      <c r="H996" s="33" t="n">
        <v>45824</v>
      </c>
      <c r="I996" s="31" t="s">
        <v>1228</v>
      </c>
      <c r="J996" s="30" t="s">
        <v>416</v>
      </c>
      <c r="K996" s="31" t="s">
        <v>418</v>
      </c>
      <c r="L996" s="32" t="n">
        <v>1</v>
      </c>
      <c r="M996" s="39" t="s">
        <v>413</v>
      </c>
      <c r="N996" s="31" t="s">
        <v>414</v>
      </c>
      <c r="O996" s="32" t="n">
        <v>1</v>
      </c>
      <c r="P996" s="15" t="n">
        <f aca="false">IF(A996="","",IF(O996&lt;&gt;"",O996,IF(L996&lt;&gt;"",L996,F996)))</f>
        <v>1</v>
      </c>
    </row>
    <row r="997" customFormat="false" ht="15" hidden="false" customHeight="true" outlineLevel="0" collapsed="false">
      <c r="A997" s="26" t="s">
        <v>126</v>
      </c>
      <c r="B997" s="26"/>
      <c r="C997" s="14" t="n">
        <f aca="false">IF(A997="","",IFERROR(VLOOKUP(A997,'Recert Status'!$A$8:$C$400,3,FALSE()),""))</f>
        <v>0</v>
      </c>
      <c r="D997" s="18" t="s">
        <v>415</v>
      </c>
      <c r="E997" s="26" t="s">
        <v>416</v>
      </c>
      <c r="F997" s="27" t="n">
        <v>2</v>
      </c>
      <c r="G997" s="28" t="n">
        <v>45860</v>
      </c>
      <c r="H997" s="28" t="n">
        <v>45860</v>
      </c>
      <c r="I997" s="18" t="s">
        <v>721</v>
      </c>
      <c r="J997" s="26" t="s">
        <v>416</v>
      </c>
      <c r="K997" s="18" t="s">
        <v>418</v>
      </c>
      <c r="L997" s="27" t="n">
        <v>2</v>
      </c>
      <c r="M997" s="39" t="s">
        <v>413</v>
      </c>
      <c r="N997" s="18" t="s">
        <v>414</v>
      </c>
      <c r="O997" s="27" t="n">
        <v>2</v>
      </c>
      <c r="P997" s="15" t="n">
        <f aca="false">IF(A997="","",IF(O997&lt;&gt;"",O997,IF(L997&lt;&gt;"",L997,F997)))</f>
        <v>2</v>
      </c>
    </row>
    <row r="998" customFormat="false" ht="15" hidden="false" customHeight="true" outlineLevel="0" collapsed="false">
      <c r="A998" s="30" t="s">
        <v>127</v>
      </c>
      <c r="B998" s="30" t="s">
        <v>128</v>
      </c>
      <c r="C998" s="21" t="n">
        <f aca="false">IF(A998="","",IFERROR(VLOOKUP(A998,'Recert Status'!$A$8:$C$400,3,FALSE()),""))</f>
        <v>46752</v>
      </c>
      <c r="D998" s="31" t="s">
        <v>1161</v>
      </c>
      <c r="E998" s="30" t="s">
        <v>363</v>
      </c>
      <c r="F998" s="32" t="n">
        <v>1</v>
      </c>
      <c r="G998" s="33" t="n">
        <v>45761</v>
      </c>
      <c r="H998" s="33" t="n">
        <v>45761</v>
      </c>
      <c r="I998" s="31" t="s">
        <v>1162</v>
      </c>
      <c r="J998" s="30" t="s">
        <v>363</v>
      </c>
      <c r="K998" s="31" t="s">
        <v>1036</v>
      </c>
      <c r="L998" s="32" t="n">
        <v>1</v>
      </c>
      <c r="M998" s="29" t="s">
        <v>366</v>
      </c>
      <c r="N998" s="31" t="s">
        <v>367</v>
      </c>
      <c r="O998" s="32" t="n">
        <v>1</v>
      </c>
      <c r="P998" s="15" t="n">
        <f aca="false">IF(A998="","",IF(O998&lt;&gt;"",O998,IF(L998&lt;&gt;"",L998,F998)))</f>
        <v>1</v>
      </c>
    </row>
    <row r="999" customFormat="false" ht="15" hidden="false" customHeight="true" outlineLevel="0" collapsed="false">
      <c r="A999" s="26" t="s">
        <v>127</v>
      </c>
      <c r="B999" s="26" t="s">
        <v>128</v>
      </c>
      <c r="C999" s="14" t="n">
        <f aca="false">IF(A999="","",IFERROR(VLOOKUP(A999,'Recert Status'!$A$8:$C$400,3,FALSE()),""))</f>
        <v>46752</v>
      </c>
      <c r="D999" s="18" t="s">
        <v>936</v>
      </c>
      <c r="E999" s="26" t="s">
        <v>363</v>
      </c>
      <c r="F999" s="27" t="n">
        <v>1</v>
      </c>
      <c r="G999" s="28" t="n">
        <v>45950</v>
      </c>
      <c r="H999" s="28" t="n">
        <v>45950</v>
      </c>
      <c r="I999" s="18" t="s">
        <v>937</v>
      </c>
      <c r="J999" s="26" t="s">
        <v>363</v>
      </c>
      <c r="K999" s="18" t="s">
        <v>365</v>
      </c>
      <c r="L999" s="27" t="n">
        <v>0.5</v>
      </c>
      <c r="M999" s="29" t="s">
        <v>366</v>
      </c>
      <c r="N999" s="18" t="s">
        <v>923</v>
      </c>
      <c r="O999" s="27" t="n">
        <v>1</v>
      </c>
      <c r="P999" s="15" t="n">
        <f aca="false">IF(A999="","",IF(O999&lt;&gt;"",O999,IF(L999&lt;&gt;"",L999,F999)))</f>
        <v>1</v>
      </c>
    </row>
    <row r="1000" customFormat="false" ht="15" hidden="false" customHeight="true" outlineLevel="0" collapsed="false">
      <c r="A1000" s="30" t="s">
        <v>127</v>
      </c>
      <c r="B1000" s="30" t="s">
        <v>128</v>
      </c>
      <c r="C1000" s="21" t="n">
        <f aca="false">IF(A1000="","",IFERROR(VLOOKUP(A1000,'Recert Status'!$A$8:$C$400,3,FALSE()),""))</f>
        <v>46752</v>
      </c>
      <c r="D1000" s="31" t="s">
        <v>938</v>
      </c>
      <c r="E1000" s="30" t="n">
        <v>57394</v>
      </c>
      <c r="F1000" s="32" t="n">
        <v>8</v>
      </c>
      <c r="G1000" s="33" t="n">
        <v>45971</v>
      </c>
      <c r="H1000" s="33" t="n">
        <v>45971</v>
      </c>
      <c r="I1000" s="31" t="s">
        <v>939</v>
      </c>
      <c r="J1000" s="30" t="s">
        <v>503</v>
      </c>
      <c r="K1000" s="31" t="s">
        <v>940</v>
      </c>
      <c r="L1000" s="32" t="n">
        <v>3</v>
      </c>
      <c r="M1000" s="29" t="s">
        <v>366</v>
      </c>
      <c r="N1000" s="31" t="s">
        <v>941</v>
      </c>
      <c r="O1000" s="32" t="n">
        <v>8</v>
      </c>
      <c r="P1000" s="15" t="n">
        <f aca="false">IF(A1000="","",IF(O1000&lt;&gt;"",O1000,IF(L1000&lt;&gt;"",L1000,F1000)))</f>
        <v>8</v>
      </c>
    </row>
    <row r="1001" customFormat="false" ht="15" hidden="false" customHeight="true" outlineLevel="0" collapsed="false">
      <c r="A1001" s="26" t="s">
        <v>127</v>
      </c>
      <c r="B1001" s="26" t="s">
        <v>128</v>
      </c>
      <c r="C1001" s="14" t="n">
        <f aca="false">IF(A1001="","",IFERROR(VLOOKUP(A1001,'Recert Status'!$A$8:$C$400,3,FALSE()),""))</f>
        <v>46752</v>
      </c>
      <c r="D1001" s="18" t="s">
        <v>1229</v>
      </c>
      <c r="E1001" s="26" t="n">
        <v>57433</v>
      </c>
      <c r="F1001" s="27" t="n">
        <v>1</v>
      </c>
      <c r="G1001" s="28" t="n">
        <v>45946</v>
      </c>
      <c r="H1001" s="28" t="n">
        <v>45946</v>
      </c>
      <c r="I1001" s="18" t="s">
        <v>1230</v>
      </c>
      <c r="J1001" s="26" t="s">
        <v>421</v>
      </c>
      <c r="K1001" s="18" t="s">
        <v>422</v>
      </c>
      <c r="L1001" s="27" t="n">
        <v>1</v>
      </c>
      <c r="M1001" s="40" t="s">
        <v>423</v>
      </c>
      <c r="N1001" s="18" t="s">
        <v>424</v>
      </c>
      <c r="O1001" s="27" t="n">
        <v>1</v>
      </c>
      <c r="P1001" s="15" t="n">
        <f aca="false">IF(A1001="","",IF(O1001&lt;&gt;"",O1001,IF(L1001&lt;&gt;"",L1001,F1001)))</f>
        <v>1</v>
      </c>
    </row>
    <row r="1002" customFormat="false" ht="15" hidden="false" customHeight="true" outlineLevel="0" collapsed="false">
      <c r="A1002" s="30" t="s">
        <v>127</v>
      </c>
      <c r="B1002" s="30" t="s">
        <v>128</v>
      </c>
      <c r="C1002" s="21" t="n">
        <f aca="false">IF(A1002="","",IFERROR(VLOOKUP(A1002,'Recert Status'!$A$8:$C$400,3,FALSE()),""))</f>
        <v>46752</v>
      </c>
      <c r="D1002" s="31" t="s">
        <v>1165</v>
      </c>
      <c r="E1002" s="30" t="s">
        <v>426</v>
      </c>
      <c r="F1002" s="32" t="n">
        <v>1</v>
      </c>
      <c r="G1002" s="33" t="n">
        <v>45761</v>
      </c>
      <c r="H1002" s="33" t="n">
        <v>45761</v>
      </c>
      <c r="I1002" s="31" t="s">
        <v>1166</v>
      </c>
      <c r="J1002" s="30" t="s">
        <v>426</v>
      </c>
      <c r="K1002" s="31" t="s">
        <v>526</v>
      </c>
      <c r="L1002" s="32" t="n">
        <v>1</v>
      </c>
      <c r="M1002" s="41" t="s">
        <v>429</v>
      </c>
      <c r="N1002" s="31" t="s">
        <v>430</v>
      </c>
      <c r="O1002" s="32" t="n">
        <v>1</v>
      </c>
      <c r="P1002" s="15" t="n">
        <f aca="false">IF(A1002="","",IF(O1002&lt;&gt;"",O1002,IF(L1002&lt;&gt;"",L1002,F1002)))</f>
        <v>1</v>
      </c>
    </row>
    <row r="1003" customFormat="false" ht="15" hidden="false" customHeight="true" outlineLevel="0" collapsed="false">
      <c r="A1003" s="26" t="s">
        <v>127</v>
      </c>
      <c r="B1003" s="26" t="s">
        <v>128</v>
      </c>
      <c r="C1003" s="14" t="n">
        <f aca="false">IF(A1003="","",IFERROR(VLOOKUP(A1003,'Recert Status'!$A$8:$C$400,3,FALSE()),""))</f>
        <v>46752</v>
      </c>
      <c r="D1003" s="18" t="s">
        <v>884</v>
      </c>
      <c r="E1003" s="26" t="s">
        <v>426</v>
      </c>
      <c r="F1003" s="27" t="n">
        <v>2</v>
      </c>
      <c r="G1003" s="28" t="n">
        <v>45929</v>
      </c>
      <c r="H1003" s="28" t="n">
        <v>45929</v>
      </c>
      <c r="I1003" s="18" t="s">
        <v>885</v>
      </c>
      <c r="J1003" s="26" t="s">
        <v>426</v>
      </c>
      <c r="K1003" s="18" t="s">
        <v>428</v>
      </c>
      <c r="L1003" s="27" t="n">
        <v>2</v>
      </c>
      <c r="M1003" s="41" t="s">
        <v>429</v>
      </c>
      <c r="N1003" s="18" t="s">
        <v>430</v>
      </c>
      <c r="O1003" s="27" t="n">
        <v>2</v>
      </c>
      <c r="P1003" s="15" t="n">
        <f aca="false">IF(A1003="","",IF(O1003&lt;&gt;"",O1003,IF(L1003&lt;&gt;"",L1003,F1003)))</f>
        <v>2</v>
      </c>
    </row>
    <row r="1004" customFormat="false" ht="15" hidden="false" customHeight="true" outlineLevel="0" collapsed="false">
      <c r="A1004" s="30" t="s">
        <v>127</v>
      </c>
      <c r="B1004" s="30" t="s">
        <v>128</v>
      </c>
      <c r="C1004" s="21" t="n">
        <f aca="false">IF(A1004="","",IFERROR(VLOOKUP(A1004,'Recert Status'!$A$8:$C$400,3,FALSE()),""))</f>
        <v>46752</v>
      </c>
      <c r="D1004" s="31" t="s">
        <v>938</v>
      </c>
      <c r="E1004" s="30" t="n">
        <v>57394</v>
      </c>
      <c r="F1004" s="32" t="n">
        <v>8</v>
      </c>
      <c r="G1004" s="33" t="n">
        <v>45971</v>
      </c>
      <c r="H1004" s="33" t="n">
        <v>45971</v>
      </c>
      <c r="I1004" s="31" t="s">
        <v>939</v>
      </c>
      <c r="J1004" s="30" t="s">
        <v>503</v>
      </c>
      <c r="K1004" s="31" t="s">
        <v>940</v>
      </c>
      <c r="L1004" s="32" t="n">
        <v>2</v>
      </c>
      <c r="M1004" s="41" t="s">
        <v>429</v>
      </c>
      <c r="N1004" s="31" t="s">
        <v>941</v>
      </c>
      <c r="O1004" s="32" t="n">
        <v>8</v>
      </c>
      <c r="P1004" s="15" t="n">
        <f aca="false">IF(A1004="","",IF(O1004&lt;&gt;"",O1004,IF(L1004&lt;&gt;"",L1004,F1004)))</f>
        <v>8</v>
      </c>
    </row>
    <row r="1005" customFormat="false" ht="15" hidden="false" customHeight="true" outlineLevel="0" collapsed="false">
      <c r="A1005" s="26" t="s">
        <v>127</v>
      </c>
      <c r="B1005" s="26" t="s">
        <v>128</v>
      </c>
      <c r="C1005" s="14" t="n">
        <f aca="false">IF(A1005="","",IFERROR(VLOOKUP(A1005,'Recert Status'!$A$8:$C$400,3,FALSE()),""))</f>
        <v>46752</v>
      </c>
      <c r="D1005" s="18" t="s">
        <v>1231</v>
      </c>
      <c r="E1005" s="26" t="n">
        <v>29740</v>
      </c>
      <c r="F1005" s="27" t="n">
        <v>0.75</v>
      </c>
      <c r="G1005" s="28" t="n">
        <v>45698</v>
      </c>
      <c r="H1005" s="28" t="n">
        <v>45698</v>
      </c>
      <c r="I1005" s="18" t="s">
        <v>1232</v>
      </c>
      <c r="J1005" s="26" t="s">
        <v>394</v>
      </c>
      <c r="K1005" s="18" t="s">
        <v>509</v>
      </c>
      <c r="L1005" s="27" t="n">
        <v>0.75</v>
      </c>
      <c r="M1005" s="35" t="s">
        <v>386</v>
      </c>
      <c r="N1005" s="18" t="s">
        <v>387</v>
      </c>
      <c r="O1005" s="27" t="n">
        <v>0.75</v>
      </c>
      <c r="P1005" s="15" t="n">
        <f aca="false">IF(A1005="","",IF(O1005&lt;&gt;"",O1005,IF(L1005&lt;&gt;"",L1005,F1005)))</f>
        <v>0.75</v>
      </c>
    </row>
    <row r="1006" customFormat="false" ht="15" hidden="false" customHeight="true" outlineLevel="0" collapsed="false">
      <c r="A1006" s="30" t="s">
        <v>127</v>
      </c>
      <c r="B1006" s="30" t="s">
        <v>128</v>
      </c>
      <c r="C1006" s="21" t="n">
        <f aca="false">IF(A1006="","",IFERROR(VLOOKUP(A1006,'Recert Status'!$A$8:$C$400,3,FALSE()),""))</f>
        <v>46752</v>
      </c>
      <c r="D1006" s="31" t="s">
        <v>1059</v>
      </c>
      <c r="E1006" s="30" t="s">
        <v>389</v>
      </c>
      <c r="F1006" s="32" t="n">
        <v>0.5</v>
      </c>
      <c r="G1006" s="33" t="n">
        <v>45707</v>
      </c>
      <c r="H1006" s="33" t="n">
        <v>45707</v>
      </c>
      <c r="I1006" s="31" t="s">
        <v>1060</v>
      </c>
      <c r="J1006" s="30" t="s">
        <v>389</v>
      </c>
      <c r="K1006" s="31" t="s">
        <v>451</v>
      </c>
      <c r="L1006" s="32" t="n">
        <v>0.5</v>
      </c>
      <c r="M1006" s="35" t="s">
        <v>386</v>
      </c>
      <c r="N1006" s="31" t="s">
        <v>387</v>
      </c>
      <c r="O1006" s="32" t="n">
        <v>0.5</v>
      </c>
      <c r="P1006" s="15" t="n">
        <f aca="false">IF(A1006="","",IF(O1006&lt;&gt;"",O1006,IF(L1006&lt;&gt;"",L1006,F1006)))</f>
        <v>0.5</v>
      </c>
    </row>
    <row r="1007" customFormat="false" ht="15" hidden="false" customHeight="true" outlineLevel="0" collapsed="false">
      <c r="A1007" s="26" t="s">
        <v>127</v>
      </c>
      <c r="B1007" s="26" t="s">
        <v>128</v>
      </c>
      <c r="C1007" s="14" t="n">
        <f aca="false">IF(A1007="","",IFERROR(VLOOKUP(A1007,'Recert Status'!$A$8:$C$400,3,FALSE()),""))</f>
        <v>46752</v>
      </c>
      <c r="D1007" s="18" t="s">
        <v>1168</v>
      </c>
      <c r="E1007" s="26" t="s">
        <v>389</v>
      </c>
      <c r="F1007" s="27" t="n">
        <v>2</v>
      </c>
      <c r="G1007" s="28" t="n">
        <v>45761</v>
      </c>
      <c r="H1007" s="28" t="n">
        <v>45761</v>
      </c>
      <c r="I1007" s="18" t="s">
        <v>1169</v>
      </c>
      <c r="J1007" s="26" t="s">
        <v>389</v>
      </c>
      <c r="K1007" s="18" t="s">
        <v>1170</v>
      </c>
      <c r="L1007" s="27" t="n">
        <v>2</v>
      </c>
      <c r="M1007" s="35" t="s">
        <v>386</v>
      </c>
      <c r="N1007" s="18" t="s">
        <v>387</v>
      </c>
      <c r="O1007" s="27" t="n">
        <v>2</v>
      </c>
      <c r="P1007" s="15" t="n">
        <f aca="false">IF(A1007="","",IF(O1007&lt;&gt;"",O1007,IF(L1007&lt;&gt;"",L1007,F1007)))</f>
        <v>2</v>
      </c>
    </row>
    <row r="1008" customFormat="false" ht="15" hidden="false" customHeight="true" outlineLevel="0" collapsed="false">
      <c r="A1008" s="30" t="s">
        <v>127</v>
      </c>
      <c r="B1008" s="30" t="s">
        <v>128</v>
      </c>
      <c r="C1008" s="21" t="n">
        <f aca="false">IF(A1008="","",IFERROR(VLOOKUP(A1008,'Recert Status'!$A$8:$C$400,3,FALSE()),""))</f>
        <v>46752</v>
      </c>
      <c r="D1008" s="31" t="s">
        <v>437</v>
      </c>
      <c r="E1008" s="30" t="n">
        <v>29743</v>
      </c>
      <c r="F1008" s="32" t="n">
        <v>1</v>
      </c>
      <c r="G1008" s="33" t="n">
        <v>45833</v>
      </c>
      <c r="H1008" s="33" t="n">
        <v>45833</v>
      </c>
      <c r="I1008" s="31" t="s">
        <v>438</v>
      </c>
      <c r="J1008" s="30" t="s">
        <v>439</v>
      </c>
      <c r="K1008" s="31" t="s">
        <v>440</v>
      </c>
      <c r="L1008" s="32" t="n">
        <v>1</v>
      </c>
      <c r="M1008" s="35" t="s">
        <v>386</v>
      </c>
      <c r="N1008" s="31" t="s">
        <v>387</v>
      </c>
      <c r="O1008" s="32" t="n">
        <v>1</v>
      </c>
      <c r="P1008" s="15" t="n">
        <f aca="false">IF(A1008="","",IF(O1008&lt;&gt;"",O1008,IF(L1008&lt;&gt;"",L1008,F1008)))</f>
        <v>1</v>
      </c>
    </row>
    <row r="1009" customFormat="false" ht="15" hidden="false" customHeight="true" outlineLevel="0" collapsed="false">
      <c r="A1009" s="26" t="s">
        <v>127</v>
      </c>
      <c r="B1009" s="26" t="s">
        <v>128</v>
      </c>
      <c r="C1009" s="14" t="n">
        <f aca="false">IF(A1009="","",IFERROR(VLOOKUP(A1009,'Recert Status'!$A$8:$C$400,3,FALSE()),""))</f>
        <v>46752</v>
      </c>
      <c r="D1009" s="18" t="s">
        <v>441</v>
      </c>
      <c r="E1009" s="26" t="n">
        <v>29743</v>
      </c>
      <c r="F1009" s="27" t="n">
        <v>1</v>
      </c>
      <c r="G1009" s="28" t="n">
        <v>45833</v>
      </c>
      <c r="H1009" s="28" t="n">
        <v>45833</v>
      </c>
      <c r="I1009" s="18" t="s">
        <v>442</v>
      </c>
      <c r="J1009" s="26" t="s">
        <v>439</v>
      </c>
      <c r="K1009" s="18" t="s">
        <v>443</v>
      </c>
      <c r="L1009" s="27" t="n">
        <v>1</v>
      </c>
      <c r="M1009" s="35" t="s">
        <v>386</v>
      </c>
      <c r="N1009" s="18" t="s">
        <v>387</v>
      </c>
      <c r="O1009" s="27" t="n">
        <v>1</v>
      </c>
      <c r="P1009" s="15" t="n">
        <f aca="false">IF(A1009="","",IF(O1009&lt;&gt;"",O1009,IF(L1009&lt;&gt;"",L1009,F1009)))</f>
        <v>1</v>
      </c>
    </row>
    <row r="1010" customFormat="false" ht="15" hidden="false" customHeight="true" outlineLevel="0" collapsed="false">
      <c r="A1010" s="30" t="s">
        <v>127</v>
      </c>
      <c r="B1010" s="30" t="s">
        <v>128</v>
      </c>
      <c r="C1010" s="21" t="n">
        <f aca="false">IF(A1010="","",IFERROR(VLOOKUP(A1010,'Recert Status'!$A$8:$C$400,3,FALSE()),""))</f>
        <v>46752</v>
      </c>
      <c r="D1010" s="31" t="s">
        <v>615</v>
      </c>
      <c r="E1010" s="30" t="n">
        <v>29740</v>
      </c>
      <c r="F1010" s="32" t="n">
        <v>2</v>
      </c>
      <c r="G1010" s="33" t="n">
        <v>45884</v>
      </c>
      <c r="H1010" s="33" t="n">
        <v>45884</v>
      </c>
      <c r="I1010" s="31" t="s">
        <v>616</v>
      </c>
      <c r="J1010" s="30" t="s">
        <v>394</v>
      </c>
      <c r="K1010" s="31" t="s">
        <v>385</v>
      </c>
      <c r="L1010" s="32" t="n">
        <v>2</v>
      </c>
      <c r="M1010" s="35" t="s">
        <v>386</v>
      </c>
      <c r="N1010" s="31" t="s">
        <v>397</v>
      </c>
      <c r="O1010" s="32" t="n">
        <v>2</v>
      </c>
      <c r="P1010" s="15" t="n">
        <f aca="false">IF(A1010="","",IF(O1010&lt;&gt;"",O1010,IF(L1010&lt;&gt;"",L1010,F1010)))</f>
        <v>2</v>
      </c>
    </row>
    <row r="1011" customFormat="false" ht="15" hidden="false" customHeight="true" outlineLevel="0" collapsed="false">
      <c r="A1011" s="26" t="s">
        <v>127</v>
      </c>
      <c r="B1011" s="26" t="s">
        <v>128</v>
      </c>
      <c r="C1011" s="14" t="n">
        <f aca="false">IF(A1011="","",IFERROR(VLOOKUP(A1011,'Recert Status'!$A$8:$C$400,3,FALSE()),""))</f>
        <v>46752</v>
      </c>
      <c r="D1011" s="18" t="s">
        <v>789</v>
      </c>
      <c r="E1011" s="26" t="n">
        <v>29743</v>
      </c>
      <c r="F1011" s="27" t="n">
        <v>1</v>
      </c>
      <c r="G1011" s="28" t="n">
        <v>45911</v>
      </c>
      <c r="H1011" s="28" t="n">
        <v>45911</v>
      </c>
      <c r="I1011" s="18" t="s">
        <v>790</v>
      </c>
      <c r="J1011" s="26" t="s">
        <v>439</v>
      </c>
      <c r="K1011" s="18" t="s">
        <v>791</v>
      </c>
      <c r="L1011" s="27" t="n">
        <v>1</v>
      </c>
      <c r="M1011" s="35" t="s">
        <v>386</v>
      </c>
      <c r="N1011" s="18" t="s">
        <v>387</v>
      </c>
      <c r="O1011" s="27" t="n">
        <v>1</v>
      </c>
      <c r="P1011" s="15" t="n">
        <f aca="false">IF(A1011="","",IF(O1011&lt;&gt;"",O1011,IF(L1011&lt;&gt;"",L1011,F1011)))</f>
        <v>1</v>
      </c>
    </row>
    <row r="1012" customFormat="false" ht="15" hidden="false" customHeight="true" outlineLevel="0" collapsed="false">
      <c r="A1012" s="30" t="s">
        <v>127</v>
      </c>
      <c r="B1012" s="30" t="s">
        <v>128</v>
      </c>
      <c r="C1012" s="21" t="n">
        <f aca="false">IF(A1012="","",IFERROR(VLOOKUP(A1012,'Recert Status'!$A$8:$C$400,3,FALSE()),""))</f>
        <v>46752</v>
      </c>
      <c r="D1012" s="31" t="s">
        <v>792</v>
      </c>
      <c r="E1012" s="30" t="n">
        <v>29743</v>
      </c>
      <c r="F1012" s="32" t="n">
        <v>1</v>
      </c>
      <c r="G1012" s="33" t="n">
        <v>45911</v>
      </c>
      <c r="H1012" s="33" t="n">
        <v>45911</v>
      </c>
      <c r="I1012" s="31" t="s">
        <v>790</v>
      </c>
      <c r="J1012" s="30" t="s">
        <v>439</v>
      </c>
      <c r="K1012" s="31" t="s">
        <v>791</v>
      </c>
      <c r="L1012" s="32" t="n">
        <v>1</v>
      </c>
      <c r="M1012" s="35" t="s">
        <v>386</v>
      </c>
      <c r="N1012" s="31" t="s">
        <v>387</v>
      </c>
      <c r="O1012" s="32" t="n">
        <v>1</v>
      </c>
      <c r="P1012" s="15" t="n">
        <f aca="false">IF(A1012="","",IF(O1012&lt;&gt;"",O1012,IF(L1012&lt;&gt;"",L1012,F1012)))</f>
        <v>1</v>
      </c>
    </row>
    <row r="1013" customFormat="false" ht="15" hidden="false" customHeight="true" outlineLevel="0" collapsed="false">
      <c r="A1013" s="26" t="s">
        <v>127</v>
      </c>
      <c r="B1013" s="26" t="s">
        <v>128</v>
      </c>
      <c r="C1013" s="14" t="n">
        <f aca="false">IF(A1013="","",IFERROR(VLOOKUP(A1013,'Recert Status'!$A$8:$C$400,3,FALSE()),""))</f>
        <v>46752</v>
      </c>
      <c r="D1013" s="18" t="s">
        <v>938</v>
      </c>
      <c r="E1013" s="26" t="n">
        <v>57394</v>
      </c>
      <c r="F1013" s="27" t="n">
        <v>8</v>
      </c>
      <c r="G1013" s="28" t="n">
        <v>45971</v>
      </c>
      <c r="H1013" s="28" t="n">
        <v>45971</v>
      </c>
      <c r="I1013" s="18" t="s">
        <v>939</v>
      </c>
      <c r="J1013" s="26" t="s">
        <v>503</v>
      </c>
      <c r="K1013" s="18" t="s">
        <v>940</v>
      </c>
      <c r="L1013" s="27" t="n">
        <v>2</v>
      </c>
      <c r="M1013" s="35" t="s">
        <v>386</v>
      </c>
      <c r="N1013" s="18" t="s">
        <v>941</v>
      </c>
      <c r="O1013" s="27" t="n">
        <v>8</v>
      </c>
      <c r="P1013" s="15" t="n">
        <f aca="false">IF(A1013="","",IF(O1013&lt;&gt;"",O1013,IF(L1013&lt;&gt;"",L1013,F1013)))</f>
        <v>8</v>
      </c>
    </row>
    <row r="1014" customFormat="false" ht="15" hidden="false" customHeight="true" outlineLevel="0" collapsed="false">
      <c r="A1014" s="30" t="s">
        <v>127</v>
      </c>
      <c r="B1014" s="30" t="s">
        <v>128</v>
      </c>
      <c r="C1014" s="21" t="n">
        <f aca="false">IF(A1014="","",IFERROR(VLOOKUP(A1014,'Recert Status'!$A$8:$C$400,3,FALSE()),""))</f>
        <v>46752</v>
      </c>
      <c r="D1014" s="31" t="s">
        <v>397</v>
      </c>
      <c r="E1014" s="30" t="s">
        <v>452</v>
      </c>
      <c r="F1014" s="32" t="n">
        <v>1</v>
      </c>
      <c r="G1014" s="33" t="n">
        <v>46244</v>
      </c>
      <c r="H1014" s="33" t="n">
        <v>46244</v>
      </c>
      <c r="I1014" s="31" t="s">
        <v>577</v>
      </c>
      <c r="J1014" s="30" t="s">
        <v>452</v>
      </c>
      <c r="K1014" s="31" t="s">
        <v>385</v>
      </c>
      <c r="L1014" s="32" t="n">
        <v>1</v>
      </c>
      <c r="M1014" s="36" t="s">
        <v>396</v>
      </c>
      <c r="N1014" s="31" t="s">
        <v>397</v>
      </c>
      <c r="O1014" s="32" t="n">
        <v>1</v>
      </c>
      <c r="P1014" s="15" t="n">
        <f aca="false">IF(A1014="","",IF(O1014&lt;&gt;"",O1014,IF(L1014&lt;&gt;"",L1014,F1014)))</f>
        <v>1</v>
      </c>
    </row>
    <row r="1015" customFormat="false" ht="15" hidden="false" customHeight="true" outlineLevel="0" collapsed="false">
      <c r="A1015" s="26" t="s">
        <v>127</v>
      </c>
      <c r="B1015" s="26" t="s">
        <v>128</v>
      </c>
      <c r="C1015" s="14" t="n">
        <f aca="false">IF(A1015="","",IFERROR(VLOOKUP(A1015,'Recert Status'!$A$8:$C$400,3,FALSE()),""))</f>
        <v>46752</v>
      </c>
      <c r="D1015" s="18" t="s">
        <v>397</v>
      </c>
      <c r="E1015" s="26" t="s">
        <v>452</v>
      </c>
      <c r="F1015" s="27" t="n">
        <v>1</v>
      </c>
      <c r="G1015" s="28" t="n">
        <v>46245</v>
      </c>
      <c r="H1015" s="28" t="n">
        <v>46245</v>
      </c>
      <c r="I1015" s="18" t="s">
        <v>605</v>
      </c>
      <c r="J1015" s="26" t="s">
        <v>452</v>
      </c>
      <c r="K1015" s="18" t="s">
        <v>385</v>
      </c>
      <c r="L1015" s="27" t="n">
        <v>1</v>
      </c>
      <c r="M1015" s="36" t="s">
        <v>396</v>
      </c>
      <c r="N1015" s="18" t="s">
        <v>397</v>
      </c>
      <c r="O1015" s="27" t="n">
        <v>1</v>
      </c>
      <c r="P1015" s="15" t="n">
        <f aca="false">IF(A1015="","",IF(O1015&lt;&gt;"",O1015,IF(L1015&lt;&gt;"",L1015,F1015)))</f>
        <v>1</v>
      </c>
    </row>
    <row r="1016" customFormat="false" ht="15" hidden="false" customHeight="true" outlineLevel="0" collapsed="false">
      <c r="A1016" s="30" t="s">
        <v>127</v>
      </c>
      <c r="B1016" s="30" t="s">
        <v>128</v>
      </c>
      <c r="C1016" s="21" t="n">
        <f aca="false">IF(A1016="","",IFERROR(VLOOKUP(A1016,'Recert Status'!$A$8:$C$400,3,FALSE()),""))</f>
        <v>46752</v>
      </c>
      <c r="D1016" s="31" t="s">
        <v>944</v>
      </c>
      <c r="E1016" s="30" t="s">
        <v>416</v>
      </c>
      <c r="F1016" s="32" t="n">
        <v>1</v>
      </c>
      <c r="G1016" s="33" t="n">
        <v>45824</v>
      </c>
      <c r="H1016" s="33" t="n">
        <v>45824</v>
      </c>
      <c r="I1016" s="31" t="s">
        <v>945</v>
      </c>
      <c r="J1016" s="30" t="s">
        <v>416</v>
      </c>
      <c r="K1016" s="31" t="s">
        <v>456</v>
      </c>
      <c r="L1016" s="32" t="n">
        <v>1</v>
      </c>
      <c r="M1016" s="39" t="s">
        <v>413</v>
      </c>
      <c r="N1016" s="31" t="s">
        <v>414</v>
      </c>
      <c r="O1016" s="32" t="n">
        <v>1</v>
      </c>
      <c r="P1016" s="15" t="n">
        <f aca="false">IF(A1016="","",IF(O1016&lt;&gt;"",O1016,IF(L1016&lt;&gt;"",L1016,F1016)))</f>
        <v>1</v>
      </c>
    </row>
    <row r="1017" customFormat="false" ht="15" hidden="false" customHeight="true" outlineLevel="0" collapsed="false">
      <c r="A1017" s="26" t="s">
        <v>127</v>
      </c>
      <c r="B1017" s="26" t="s">
        <v>128</v>
      </c>
      <c r="C1017" s="14" t="n">
        <f aca="false">IF(A1017="","",IFERROR(VLOOKUP(A1017,'Recert Status'!$A$8:$C$400,3,FALSE()),""))</f>
        <v>46752</v>
      </c>
      <c r="D1017" s="18" t="s">
        <v>457</v>
      </c>
      <c r="E1017" s="26" t="s">
        <v>416</v>
      </c>
      <c r="F1017" s="27" t="n">
        <v>2</v>
      </c>
      <c r="G1017" s="28" t="n">
        <v>45860</v>
      </c>
      <c r="H1017" s="28" t="n">
        <v>45860</v>
      </c>
      <c r="I1017" s="18" t="s">
        <v>458</v>
      </c>
      <c r="J1017" s="26" t="s">
        <v>416</v>
      </c>
      <c r="K1017" s="18" t="s">
        <v>459</v>
      </c>
      <c r="L1017" s="27" t="n">
        <v>2</v>
      </c>
      <c r="M1017" s="39" t="s">
        <v>413</v>
      </c>
      <c r="N1017" s="18" t="s">
        <v>414</v>
      </c>
      <c r="O1017" s="27" t="n">
        <v>2</v>
      </c>
      <c r="P1017" s="15" t="n">
        <f aca="false">IF(A1017="","",IF(O1017&lt;&gt;"",O1017,IF(L1017&lt;&gt;"",L1017,F1017)))</f>
        <v>2</v>
      </c>
    </row>
    <row r="1018" customFormat="false" ht="15" hidden="false" customHeight="true" outlineLevel="0" collapsed="false">
      <c r="A1018" s="30" t="s">
        <v>127</v>
      </c>
      <c r="B1018" s="30" t="s">
        <v>128</v>
      </c>
      <c r="C1018" s="21" t="n">
        <f aca="false">IF(A1018="","",IFERROR(VLOOKUP(A1018,'Recert Status'!$A$8:$C$400,3,FALSE()),""))</f>
        <v>46752</v>
      </c>
      <c r="D1018" s="31" t="s">
        <v>488</v>
      </c>
      <c r="E1018" s="30" t="s">
        <v>416</v>
      </c>
      <c r="F1018" s="32" t="n">
        <v>1</v>
      </c>
      <c r="G1018" s="33" t="n">
        <v>46125</v>
      </c>
      <c r="H1018" s="33" t="n">
        <v>46125</v>
      </c>
      <c r="I1018" s="31" t="s">
        <v>608</v>
      </c>
      <c r="J1018" s="30" t="s">
        <v>416</v>
      </c>
      <c r="K1018" s="31" t="s">
        <v>490</v>
      </c>
      <c r="L1018" s="32" t="n">
        <v>1</v>
      </c>
      <c r="M1018" s="39" t="s">
        <v>413</v>
      </c>
      <c r="N1018" s="31" t="s">
        <v>414</v>
      </c>
      <c r="O1018" s="32" t="n">
        <v>1</v>
      </c>
      <c r="P1018" s="15" t="n">
        <f aca="false">IF(A1018="","",IF(O1018&lt;&gt;"",O1018,IF(L1018&lt;&gt;"",L1018,F1018)))</f>
        <v>1</v>
      </c>
    </row>
    <row r="1019" customFormat="false" ht="15" hidden="false" customHeight="true" outlineLevel="0" collapsed="false">
      <c r="A1019" s="26" t="s">
        <v>127</v>
      </c>
      <c r="B1019" s="26" t="s">
        <v>128</v>
      </c>
      <c r="C1019" s="14" t="n">
        <f aca="false">IF(A1019="","",IFERROR(VLOOKUP(A1019,'Recert Status'!$A$8:$C$400,3,FALSE()),""))</f>
        <v>46752</v>
      </c>
      <c r="D1019" s="18" t="s">
        <v>488</v>
      </c>
      <c r="E1019" s="26" t="s">
        <v>416</v>
      </c>
      <c r="F1019" s="27" t="n">
        <v>1</v>
      </c>
      <c r="G1019" s="28" t="n">
        <v>46139</v>
      </c>
      <c r="H1019" s="28" t="n">
        <v>46139</v>
      </c>
      <c r="I1019" s="18" t="s">
        <v>610</v>
      </c>
      <c r="J1019" s="26" t="s">
        <v>416</v>
      </c>
      <c r="K1019" s="18" t="s">
        <v>490</v>
      </c>
      <c r="L1019" s="27" t="n">
        <v>1</v>
      </c>
      <c r="M1019" s="39" t="s">
        <v>413</v>
      </c>
      <c r="N1019" s="18" t="s">
        <v>414</v>
      </c>
      <c r="O1019" s="27" t="n">
        <v>1</v>
      </c>
      <c r="P1019" s="15" t="n">
        <f aca="false">IF(A1019="","",IF(O1019&lt;&gt;"",O1019,IF(L1019&lt;&gt;"",L1019,F1019)))</f>
        <v>1</v>
      </c>
    </row>
    <row r="1020" customFormat="false" ht="15" hidden="false" customHeight="true" outlineLevel="0" collapsed="false">
      <c r="A1020" s="30" t="s">
        <v>129</v>
      </c>
      <c r="B1020" s="30" t="s">
        <v>130</v>
      </c>
      <c r="C1020" s="21" t="n">
        <f aca="false">IF(A1020="","",IFERROR(VLOOKUP(A1020,'Recert Status'!$A$8:$C$400,3,FALSE()),""))</f>
        <v>46387</v>
      </c>
      <c r="D1020" s="31" t="s">
        <v>977</v>
      </c>
      <c r="E1020" s="30" t="s">
        <v>426</v>
      </c>
      <c r="F1020" s="32" t="n">
        <v>2</v>
      </c>
      <c r="G1020" s="33" t="n">
        <v>45910</v>
      </c>
      <c r="H1020" s="33" t="n">
        <v>45910</v>
      </c>
      <c r="I1020" s="31" t="s">
        <v>978</v>
      </c>
      <c r="J1020" s="30" t="s">
        <v>426</v>
      </c>
      <c r="K1020" s="31" t="s">
        <v>495</v>
      </c>
      <c r="L1020" s="32" t="n">
        <v>2</v>
      </c>
      <c r="M1020" s="41" t="s">
        <v>429</v>
      </c>
      <c r="N1020" s="31" t="s">
        <v>430</v>
      </c>
      <c r="O1020" s="32" t="n">
        <v>2</v>
      </c>
      <c r="P1020" s="15" t="n">
        <f aca="false">IF(A1020="","",IF(O1020&lt;&gt;"",O1020,IF(L1020&lt;&gt;"",L1020,F1020)))</f>
        <v>2</v>
      </c>
    </row>
    <row r="1021" customFormat="false" ht="15" hidden="false" customHeight="true" outlineLevel="0" collapsed="false">
      <c r="A1021" s="26" t="s">
        <v>129</v>
      </c>
      <c r="B1021" s="26" t="s">
        <v>130</v>
      </c>
      <c r="C1021" s="14" t="n">
        <f aca="false">IF(A1021="","",IFERROR(VLOOKUP(A1021,'Recert Status'!$A$8:$C$400,3,FALSE()),""))</f>
        <v>46387</v>
      </c>
      <c r="D1021" s="18" t="s">
        <v>548</v>
      </c>
      <c r="E1021" s="26" t="s">
        <v>426</v>
      </c>
      <c r="F1021" s="27" t="n">
        <v>2</v>
      </c>
      <c r="G1021" s="28" t="n">
        <v>45979</v>
      </c>
      <c r="H1021" s="28" t="n">
        <v>45979</v>
      </c>
      <c r="I1021" s="18" t="s">
        <v>549</v>
      </c>
      <c r="J1021" s="26" t="s">
        <v>426</v>
      </c>
      <c r="K1021" s="18" t="s">
        <v>428</v>
      </c>
      <c r="L1021" s="27" t="n">
        <v>2</v>
      </c>
      <c r="M1021" s="41" t="s">
        <v>429</v>
      </c>
      <c r="N1021" s="18" t="s">
        <v>430</v>
      </c>
      <c r="O1021" s="27" t="n">
        <v>2</v>
      </c>
      <c r="P1021" s="15" t="n">
        <f aca="false">IF(A1021="","",IF(O1021&lt;&gt;"",O1021,IF(L1021&lt;&gt;"",L1021,F1021)))</f>
        <v>2</v>
      </c>
    </row>
    <row r="1022" customFormat="false" ht="15" hidden="false" customHeight="true" outlineLevel="0" collapsed="false">
      <c r="A1022" s="30" t="s">
        <v>129</v>
      </c>
      <c r="B1022" s="30" t="s">
        <v>130</v>
      </c>
      <c r="C1022" s="21" t="n">
        <f aca="false">IF(A1022="","",IFERROR(VLOOKUP(A1022,'Recert Status'!$A$8:$C$400,3,FALSE()),""))</f>
        <v>46387</v>
      </c>
      <c r="D1022" s="31" t="s">
        <v>466</v>
      </c>
      <c r="E1022" s="30" t="n">
        <v>29784</v>
      </c>
      <c r="F1022" s="32" t="n">
        <v>0.5</v>
      </c>
      <c r="G1022" s="33" t="n">
        <v>45691</v>
      </c>
      <c r="H1022" s="33" t="n">
        <v>45691</v>
      </c>
      <c r="I1022" s="31" t="s">
        <v>467</v>
      </c>
      <c r="J1022" s="30" t="s">
        <v>435</v>
      </c>
      <c r="K1022" s="31" t="s">
        <v>468</v>
      </c>
      <c r="L1022" s="32" t="n">
        <v>0.5</v>
      </c>
      <c r="M1022" s="35" t="s">
        <v>386</v>
      </c>
      <c r="N1022" s="31" t="s">
        <v>387</v>
      </c>
      <c r="O1022" s="32" t="n">
        <v>0.5</v>
      </c>
      <c r="P1022" s="15" t="n">
        <f aca="false">IF(A1022="","",IF(O1022&lt;&gt;"",O1022,IF(L1022&lt;&gt;"",L1022,F1022)))</f>
        <v>0.5</v>
      </c>
    </row>
    <row r="1023" customFormat="false" ht="15" hidden="false" customHeight="true" outlineLevel="0" collapsed="false">
      <c r="A1023" s="26" t="s">
        <v>129</v>
      </c>
      <c r="B1023" s="26" t="s">
        <v>130</v>
      </c>
      <c r="C1023" s="14" t="n">
        <f aca="false">IF(A1023="","",IFERROR(VLOOKUP(A1023,'Recert Status'!$A$8:$C$400,3,FALSE()),""))</f>
        <v>46387</v>
      </c>
      <c r="D1023" s="18" t="s">
        <v>554</v>
      </c>
      <c r="E1023" s="26" t="n">
        <v>29668</v>
      </c>
      <c r="F1023" s="27" t="n">
        <v>1.5</v>
      </c>
      <c r="G1023" s="28" t="n">
        <v>45973</v>
      </c>
      <c r="H1023" s="28" t="n">
        <v>45973</v>
      </c>
      <c r="I1023" s="18" t="s">
        <v>555</v>
      </c>
      <c r="J1023" s="26" t="s">
        <v>511</v>
      </c>
      <c r="K1023" s="18" t="s">
        <v>509</v>
      </c>
      <c r="L1023" s="27" t="n">
        <v>1.5</v>
      </c>
      <c r="M1023" s="35" t="s">
        <v>386</v>
      </c>
      <c r="N1023" s="18" t="s">
        <v>387</v>
      </c>
      <c r="O1023" s="27" t="n">
        <v>1.5</v>
      </c>
      <c r="P1023" s="15" t="n">
        <f aca="false">IF(A1023="","",IF(O1023&lt;&gt;"",O1023,IF(L1023&lt;&gt;"",L1023,F1023)))</f>
        <v>1.5</v>
      </c>
    </row>
    <row r="1024" customFormat="false" ht="15" hidden="false" customHeight="true" outlineLevel="0" collapsed="false">
      <c r="A1024" s="30" t="s">
        <v>129</v>
      </c>
      <c r="B1024" s="30" t="s">
        <v>130</v>
      </c>
      <c r="C1024" s="21" t="n">
        <f aca="false">IF(A1024="","",IFERROR(VLOOKUP(A1024,'Recert Status'!$A$8:$C$400,3,FALSE()),""))</f>
        <v>46387</v>
      </c>
      <c r="D1024" s="31" t="s">
        <v>804</v>
      </c>
      <c r="E1024" s="30" t="s">
        <v>389</v>
      </c>
      <c r="F1024" s="32" t="n">
        <v>1</v>
      </c>
      <c r="G1024" s="33" t="n">
        <v>46039</v>
      </c>
      <c r="H1024" s="33" t="n">
        <v>46039</v>
      </c>
      <c r="I1024" s="31" t="s">
        <v>805</v>
      </c>
      <c r="J1024" s="30" t="s">
        <v>389</v>
      </c>
      <c r="K1024" s="31" t="s">
        <v>451</v>
      </c>
      <c r="L1024" s="32" t="n">
        <v>1</v>
      </c>
      <c r="M1024" s="35" t="s">
        <v>386</v>
      </c>
      <c r="N1024" s="31" t="s">
        <v>387</v>
      </c>
      <c r="O1024" s="32" t="n">
        <v>1</v>
      </c>
      <c r="P1024" s="15" t="n">
        <f aca="false">IF(A1024="","",IF(O1024&lt;&gt;"",O1024,IF(L1024&lt;&gt;"",L1024,F1024)))</f>
        <v>1</v>
      </c>
    </row>
    <row r="1025" customFormat="false" ht="15" hidden="false" customHeight="true" outlineLevel="0" collapsed="false">
      <c r="A1025" s="26" t="s">
        <v>129</v>
      </c>
      <c r="B1025" s="26" t="s">
        <v>130</v>
      </c>
      <c r="C1025" s="14" t="n">
        <f aca="false">IF(A1025="","",IFERROR(VLOOKUP(A1025,'Recert Status'!$A$8:$C$400,3,FALSE()),""))</f>
        <v>46387</v>
      </c>
      <c r="D1025" s="18" t="s">
        <v>474</v>
      </c>
      <c r="E1025" s="26" t="s">
        <v>389</v>
      </c>
      <c r="F1025" s="27" t="n">
        <v>1</v>
      </c>
      <c r="G1025" s="28" t="n">
        <v>46204</v>
      </c>
      <c r="H1025" s="28" t="n">
        <v>46204</v>
      </c>
      <c r="I1025" s="18" t="s">
        <v>475</v>
      </c>
      <c r="J1025" s="26" t="s">
        <v>389</v>
      </c>
      <c r="K1025" s="18" t="s">
        <v>476</v>
      </c>
      <c r="L1025" s="27" t="n">
        <v>1</v>
      </c>
      <c r="M1025" s="35" t="s">
        <v>386</v>
      </c>
      <c r="N1025" s="18" t="s">
        <v>387</v>
      </c>
      <c r="O1025" s="27" t="n">
        <v>1</v>
      </c>
      <c r="P1025" s="15" t="n">
        <f aca="false">IF(A1025="","",IF(O1025&lt;&gt;"",O1025,IF(L1025&lt;&gt;"",L1025,F1025)))</f>
        <v>1</v>
      </c>
    </row>
    <row r="1026" customFormat="false" ht="15" hidden="false" customHeight="true" outlineLevel="0" collapsed="false">
      <c r="A1026" s="30" t="s">
        <v>129</v>
      </c>
      <c r="B1026" s="30" t="s">
        <v>130</v>
      </c>
      <c r="C1026" s="21" t="n">
        <f aca="false">IF(A1026="","",IFERROR(VLOOKUP(A1026,'Recert Status'!$A$8:$C$400,3,FALSE()),""))</f>
        <v>46387</v>
      </c>
      <c r="D1026" s="31" t="s">
        <v>806</v>
      </c>
      <c r="E1026" s="30" t="s">
        <v>452</v>
      </c>
      <c r="F1026" s="32" t="n">
        <v>1</v>
      </c>
      <c r="G1026" s="33" t="n">
        <v>46039</v>
      </c>
      <c r="H1026" s="33" t="n">
        <v>46039</v>
      </c>
      <c r="I1026" s="31" t="s">
        <v>807</v>
      </c>
      <c r="J1026" s="30" t="s">
        <v>452</v>
      </c>
      <c r="K1026" s="31" t="s">
        <v>808</v>
      </c>
      <c r="L1026" s="32" t="n">
        <v>1</v>
      </c>
      <c r="M1026" s="36" t="s">
        <v>396</v>
      </c>
      <c r="N1026" s="31" t="s">
        <v>397</v>
      </c>
      <c r="O1026" s="32" t="n">
        <v>1</v>
      </c>
      <c r="P1026" s="15" t="n">
        <f aca="false">IF(A1026="","",IF(O1026&lt;&gt;"",O1026,IF(L1026&lt;&gt;"",L1026,F1026)))</f>
        <v>1</v>
      </c>
    </row>
    <row r="1027" customFormat="false" ht="15" hidden="false" customHeight="true" outlineLevel="0" collapsed="false">
      <c r="A1027" s="26" t="s">
        <v>129</v>
      </c>
      <c r="B1027" s="26" t="s">
        <v>130</v>
      </c>
      <c r="C1027" s="14" t="n">
        <f aca="false">IF(A1027="","",IFERROR(VLOOKUP(A1027,'Recert Status'!$A$8:$C$400,3,FALSE()),""))</f>
        <v>46387</v>
      </c>
      <c r="D1027" s="18" t="s">
        <v>397</v>
      </c>
      <c r="E1027" s="26" t="s">
        <v>452</v>
      </c>
      <c r="F1027" s="27" t="n">
        <v>1</v>
      </c>
      <c r="G1027" s="28" t="n">
        <v>46246</v>
      </c>
      <c r="H1027" s="28" t="n">
        <v>46246</v>
      </c>
      <c r="I1027" s="18" t="s">
        <v>478</v>
      </c>
      <c r="J1027" s="26" t="s">
        <v>452</v>
      </c>
      <c r="K1027" s="18" t="s">
        <v>385</v>
      </c>
      <c r="L1027" s="27" t="n">
        <v>1</v>
      </c>
      <c r="M1027" s="36" t="s">
        <v>396</v>
      </c>
      <c r="N1027" s="18" t="s">
        <v>397</v>
      </c>
      <c r="O1027" s="27" t="n">
        <v>1</v>
      </c>
      <c r="P1027" s="15" t="n">
        <f aca="false">IF(A1027="","",IF(O1027&lt;&gt;"",O1027,IF(L1027&lt;&gt;"",L1027,F1027)))</f>
        <v>1</v>
      </c>
    </row>
    <row r="1028" customFormat="false" ht="15" hidden="false" customHeight="true" outlineLevel="0" collapsed="false">
      <c r="A1028" s="30" t="s">
        <v>129</v>
      </c>
      <c r="B1028" s="30" t="s">
        <v>130</v>
      </c>
      <c r="C1028" s="21" t="n">
        <f aca="false">IF(A1028="","",IFERROR(VLOOKUP(A1028,'Recert Status'!$A$8:$C$400,3,FALSE()),""))</f>
        <v>46387</v>
      </c>
      <c r="D1028" s="31" t="s">
        <v>397</v>
      </c>
      <c r="E1028" s="30" t="s">
        <v>452</v>
      </c>
      <c r="F1028" s="32" t="n">
        <v>1</v>
      </c>
      <c r="G1028" s="33" t="n">
        <v>46292</v>
      </c>
      <c r="H1028" s="33" t="n">
        <v>46292</v>
      </c>
      <c r="I1028" s="31" t="s">
        <v>1233</v>
      </c>
      <c r="J1028" s="30" t="s">
        <v>452</v>
      </c>
      <c r="K1028" s="31" t="s">
        <v>385</v>
      </c>
      <c r="L1028" s="32" t="n">
        <v>1</v>
      </c>
      <c r="M1028" s="36" t="s">
        <v>396</v>
      </c>
      <c r="N1028" s="31" t="s">
        <v>397</v>
      </c>
      <c r="O1028" s="32" t="n">
        <v>1</v>
      </c>
      <c r="P1028" s="15" t="n">
        <f aca="false">IF(A1028="","",IF(O1028&lt;&gt;"",O1028,IF(L1028&lt;&gt;"",L1028,F1028)))</f>
        <v>1</v>
      </c>
    </row>
    <row r="1029" customFormat="false" ht="15" hidden="false" customHeight="true" outlineLevel="0" collapsed="false">
      <c r="A1029" s="26" t="s">
        <v>129</v>
      </c>
      <c r="B1029" s="26" t="s">
        <v>130</v>
      </c>
      <c r="C1029" s="14" t="n">
        <f aca="false">IF(A1029="","",IFERROR(VLOOKUP(A1029,'Recert Status'!$A$8:$C$400,3,FALSE()),""))</f>
        <v>46387</v>
      </c>
      <c r="D1029" s="18" t="s">
        <v>449</v>
      </c>
      <c r="E1029" s="26" t="s">
        <v>416</v>
      </c>
      <c r="F1029" s="27" t="n">
        <v>1</v>
      </c>
      <c r="G1029" s="28" t="n">
        <v>45775</v>
      </c>
      <c r="H1029" s="28" t="n">
        <v>45775</v>
      </c>
      <c r="I1029" s="18" t="s">
        <v>809</v>
      </c>
      <c r="J1029" s="26" t="s">
        <v>416</v>
      </c>
      <c r="K1029" s="18" t="s">
        <v>674</v>
      </c>
      <c r="L1029" s="27" t="n">
        <v>1</v>
      </c>
      <c r="M1029" s="39" t="s">
        <v>413</v>
      </c>
      <c r="N1029" s="18" t="s">
        <v>414</v>
      </c>
      <c r="O1029" s="27" t="n">
        <v>1</v>
      </c>
      <c r="P1029" s="15" t="n">
        <f aca="false">IF(A1029="","",IF(O1029&lt;&gt;"",O1029,IF(L1029&lt;&gt;"",L1029,F1029)))</f>
        <v>1</v>
      </c>
    </row>
    <row r="1030" customFormat="false" ht="15" hidden="false" customHeight="true" outlineLevel="0" collapsed="false">
      <c r="A1030" s="30" t="s">
        <v>129</v>
      </c>
      <c r="B1030" s="30" t="s">
        <v>130</v>
      </c>
      <c r="C1030" s="21" t="n">
        <f aca="false">IF(A1030="","",IFERROR(VLOOKUP(A1030,'Recert Status'!$A$8:$C$400,3,FALSE()),""))</f>
        <v>46387</v>
      </c>
      <c r="D1030" s="31" t="s">
        <v>415</v>
      </c>
      <c r="E1030" s="30" t="s">
        <v>416</v>
      </c>
      <c r="F1030" s="32" t="n">
        <v>1</v>
      </c>
      <c r="G1030" s="33" t="n">
        <v>45826</v>
      </c>
      <c r="H1030" s="33" t="n">
        <v>45826</v>
      </c>
      <c r="I1030" s="31" t="s">
        <v>1234</v>
      </c>
      <c r="J1030" s="30" t="s">
        <v>416</v>
      </c>
      <c r="K1030" s="31" t="s">
        <v>418</v>
      </c>
      <c r="L1030" s="32" t="n">
        <v>1</v>
      </c>
      <c r="M1030" s="39" t="s">
        <v>413</v>
      </c>
      <c r="N1030" s="31" t="s">
        <v>414</v>
      </c>
      <c r="O1030" s="32" t="n">
        <v>1</v>
      </c>
      <c r="P1030" s="15" t="n">
        <f aca="false">IF(A1030="","",IF(O1030&lt;&gt;"",O1030,IF(L1030&lt;&gt;"",L1030,F1030)))</f>
        <v>1</v>
      </c>
    </row>
    <row r="1031" customFormat="false" ht="15" hidden="false" customHeight="true" outlineLevel="0" collapsed="false">
      <c r="A1031" s="26" t="s">
        <v>129</v>
      </c>
      <c r="B1031" s="26" t="s">
        <v>130</v>
      </c>
      <c r="C1031" s="14" t="n">
        <f aca="false">IF(A1031="","",IFERROR(VLOOKUP(A1031,'Recert Status'!$A$8:$C$400,3,FALSE()),""))</f>
        <v>46387</v>
      </c>
      <c r="D1031" s="18" t="s">
        <v>457</v>
      </c>
      <c r="E1031" s="26" t="s">
        <v>416</v>
      </c>
      <c r="F1031" s="27" t="n">
        <v>2</v>
      </c>
      <c r="G1031" s="28" t="n">
        <v>45859</v>
      </c>
      <c r="H1031" s="28" t="n">
        <v>45859</v>
      </c>
      <c r="I1031" s="18" t="s">
        <v>780</v>
      </c>
      <c r="J1031" s="26" t="s">
        <v>416</v>
      </c>
      <c r="K1031" s="18" t="s">
        <v>781</v>
      </c>
      <c r="L1031" s="27" t="n">
        <v>2</v>
      </c>
      <c r="M1031" s="39" t="s">
        <v>413</v>
      </c>
      <c r="N1031" s="18" t="s">
        <v>414</v>
      </c>
      <c r="O1031" s="27" t="n">
        <v>2</v>
      </c>
      <c r="P1031" s="15" t="n">
        <f aca="false">IF(A1031="","",IF(O1031&lt;&gt;"",O1031,IF(L1031&lt;&gt;"",L1031,F1031)))</f>
        <v>2</v>
      </c>
    </row>
    <row r="1032" customFormat="false" ht="15" hidden="false" customHeight="true" outlineLevel="0" collapsed="false">
      <c r="A1032" s="30" t="s">
        <v>129</v>
      </c>
      <c r="B1032" s="30" t="s">
        <v>130</v>
      </c>
      <c r="C1032" s="21" t="n">
        <f aca="false">IF(A1032="","",IFERROR(VLOOKUP(A1032,'Recert Status'!$A$8:$C$400,3,FALSE()),""))</f>
        <v>46387</v>
      </c>
      <c r="D1032" s="31" t="s">
        <v>1235</v>
      </c>
      <c r="E1032" s="30" t="s">
        <v>416</v>
      </c>
      <c r="F1032" s="32" t="n">
        <v>1</v>
      </c>
      <c r="G1032" s="33" t="n">
        <v>46082</v>
      </c>
      <c r="H1032" s="33" t="n">
        <v>46082</v>
      </c>
      <c r="I1032" s="31" t="s">
        <v>1236</v>
      </c>
      <c r="J1032" s="30" t="s">
        <v>416</v>
      </c>
      <c r="K1032" s="31" t="s">
        <v>485</v>
      </c>
      <c r="L1032" s="32" t="n">
        <v>1</v>
      </c>
      <c r="M1032" s="39" t="s">
        <v>413</v>
      </c>
      <c r="N1032" s="31" t="s">
        <v>414</v>
      </c>
      <c r="O1032" s="32" t="n">
        <v>1</v>
      </c>
      <c r="P1032" s="15" t="n">
        <f aca="false">IF(A1032="","",IF(O1032&lt;&gt;"",O1032,IF(L1032&lt;&gt;"",L1032,F1032)))</f>
        <v>1</v>
      </c>
    </row>
    <row r="1033" customFormat="false" ht="15" hidden="false" customHeight="true" outlineLevel="0" collapsed="false">
      <c r="A1033" s="26" t="s">
        <v>129</v>
      </c>
      <c r="B1033" s="26" t="s">
        <v>130</v>
      </c>
      <c r="C1033" s="14" t="n">
        <f aca="false">IF(A1033="","",IFERROR(VLOOKUP(A1033,'Recert Status'!$A$8:$C$400,3,FALSE()),""))</f>
        <v>46387</v>
      </c>
      <c r="D1033" s="18" t="s">
        <v>488</v>
      </c>
      <c r="E1033" s="26" t="s">
        <v>416</v>
      </c>
      <c r="F1033" s="27" t="n">
        <v>1</v>
      </c>
      <c r="G1033" s="28" t="n">
        <v>46126</v>
      </c>
      <c r="H1033" s="28" t="n">
        <v>46126</v>
      </c>
      <c r="I1033" s="18" t="s">
        <v>489</v>
      </c>
      <c r="J1033" s="26" t="s">
        <v>416</v>
      </c>
      <c r="K1033" s="18" t="s">
        <v>490</v>
      </c>
      <c r="L1033" s="27" t="n">
        <v>1</v>
      </c>
      <c r="M1033" s="39" t="s">
        <v>413</v>
      </c>
      <c r="N1033" s="18" t="s">
        <v>414</v>
      </c>
      <c r="O1033" s="27" t="n">
        <v>1</v>
      </c>
      <c r="P1033" s="15" t="n">
        <f aca="false">IF(A1033="","",IF(O1033&lt;&gt;"",O1033,IF(L1033&lt;&gt;"",L1033,F1033)))</f>
        <v>1</v>
      </c>
    </row>
    <row r="1034" customFormat="false" ht="15" hidden="false" customHeight="true" outlineLevel="0" collapsed="false">
      <c r="A1034" s="30" t="s">
        <v>131</v>
      </c>
      <c r="B1034" s="30" t="s">
        <v>132</v>
      </c>
      <c r="C1034" s="21" t="n">
        <f aca="false">IF(A1034="","",IFERROR(VLOOKUP(A1034,'Recert Status'!$A$8:$C$400,3,FALSE()),""))</f>
        <v>46752</v>
      </c>
      <c r="D1034" s="31" t="s">
        <v>924</v>
      </c>
      <c r="E1034" s="30" t="s">
        <v>363</v>
      </c>
      <c r="F1034" s="32" t="n">
        <v>0.5</v>
      </c>
      <c r="G1034" s="33" t="n">
        <v>45824</v>
      </c>
      <c r="H1034" s="33" t="n">
        <v>45824</v>
      </c>
      <c r="I1034" s="31" t="s">
        <v>925</v>
      </c>
      <c r="J1034" s="30" t="s">
        <v>363</v>
      </c>
      <c r="K1034" s="31" t="s">
        <v>365</v>
      </c>
      <c r="L1034" s="32" t="n">
        <v>0.5</v>
      </c>
      <c r="M1034" s="29" t="s">
        <v>366</v>
      </c>
      <c r="N1034" s="31" t="s">
        <v>367</v>
      </c>
      <c r="O1034" s="32" t="n">
        <v>0.5</v>
      </c>
      <c r="P1034" s="15" t="n">
        <f aca="false">IF(A1034="","",IF(O1034&lt;&gt;"",O1034,IF(L1034&lt;&gt;"",L1034,F1034)))</f>
        <v>0.5</v>
      </c>
    </row>
    <row r="1035" customFormat="false" ht="15" hidden="false" customHeight="true" outlineLevel="0" collapsed="false">
      <c r="A1035" s="26" t="s">
        <v>131</v>
      </c>
      <c r="B1035" s="26" t="s">
        <v>132</v>
      </c>
      <c r="C1035" s="14" t="n">
        <f aca="false">IF(A1035="","",IFERROR(VLOOKUP(A1035,'Recert Status'!$A$8:$C$400,3,FALSE()),""))</f>
        <v>46752</v>
      </c>
      <c r="D1035" s="18" t="s">
        <v>419</v>
      </c>
      <c r="E1035" s="26" t="n">
        <v>57433</v>
      </c>
      <c r="F1035" s="27" t="n">
        <v>1</v>
      </c>
      <c r="G1035" s="28" t="n">
        <v>45956</v>
      </c>
      <c r="H1035" s="28" t="n">
        <v>45956</v>
      </c>
      <c r="I1035" s="18" t="s">
        <v>420</v>
      </c>
      <c r="J1035" s="26" t="s">
        <v>421</v>
      </c>
      <c r="K1035" s="18" t="s">
        <v>422</v>
      </c>
      <c r="L1035" s="27" t="n">
        <v>1</v>
      </c>
      <c r="M1035" s="40" t="s">
        <v>423</v>
      </c>
      <c r="N1035" s="18" t="s">
        <v>424</v>
      </c>
      <c r="O1035" s="27" t="n">
        <v>1</v>
      </c>
      <c r="P1035" s="15" t="n">
        <f aca="false">IF(A1035="","",IF(O1035&lt;&gt;"",O1035,IF(L1035&lt;&gt;"",L1035,F1035)))</f>
        <v>1</v>
      </c>
    </row>
    <row r="1036" customFormat="false" ht="15" hidden="false" customHeight="true" outlineLevel="0" collapsed="false">
      <c r="A1036" s="30" t="s">
        <v>131</v>
      </c>
      <c r="B1036" s="30" t="s">
        <v>132</v>
      </c>
      <c r="C1036" s="21" t="n">
        <f aca="false">IF(A1036="","",IFERROR(VLOOKUP(A1036,'Recert Status'!$A$8:$C$400,3,FALSE()),""))</f>
        <v>46752</v>
      </c>
      <c r="D1036" s="31" t="s">
        <v>884</v>
      </c>
      <c r="E1036" s="30" t="s">
        <v>426</v>
      </c>
      <c r="F1036" s="32" t="n">
        <v>2</v>
      </c>
      <c r="G1036" s="33" t="n">
        <v>45929</v>
      </c>
      <c r="H1036" s="33" t="n">
        <v>45929</v>
      </c>
      <c r="I1036" s="31" t="s">
        <v>885</v>
      </c>
      <c r="J1036" s="30" t="s">
        <v>426</v>
      </c>
      <c r="K1036" s="31" t="s">
        <v>428</v>
      </c>
      <c r="L1036" s="32" t="n">
        <v>2</v>
      </c>
      <c r="M1036" s="41" t="s">
        <v>429</v>
      </c>
      <c r="N1036" s="31" t="s">
        <v>430</v>
      </c>
      <c r="O1036" s="32" t="n">
        <v>2</v>
      </c>
      <c r="P1036" s="15" t="n">
        <f aca="false">IF(A1036="","",IF(O1036&lt;&gt;"",O1036,IF(L1036&lt;&gt;"",L1036,F1036)))</f>
        <v>2</v>
      </c>
    </row>
    <row r="1037" customFormat="false" ht="15" hidden="false" customHeight="true" outlineLevel="0" collapsed="false">
      <c r="A1037" s="26" t="s">
        <v>131</v>
      </c>
      <c r="B1037" s="26" t="s">
        <v>132</v>
      </c>
      <c r="C1037" s="14" t="n">
        <f aca="false">IF(A1037="","",IFERROR(VLOOKUP(A1037,'Recert Status'!$A$8:$C$400,3,FALSE()),""))</f>
        <v>46752</v>
      </c>
      <c r="D1037" s="18" t="s">
        <v>431</v>
      </c>
      <c r="E1037" s="26" t="s">
        <v>426</v>
      </c>
      <c r="F1037" s="27" t="n">
        <v>2</v>
      </c>
      <c r="G1037" s="28" t="n">
        <v>45971</v>
      </c>
      <c r="H1037" s="28" t="n">
        <v>45971</v>
      </c>
      <c r="I1037" s="18" t="s">
        <v>432</v>
      </c>
      <c r="J1037" s="26" t="s">
        <v>426</v>
      </c>
      <c r="K1037" s="18" t="s">
        <v>428</v>
      </c>
      <c r="L1037" s="27" t="n">
        <v>2</v>
      </c>
      <c r="M1037" s="41" t="s">
        <v>429</v>
      </c>
      <c r="N1037" s="18" t="s">
        <v>430</v>
      </c>
      <c r="O1037" s="27" t="n">
        <v>2</v>
      </c>
      <c r="P1037" s="15" t="n">
        <f aca="false">IF(A1037="","",IF(O1037&lt;&gt;"",O1037,IF(L1037&lt;&gt;"",L1037,F1037)))</f>
        <v>2</v>
      </c>
    </row>
    <row r="1038" customFormat="false" ht="15" hidden="false" customHeight="true" outlineLevel="0" collapsed="false">
      <c r="A1038" s="30" t="s">
        <v>131</v>
      </c>
      <c r="B1038" s="30" t="s">
        <v>132</v>
      </c>
      <c r="C1038" s="21" t="n">
        <f aca="false">IF(A1038="","",IFERROR(VLOOKUP(A1038,'Recert Status'!$A$8:$C$400,3,FALSE()),""))</f>
        <v>46752</v>
      </c>
      <c r="D1038" s="31" t="s">
        <v>569</v>
      </c>
      <c r="E1038" s="30" t="s">
        <v>426</v>
      </c>
      <c r="F1038" s="32" t="n">
        <v>1</v>
      </c>
      <c r="G1038" s="33" t="n">
        <v>46076</v>
      </c>
      <c r="H1038" s="33" t="n">
        <v>46076</v>
      </c>
      <c r="I1038" s="31" t="s">
        <v>926</v>
      </c>
      <c r="J1038" s="30" t="s">
        <v>426</v>
      </c>
      <c r="K1038" s="31" t="s">
        <v>526</v>
      </c>
      <c r="L1038" s="32" t="n">
        <v>1</v>
      </c>
      <c r="M1038" s="41" t="s">
        <v>429</v>
      </c>
      <c r="N1038" s="31" t="s">
        <v>430</v>
      </c>
      <c r="O1038" s="32" t="n">
        <v>1</v>
      </c>
      <c r="P1038" s="15" t="n">
        <f aca="false">IF(A1038="","",IF(O1038&lt;&gt;"",O1038,IF(L1038&lt;&gt;"",L1038,F1038)))</f>
        <v>1</v>
      </c>
    </row>
    <row r="1039" customFormat="false" ht="15" hidden="false" customHeight="true" outlineLevel="0" collapsed="false">
      <c r="A1039" s="26" t="s">
        <v>131</v>
      </c>
      <c r="B1039" s="26" t="s">
        <v>132</v>
      </c>
      <c r="C1039" s="14" t="n">
        <f aca="false">IF(A1039="","",IFERROR(VLOOKUP(A1039,'Recert Status'!$A$8:$C$400,3,FALSE()),""))</f>
        <v>46752</v>
      </c>
      <c r="D1039" s="18" t="s">
        <v>927</v>
      </c>
      <c r="E1039" s="26" t="s">
        <v>426</v>
      </c>
      <c r="F1039" s="27" t="n">
        <v>2</v>
      </c>
      <c r="G1039" s="28" t="n">
        <v>46196</v>
      </c>
      <c r="H1039" s="28" t="n">
        <v>46196</v>
      </c>
      <c r="I1039" s="18" t="s">
        <v>928</v>
      </c>
      <c r="J1039" s="26" t="s">
        <v>426</v>
      </c>
      <c r="K1039" s="18" t="s">
        <v>526</v>
      </c>
      <c r="L1039" s="27" t="n">
        <v>2</v>
      </c>
      <c r="M1039" s="41" t="s">
        <v>429</v>
      </c>
      <c r="N1039" s="18" t="s">
        <v>430</v>
      </c>
      <c r="O1039" s="27" t="n">
        <v>2</v>
      </c>
      <c r="P1039" s="15" t="n">
        <f aca="false">IF(A1039="","",IF(O1039&lt;&gt;"",O1039,IF(L1039&lt;&gt;"",L1039,F1039)))</f>
        <v>2</v>
      </c>
    </row>
    <row r="1040" customFormat="false" ht="15" hidden="false" customHeight="true" outlineLevel="0" collapsed="false">
      <c r="A1040" s="30" t="s">
        <v>131</v>
      </c>
      <c r="B1040" s="30" t="s">
        <v>132</v>
      </c>
      <c r="C1040" s="21" t="n">
        <f aca="false">IF(A1040="","",IFERROR(VLOOKUP(A1040,'Recert Status'!$A$8:$C$400,3,FALSE()),""))</f>
        <v>46752</v>
      </c>
      <c r="D1040" s="31" t="s">
        <v>437</v>
      </c>
      <c r="E1040" s="30" t="n">
        <v>29743</v>
      </c>
      <c r="F1040" s="32" t="n">
        <v>1</v>
      </c>
      <c r="G1040" s="33" t="n">
        <v>45833</v>
      </c>
      <c r="H1040" s="33" t="n">
        <v>45833</v>
      </c>
      <c r="I1040" s="31" t="s">
        <v>438</v>
      </c>
      <c r="J1040" s="30" t="s">
        <v>439</v>
      </c>
      <c r="K1040" s="31" t="s">
        <v>440</v>
      </c>
      <c r="L1040" s="32" t="n">
        <v>1</v>
      </c>
      <c r="M1040" s="35" t="s">
        <v>386</v>
      </c>
      <c r="N1040" s="31" t="s">
        <v>387</v>
      </c>
      <c r="O1040" s="32" t="n">
        <v>1</v>
      </c>
      <c r="P1040" s="15" t="n">
        <f aca="false">IF(A1040="","",IF(O1040&lt;&gt;"",O1040,IF(L1040&lt;&gt;"",L1040,F1040)))</f>
        <v>1</v>
      </c>
    </row>
    <row r="1041" customFormat="false" ht="15" hidden="false" customHeight="true" outlineLevel="0" collapsed="false">
      <c r="A1041" s="26" t="s">
        <v>131</v>
      </c>
      <c r="B1041" s="26" t="s">
        <v>132</v>
      </c>
      <c r="C1041" s="14" t="n">
        <f aca="false">IF(A1041="","",IFERROR(VLOOKUP(A1041,'Recert Status'!$A$8:$C$400,3,FALSE()),""))</f>
        <v>46752</v>
      </c>
      <c r="D1041" s="18" t="s">
        <v>441</v>
      </c>
      <c r="E1041" s="26" t="n">
        <v>29743</v>
      </c>
      <c r="F1041" s="27" t="n">
        <v>1</v>
      </c>
      <c r="G1041" s="28" t="n">
        <v>45833</v>
      </c>
      <c r="H1041" s="28" t="n">
        <v>45833</v>
      </c>
      <c r="I1041" s="18" t="s">
        <v>442</v>
      </c>
      <c r="J1041" s="26" t="s">
        <v>439</v>
      </c>
      <c r="K1041" s="18" t="s">
        <v>443</v>
      </c>
      <c r="L1041" s="27" t="n">
        <v>1</v>
      </c>
      <c r="M1041" s="35" t="s">
        <v>386</v>
      </c>
      <c r="N1041" s="18" t="s">
        <v>387</v>
      </c>
      <c r="O1041" s="27" t="n">
        <v>1</v>
      </c>
      <c r="P1041" s="15" t="n">
        <f aca="false">IF(A1041="","",IF(O1041&lt;&gt;"",O1041,IF(L1041&lt;&gt;"",L1041,F1041)))</f>
        <v>1</v>
      </c>
    </row>
    <row r="1042" customFormat="false" ht="15" hidden="false" customHeight="true" outlineLevel="0" collapsed="false">
      <c r="A1042" s="30" t="s">
        <v>131</v>
      </c>
      <c r="B1042" s="30" t="s">
        <v>132</v>
      </c>
      <c r="C1042" s="21" t="n">
        <f aca="false">IF(A1042="","",IFERROR(VLOOKUP(A1042,'Recert Status'!$A$8:$C$400,3,FALSE()),""))</f>
        <v>46752</v>
      </c>
      <c r="D1042" s="31" t="s">
        <v>444</v>
      </c>
      <c r="E1042" s="30" t="n">
        <v>29675</v>
      </c>
      <c r="F1042" s="32" t="n">
        <v>1</v>
      </c>
      <c r="G1042" s="33" t="n">
        <v>45971</v>
      </c>
      <c r="H1042" s="33" t="n">
        <v>45971</v>
      </c>
      <c r="I1042" s="31" t="s">
        <v>445</v>
      </c>
      <c r="J1042" s="30" t="s">
        <v>406</v>
      </c>
      <c r="K1042" s="31" t="s">
        <v>446</v>
      </c>
      <c r="L1042" s="32" t="n">
        <v>1</v>
      </c>
      <c r="M1042" s="35" t="s">
        <v>386</v>
      </c>
      <c r="N1042" s="31" t="s">
        <v>387</v>
      </c>
      <c r="O1042" s="32" t="n">
        <v>1</v>
      </c>
      <c r="P1042" s="15" t="n">
        <f aca="false">IF(A1042="","",IF(O1042&lt;&gt;"",O1042,IF(L1042&lt;&gt;"",L1042,F1042)))</f>
        <v>1</v>
      </c>
    </row>
    <row r="1043" customFormat="false" ht="15" hidden="false" customHeight="true" outlineLevel="0" collapsed="false">
      <c r="A1043" s="26" t="s">
        <v>131</v>
      </c>
      <c r="B1043" s="26" t="s">
        <v>132</v>
      </c>
      <c r="C1043" s="14" t="n">
        <f aca="false">IF(A1043="","",IFERROR(VLOOKUP(A1043,'Recert Status'!$A$8:$C$400,3,FALSE()),""))</f>
        <v>46752</v>
      </c>
      <c r="D1043" s="18" t="s">
        <v>447</v>
      </c>
      <c r="E1043" s="26" t="n">
        <v>29675</v>
      </c>
      <c r="F1043" s="27" t="n">
        <v>1</v>
      </c>
      <c r="G1043" s="28" t="n">
        <v>45986</v>
      </c>
      <c r="H1043" s="28" t="n">
        <v>45986</v>
      </c>
      <c r="I1043" s="18" t="s">
        <v>448</v>
      </c>
      <c r="J1043" s="26" t="s">
        <v>406</v>
      </c>
      <c r="K1043" s="18" t="s">
        <v>446</v>
      </c>
      <c r="L1043" s="27" t="n">
        <v>1</v>
      </c>
      <c r="M1043" s="35" t="s">
        <v>386</v>
      </c>
      <c r="N1043" s="18" t="s">
        <v>387</v>
      </c>
      <c r="O1043" s="27" t="n">
        <v>1</v>
      </c>
      <c r="P1043" s="15" t="n">
        <f aca="false">IF(A1043="","",IF(O1043&lt;&gt;"",O1043,IF(L1043&lt;&gt;"",L1043,F1043)))</f>
        <v>1</v>
      </c>
    </row>
    <row r="1044" customFormat="false" ht="15" hidden="false" customHeight="true" outlineLevel="0" collapsed="false">
      <c r="A1044" s="30" t="s">
        <v>131</v>
      </c>
      <c r="B1044" s="30" t="s">
        <v>132</v>
      </c>
      <c r="C1044" s="21" t="n">
        <f aca="false">IF(A1044="","",IFERROR(VLOOKUP(A1044,'Recert Status'!$A$8:$C$400,3,FALSE()),""))</f>
        <v>46752</v>
      </c>
      <c r="D1044" s="31" t="s">
        <v>387</v>
      </c>
      <c r="E1044" s="30" t="s">
        <v>389</v>
      </c>
      <c r="F1044" s="32" t="n">
        <v>1</v>
      </c>
      <c r="G1044" s="33" t="n">
        <v>46208</v>
      </c>
      <c r="H1044" s="33" t="n">
        <v>46208</v>
      </c>
      <c r="I1044" s="31" t="s">
        <v>932</v>
      </c>
      <c r="J1044" s="30" t="s">
        <v>389</v>
      </c>
      <c r="K1044" s="31" t="s">
        <v>451</v>
      </c>
      <c r="L1044" s="32" t="n">
        <v>1</v>
      </c>
      <c r="M1044" s="35" t="s">
        <v>386</v>
      </c>
      <c r="N1044" s="31" t="s">
        <v>387</v>
      </c>
      <c r="O1044" s="32" t="n">
        <v>1</v>
      </c>
      <c r="P1044" s="15" t="n">
        <f aca="false">IF(A1044="","",IF(O1044&lt;&gt;"",O1044,IF(L1044&lt;&gt;"",L1044,F1044)))</f>
        <v>1</v>
      </c>
    </row>
    <row r="1045" customFormat="false" ht="15" hidden="false" customHeight="true" outlineLevel="0" collapsed="false">
      <c r="A1045" s="26" t="s">
        <v>131</v>
      </c>
      <c r="B1045" s="26" t="s">
        <v>132</v>
      </c>
      <c r="C1045" s="14" t="n">
        <f aca="false">IF(A1045="","",IFERROR(VLOOKUP(A1045,'Recert Status'!$A$8:$C$400,3,FALSE()),""))</f>
        <v>46752</v>
      </c>
      <c r="D1045" s="18" t="s">
        <v>934</v>
      </c>
      <c r="E1045" s="26" t="s">
        <v>416</v>
      </c>
      <c r="F1045" s="27" t="n">
        <v>1</v>
      </c>
      <c r="G1045" s="28" t="n">
        <v>45824</v>
      </c>
      <c r="H1045" s="28" t="n">
        <v>45824</v>
      </c>
      <c r="I1045" s="18" t="s">
        <v>935</v>
      </c>
      <c r="J1045" s="26" t="s">
        <v>416</v>
      </c>
      <c r="K1045" s="18" t="s">
        <v>418</v>
      </c>
      <c r="L1045" s="27" t="n">
        <v>1</v>
      </c>
      <c r="M1045" s="39" t="s">
        <v>413</v>
      </c>
      <c r="N1045" s="18" t="s">
        <v>414</v>
      </c>
      <c r="O1045" s="27" t="n">
        <v>1</v>
      </c>
      <c r="P1045" s="15" t="n">
        <f aca="false">IF(A1045="","",IF(O1045&lt;&gt;"",O1045,IF(L1045&lt;&gt;"",L1045,F1045)))</f>
        <v>1</v>
      </c>
    </row>
    <row r="1046" customFormat="false" ht="15" hidden="false" customHeight="true" outlineLevel="0" collapsed="false">
      <c r="A1046" s="30" t="s">
        <v>131</v>
      </c>
      <c r="B1046" s="30" t="s">
        <v>132</v>
      </c>
      <c r="C1046" s="21" t="n">
        <f aca="false">IF(A1046="","",IFERROR(VLOOKUP(A1046,'Recert Status'!$A$8:$C$400,3,FALSE()),""))</f>
        <v>46752</v>
      </c>
      <c r="D1046" s="31" t="s">
        <v>457</v>
      </c>
      <c r="E1046" s="30" t="s">
        <v>416</v>
      </c>
      <c r="F1046" s="32" t="n">
        <v>2</v>
      </c>
      <c r="G1046" s="33" t="n">
        <v>45860</v>
      </c>
      <c r="H1046" s="33" t="n">
        <v>45860</v>
      </c>
      <c r="I1046" s="31" t="s">
        <v>458</v>
      </c>
      <c r="J1046" s="30" t="s">
        <v>416</v>
      </c>
      <c r="K1046" s="31" t="s">
        <v>459</v>
      </c>
      <c r="L1046" s="32" t="n">
        <v>2</v>
      </c>
      <c r="M1046" s="39" t="s">
        <v>413</v>
      </c>
      <c r="N1046" s="31" t="s">
        <v>414</v>
      </c>
      <c r="O1046" s="32" t="n">
        <v>2</v>
      </c>
      <c r="P1046" s="15" t="n">
        <f aca="false">IF(A1046="","",IF(O1046&lt;&gt;"",O1046,IF(L1046&lt;&gt;"",L1046,F1046)))</f>
        <v>2</v>
      </c>
    </row>
    <row r="1047" customFormat="false" ht="15" hidden="false" customHeight="true" outlineLevel="0" collapsed="false">
      <c r="A1047" s="26" t="s">
        <v>131</v>
      </c>
      <c r="B1047" s="26" t="s">
        <v>132</v>
      </c>
      <c r="C1047" s="14" t="n">
        <f aca="false">IF(A1047="","",IFERROR(VLOOKUP(A1047,'Recert Status'!$A$8:$C$400,3,FALSE()),""))</f>
        <v>46752</v>
      </c>
      <c r="D1047" s="18" t="s">
        <v>488</v>
      </c>
      <c r="E1047" s="26" t="s">
        <v>416</v>
      </c>
      <c r="F1047" s="27" t="n">
        <v>1</v>
      </c>
      <c r="G1047" s="28" t="n">
        <v>46127</v>
      </c>
      <c r="H1047" s="28" t="n">
        <v>46127</v>
      </c>
      <c r="I1047" s="18" t="s">
        <v>534</v>
      </c>
      <c r="J1047" s="26" t="s">
        <v>416</v>
      </c>
      <c r="K1047" s="18" t="s">
        <v>490</v>
      </c>
      <c r="L1047" s="27" t="n">
        <v>1</v>
      </c>
      <c r="M1047" s="39" t="s">
        <v>413</v>
      </c>
      <c r="N1047" s="18" t="s">
        <v>414</v>
      </c>
      <c r="O1047" s="27" t="n">
        <v>1</v>
      </c>
      <c r="P1047" s="15" t="n">
        <f aca="false">IF(A1047="","",IF(O1047&lt;&gt;"",O1047,IF(L1047&lt;&gt;"",L1047,F1047)))</f>
        <v>1</v>
      </c>
    </row>
    <row r="1048" customFormat="false" ht="15" hidden="false" customHeight="true" outlineLevel="0" collapsed="false">
      <c r="A1048" s="30" t="s">
        <v>131</v>
      </c>
      <c r="B1048" s="30" t="s">
        <v>132</v>
      </c>
      <c r="C1048" s="21" t="n">
        <f aca="false">IF(A1048="","",IFERROR(VLOOKUP(A1048,'Recert Status'!$A$8:$C$400,3,FALSE()),""))</f>
        <v>46752</v>
      </c>
      <c r="D1048" s="31" t="s">
        <v>414</v>
      </c>
      <c r="E1048" s="30" t="s">
        <v>416</v>
      </c>
      <c r="F1048" s="32" t="n">
        <v>2</v>
      </c>
      <c r="G1048" s="33" t="n">
        <v>46217</v>
      </c>
      <c r="H1048" s="33" t="n">
        <v>46217</v>
      </c>
      <c r="I1048" s="31" t="s">
        <v>460</v>
      </c>
      <c r="J1048" s="30" t="s">
        <v>416</v>
      </c>
      <c r="K1048" s="31" t="s">
        <v>418</v>
      </c>
      <c r="L1048" s="32" t="n">
        <v>2</v>
      </c>
      <c r="M1048" s="39" t="s">
        <v>413</v>
      </c>
      <c r="N1048" s="31" t="s">
        <v>414</v>
      </c>
      <c r="O1048" s="32" t="n">
        <v>2</v>
      </c>
      <c r="P1048" s="15" t="n">
        <f aca="false">IF(A1048="","",IF(O1048&lt;&gt;"",O1048,IF(L1048&lt;&gt;"",L1048,F1048)))</f>
        <v>2</v>
      </c>
    </row>
    <row r="1049" customFormat="false" ht="15" hidden="false" customHeight="true" outlineLevel="0" collapsed="false">
      <c r="A1049" s="26" t="s">
        <v>133</v>
      </c>
      <c r="B1049" s="26" t="s">
        <v>134</v>
      </c>
      <c r="C1049" s="14" t="n">
        <f aca="false">IF(A1049="","",IFERROR(VLOOKUP(A1049,'Recert Status'!$A$8:$C$400,3,FALSE()),""))</f>
        <v>46387</v>
      </c>
      <c r="D1049" s="18" t="s">
        <v>1237</v>
      </c>
      <c r="E1049" s="26" t="s">
        <v>363</v>
      </c>
      <c r="F1049" s="27" t="n">
        <v>0.5</v>
      </c>
      <c r="G1049" s="28" t="n">
        <v>45843</v>
      </c>
      <c r="H1049" s="28" t="n">
        <v>45843</v>
      </c>
      <c r="I1049" s="18" t="s">
        <v>1238</v>
      </c>
      <c r="J1049" s="26" t="s">
        <v>363</v>
      </c>
      <c r="K1049" s="18" t="s">
        <v>370</v>
      </c>
      <c r="L1049" s="27" t="n">
        <v>0.5</v>
      </c>
      <c r="M1049" s="29" t="s">
        <v>366</v>
      </c>
      <c r="N1049" s="18" t="s">
        <v>367</v>
      </c>
      <c r="O1049" s="27" t="n">
        <v>0.5</v>
      </c>
      <c r="P1049" s="15" t="n">
        <f aca="false">IF(A1049="","",IF(O1049&lt;&gt;"",O1049,IF(L1049&lt;&gt;"",L1049,F1049)))</f>
        <v>0.5</v>
      </c>
    </row>
    <row r="1050" customFormat="false" ht="15" hidden="false" customHeight="true" outlineLevel="0" collapsed="false">
      <c r="A1050" s="30" t="s">
        <v>133</v>
      </c>
      <c r="B1050" s="30" t="s">
        <v>134</v>
      </c>
      <c r="C1050" s="21" t="n">
        <f aca="false">IF(A1050="","",IFERROR(VLOOKUP(A1050,'Recert Status'!$A$8:$C$400,3,FALSE()),""))</f>
        <v>46387</v>
      </c>
      <c r="D1050" s="31" t="s">
        <v>569</v>
      </c>
      <c r="E1050" s="30" t="n">
        <v>57433</v>
      </c>
      <c r="F1050" s="32" t="n">
        <v>1</v>
      </c>
      <c r="G1050" s="33" t="n">
        <v>46017</v>
      </c>
      <c r="H1050" s="33" t="n">
        <v>46017</v>
      </c>
      <c r="I1050" s="31" t="s">
        <v>570</v>
      </c>
      <c r="J1050" s="30" t="s">
        <v>421</v>
      </c>
      <c r="K1050" s="31" t="s">
        <v>428</v>
      </c>
      <c r="L1050" s="32" t="n">
        <v>1</v>
      </c>
      <c r="M1050" s="40" t="s">
        <v>423</v>
      </c>
      <c r="N1050" s="31" t="s">
        <v>514</v>
      </c>
      <c r="O1050" s="32" t="n">
        <v>1</v>
      </c>
      <c r="P1050" s="15" t="n">
        <f aca="false">IF(A1050="","",IF(O1050&lt;&gt;"",O1050,IF(L1050&lt;&gt;"",L1050,F1050)))</f>
        <v>1</v>
      </c>
    </row>
    <row r="1051" customFormat="false" ht="15" hidden="false" customHeight="true" outlineLevel="0" collapsed="false">
      <c r="A1051" s="26" t="s">
        <v>133</v>
      </c>
      <c r="B1051" s="26" t="s">
        <v>134</v>
      </c>
      <c r="C1051" s="14" t="n">
        <f aca="false">IF(A1051="","",IFERROR(VLOOKUP(A1051,'Recert Status'!$A$8:$C$400,3,FALSE()),""))</f>
        <v>46387</v>
      </c>
      <c r="D1051" s="18" t="s">
        <v>1024</v>
      </c>
      <c r="E1051" s="26" t="n">
        <v>57433</v>
      </c>
      <c r="F1051" s="27" t="n">
        <v>2</v>
      </c>
      <c r="G1051" s="28" t="n">
        <v>45960</v>
      </c>
      <c r="H1051" s="28" t="n">
        <v>45960</v>
      </c>
      <c r="I1051" s="18" t="s">
        <v>1025</v>
      </c>
      <c r="J1051" s="26" t="s">
        <v>421</v>
      </c>
      <c r="K1051" s="18" t="s">
        <v>428</v>
      </c>
      <c r="L1051" s="27" t="n">
        <v>2</v>
      </c>
      <c r="M1051" s="41" t="s">
        <v>429</v>
      </c>
      <c r="N1051" s="18" t="s">
        <v>430</v>
      </c>
      <c r="O1051" s="27" t="n">
        <v>2</v>
      </c>
      <c r="P1051" s="15" t="n">
        <f aca="false">IF(A1051="","",IF(O1051&lt;&gt;"",O1051,IF(L1051&lt;&gt;"",L1051,F1051)))</f>
        <v>2</v>
      </c>
    </row>
    <row r="1052" customFormat="false" ht="15" hidden="false" customHeight="true" outlineLevel="0" collapsed="false">
      <c r="A1052" s="30" t="s">
        <v>133</v>
      </c>
      <c r="B1052" s="30" t="s">
        <v>134</v>
      </c>
      <c r="C1052" s="21" t="n">
        <f aca="false">IF(A1052="","",IFERROR(VLOOKUP(A1052,'Recert Status'!$A$8:$C$400,3,FALSE()),""))</f>
        <v>46387</v>
      </c>
      <c r="D1052" s="31" t="s">
        <v>1239</v>
      </c>
      <c r="E1052" s="30" t="s">
        <v>372</v>
      </c>
      <c r="F1052" s="32" t="n">
        <v>0.75</v>
      </c>
      <c r="G1052" s="33" t="n">
        <v>45873</v>
      </c>
      <c r="H1052" s="33" t="n">
        <v>45873</v>
      </c>
      <c r="I1052" s="31" t="s">
        <v>1240</v>
      </c>
      <c r="J1052" s="30" t="s">
        <v>372</v>
      </c>
      <c r="K1052" s="31" t="s">
        <v>374</v>
      </c>
      <c r="L1052" s="32" t="n">
        <v>0.75</v>
      </c>
      <c r="M1052" s="34" t="s">
        <v>375</v>
      </c>
      <c r="N1052" s="31" t="s">
        <v>376</v>
      </c>
      <c r="O1052" s="32" t="n">
        <v>0.75</v>
      </c>
      <c r="P1052" s="15" t="n">
        <f aca="false">IF(A1052="","",IF(O1052&lt;&gt;"",O1052,IF(L1052&lt;&gt;"",L1052,F1052)))</f>
        <v>0.75</v>
      </c>
    </row>
    <row r="1053" customFormat="false" ht="15" hidden="false" customHeight="true" outlineLevel="0" collapsed="false">
      <c r="A1053" s="26" t="s">
        <v>133</v>
      </c>
      <c r="B1053" s="26" t="s">
        <v>134</v>
      </c>
      <c r="C1053" s="14" t="n">
        <f aca="false">IF(A1053="","",IFERROR(VLOOKUP(A1053,'Recert Status'!$A$8:$C$400,3,FALSE()),""))</f>
        <v>46387</v>
      </c>
      <c r="D1053" s="18" t="s">
        <v>1241</v>
      </c>
      <c r="E1053" s="26" t="s">
        <v>372</v>
      </c>
      <c r="F1053" s="27" t="n">
        <v>1</v>
      </c>
      <c r="G1053" s="28" t="n">
        <v>46140</v>
      </c>
      <c r="H1053" s="28" t="n">
        <v>46140</v>
      </c>
      <c r="I1053" s="18" t="s">
        <v>1242</v>
      </c>
      <c r="J1053" s="26" t="s">
        <v>372</v>
      </c>
      <c r="K1053" s="18" t="s">
        <v>374</v>
      </c>
      <c r="L1053" s="27" t="n">
        <v>1</v>
      </c>
      <c r="M1053" s="34" t="s">
        <v>375</v>
      </c>
      <c r="N1053" s="18" t="s">
        <v>376</v>
      </c>
      <c r="O1053" s="27" t="n">
        <v>1</v>
      </c>
      <c r="P1053" s="15" t="n">
        <f aca="false">IF(A1053="","",IF(O1053&lt;&gt;"",O1053,IF(L1053&lt;&gt;"",L1053,F1053)))</f>
        <v>1</v>
      </c>
    </row>
    <row r="1054" customFormat="false" ht="15" hidden="false" customHeight="true" outlineLevel="0" collapsed="false">
      <c r="A1054" s="30" t="s">
        <v>133</v>
      </c>
      <c r="B1054" s="30" t="s">
        <v>134</v>
      </c>
      <c r="C1054" s="21" t="n">
        <f aca="false">IF(A1054="","",IFERROR(VLOOKUP(A1054,'Recert Status'!$A$8:$C$400,3,FALSE()),""))</f>
        <v>46387</v>
      </c>
      <c r="D1054" s="31" t="s">
        <v>732</v>
      </c>
      <c r="E1054" s="30" t="s">
        <v>389</v>
      </c>
      <c r="F1054" s="32" t="n">
        <v>0.5</v>
      </c>
      <c r="G1054" s="33" t="n">
        <v>45798</v>
      </c>
      <c r="H1054" s="33" t="n">
        <v>45798</v>
      </c>
      <c r="I1054" s="31" t="s">
        <v>1243</v>
      </c>
      <c r="J1054" s="30" t="s">
        <v>389</v>
      </c>
      <c r="K1054" s="31" t="s">
        <v>1244</v>
      </c>
      <c r="L1054" s="32" t="n">
        <v>0.5</v>
      </c>
      <c r="M1054" s="35" t="s">
        <v>386</v>
      </c>
      <c r="N1054" s="31" t="s">
        <v>387</v>
      </c>
      <c r="O1054" s="32" t="n">
        <v>0.5</v>
      </c>
      <c r="P1054" s="15" t="n">
        <f aca="false">IF(A1054="","",IF(O1054&lt;&gt;"",O1054,IF(L1054&lt;&gt;"",L1054,F1054)))</f>
        <v>0.5</v>
      </c>
    </row>
    <row r="1055" customFormat="false" ht="15" hidden="false" customHeight="true" outlineLevel="0" collapsed="false">
      <c r="A1055" s="26" t="s">
        <v>133</v>
      </c>
      <c r="B1055" s="26" t="s">
        <v>134</v>
      </c>
      <c r="C1055" s="14" t="n">
        <f aca="false">IF(A1055="","",IFERROR(VLOOKUP(A1055,'Recert Status'!$A$8:$C$400,3,FALSE()),""))</f>
        <v>46387</v>
      </c>
      <c r="D1055" s="18" t="s">
        <v>571</v>
      </c>
      <c r="E1055" s="26" t="n">
        <v>29675</v>
      </c>
      <c r="F1055" s="27" t="n">
        <v>1</v>
      </c>
      <c r="G1055" s="28" t="n">
        <v>45924</v>
      </c>
      <c r="H1055" s="28" t="n">
        <v>45924</v>
      </c>
      <c r="I1055" s="18" t="s">
        <v>572</v>
      </c>
      <c r="J1055" s="26" t="s">
        <v>406</v>
      </c>
      <c r="K1055" s="18" t="s">
        <v>468</v>
      </c>
      <c r="L1055" s="27" t="n">
        <v>1</v>
      </c>
      <c r="M1055" s="35" t="s">
        <v>386</v>
      </c>
      <c r="N1055" s="18" t="s">
        <v>387</v>
      </c>
      <c r="O1055" s="27" t="n">
        <v>1</v>
      </c>
      <c r="P1055" s="15" t="n">
        <f aca="false">IF(A1055="","",IF(O1055&lt;&gt;"",O1055,IF(L1055&lt;&gt;"",L1055,F1055)))</f>
        <v>1</v>
      </c>
    </row>
    <row r="1056" customFormat="false" ht="15" hidden="false" customHeight="true" outlineLevel="0" collapsed="false">
      <c r="A1056" s="30" t="s">
        <v>133</v>
      </c>
      <c r="B1056" s="30" t="s">
        <v>134</v>
      </c>
      <c r="C1056" s="21" t="n">
        <f aca="false">IF(A1056="","",IFERROR(VLOOKUP(A1056,'Recert Status'!$A$8:$C$400,3,FALSE()),""))</f>
        <v>46387</v>
      </c>
      <c r="D1056" s="31" t="s">
        <v>447</v>
      </c>
      <c r="E1056" s="30" t="n">
        <v>29675</v>
      </c>
      <c r="F1056" s="32" t="n">
        <v>1</v>
      </c>
      <c r="G1056" s="33" t="n">
        <v>45987</v>
      </c>
      <c r="H1056" s="33" t="n">
        <v>45987</v>
      </c>
      <c r="I1056" s="31" t="s">
        <v>683</v>
      </c>
      <c r="J1056" s="30" t="s">
        <v>406</v>
      </c>
      <c r="K1056" s="31" t="s">
        <v>446</v>
      </c>
      <c r="L1056" s="32" t="n">
        <v>1</v>
      </c>
      <c r="M1056" s="35" t="s">
        <v>386</v>
      </c>
      <c r="N1056" s="31" t="s">
        <v>387</v>
      </c>
      <c r="O1056" s="32" t="n">
        <v>1</v>
      </c>
      <c r="P1056" s="15" t="n">
        <f aca="false">IF(A1056="","",IF(O1056&lt;&gt;"",O1056,IF(L1056&lt;&gt;"",L1056,F1056)))</f>
        <v>1</v>
      </c>
    </row>
    <row r="1057" customFormat="false" ht="15" hidden="false" customHeight="true" outlineLevel="0" collapsed="false">
      <c r="A1057" s="26" t="s">
        <v>133</v>
      </c>
      <c r="B1057" s="26" t="s">
        <v>134</v>
      </c>
      <c r="C1057" s="14" t="n">
        <f aca="false">IF(A1057="","",IFERROR(VLOOKUP(A1057,'Recert Status'!$A$8:$C$400,3,FALSE()),""))</f>
        <v>46387</v>
      </c>
      <c r="D1057" s="18" t="s">
        <v>387</v>
      </c>
      <c r="E1057" s="26" t="s">
        <v>389</v>
      </c>
      <c r="F1057" s="27" t="n">
        <v>1</v>
      </c>
      <c r="G1057" s="28" t="n">
        <v>46230</v>
      </c>
      <c r="H1057" s="28" t="n">
        <v>46230</v>
      </c>
      <c r="I1057" s="18" t="s">
        <v>1245</v>
      </c>
      <c r="J1057" s="26" t="s">
        <v>389</v>
      </c>
      <c r="K1057" s="18" t="s">
        <v>451</v>
      </c>
      <c r="L1057" s="27" t="n">
        <v>1</v>
      </c>
      <c r="M1057" s="35" t="s">
        <v>386</v>
      </c>
      <c r="N1057" s="18" t="s">
        <v>387</v>
      </c>
      <c r="O1057" s="27" t="n">
        <v>1</v>
      </c>
      <c r="P1057" s="15" t="n">
        <f aca="false">IF(A1057="","",IF(O1057&lt;&gt;"",O1057,IF(L1057&lt;&gt;"",L1057,F1057)))</f>
        <v>1</v>
      </c>
    </row>
    <row r="1058" customFormat="false" ht="15" hidden="false" customHeight="true" outlineLevel="0" collapsed="false">
      <c r="A1058" s="30" t="s">
        <v>133</v>
      </c>
      <c r="B1058" s="30" t="s">
        <v>134</v>
      </c>
      <c r="C1058" s="21" t="n">
        <f aca="false">IF(A1058="","",IFERROR(VLOOKUP(A1058,'Recert Status'!$A$8:$C$400,3,FALSE()),""))</f>
        <v>46387</v>
      </c>
      <c r="D1058" s="31" t="s">
        <v>1246</v>
      </c>
      <c r="E1058" s="30" t="n">
        <v>29769</v>
      </c>
      <c r="F1058" s="32" t="n">
        <v>0.5</v>
      </c>
      <c r="G1058" s="33" t="n">
        <v>45843</v>
      </c>
      <c r="H1058" s="33" t="n">
        <v>45843</v>
      </c>
      <c r="I1058" s="31" t="s">
        <v>1247</v>
      </c>
      <c r="J1058" s="30" t="s">
        <v>517</v>
      </c>
      <c r="K1058" s="31" t="s">
        <v>412</v>
      </c>
      <c r="L1058" s="32" t="n">
        <v>0.5</v>
      </c>
      <c r="M1058" s="36" t="s">
        <v>396</v>
      </c>
      <c r="N1058" s="31" t="s">
        <v>397</v>
      </c>
      <c r="O1058" s="32" t="n">
        <v>0.5</v>
      </c>
      <c r="P1058" s="15" t="n">
        <f aca="false">IF(A1058="","",IF(O1058&lt;&gt;"",O1058,IF(L1058&lt;&gt;"",L1058,F1058)))</f>
        <v>0.5</v>
      </c>
    </row>
    <row r="1059" customFormat="false" ht="15" hidden="false" customHeight="true" outlineLevel="0" collapsed="false">
      <c r="A1059" s="26" t="s">
        <v>133</v>
      </c>
      <c r="B1059" s="26" t="s">
        <v>134</v>
      </c>
      <c r="C1059" s="14" t="n">
        <f aca="false">IF(A1059="","",IFERROR(VLOOKUP(A1059,'Recert Status'!$A$8:$C$400,3,FALSE()),""))</f>
        <v>46387</v>
      </c>
      <c r="D1059" s="18" t="s">
        <v>662</v>
      </c>
      <c r="E1059" s="26" t="s">
        <v>452</v>
      </c>
      <c r="F1059" s="27" t="n">
        <v>1</v>
      </c>
      <c r="G1059" s="28" t="n">
        <v>45882</v>
      </c>
      <c r="H1059" s="28" t="n">
        <v>45882</v>
      </c>
      <c r="I1059" s="18" t="s">
        <v>663</v>
      </c>
      <c r="J1059" s="26" t="s">
        <v>452</v>
      </c>
      <c r="K1059" s="18" t="s">
        <v>385</v>
      </c>
      <c r="L1059" s="27" t="n">
        <v>1</v>
      </c>
      <c r="M1059" s="36" t="s">
        <v>396</v>
      </c>
      <c r="N1059" s="18" t="s">
        <v>397</v>
      </c>
      <c r="O1059" s="27" t="n">
        <v>1</v>
      </c>
      <c r="P1059" s="15" t="n">
        <f aca="false">IF(A1059="","",IF(O1059&lt;&gt;"",O1059,IF(L1059&lt;&gt;"",L1059,F1059)))</f>
        <v>1</v>
      </c>
    </row>
    <row r="1060" customFormat="false" ht="15" hidden="false" customHeight="true" outlineLevel="0" collapsed="false">
      <c r="A1060" s="30" t="s">
        <v>133</v>
      </c>
      <c r="B1060" s="30" t="s">
        <v>134</v>
      </c>
      <c r="C1060" s="21" t="n">
        <f aca="false">IF(A1060="","",IFERROR(VLOOKUP(A1060,'Recert Status'!$A$8:$C$400,3,FALSE()),""))</f>
        <v>46387</v>
      </c>
      <c r="D1060" s="31" t="s">
        <v>1248</v>
      </c>
      <c r="E1060" s="30" t="s">
        <v>452</v>
      </c>
      <c r="F1060" s="32" t="n">
        <v>2</v>
      </c>
      <c r="G1060" s="33" t="n">
        <v>45972</v>
      </c>
      <c r="H1060" s="33" t="n">
        <v>45972</v>
      </c>
      <c r="I1060" s="31" t="s">
        <v>1249</v>
      </c>
      <c r="J1060" s="30" t="s">
        <v>452</v>
      </c>
      <c r="K1060" s="31" t="s">
        <v>385</v>
      </c>
      <c r="L1060" s="32" t="n">
        <v>2</v>
      </c>
      <c r="M1060" s="36" t="s">
        <v>396</v>
      </c>
      <c r="N1060" s="31" t="s">
        <v>397</v>
      </c>
      <c r="O1060" s="32" t="n">
        <v>2</v>
      </c>
      <c r="P1060" s="15" t="n">
        <f aca="false">IF(A1060="","",IF(O1060&lt;&gt;"",O1060,IF(L1060&lt;&gt;"",L1060,F1060)))</f>
        <v>2</v>
      </c>
    </row>
    <row r="1061" customFormat="false" ht="15" hidden="false" customHeight="true" outlineLevel="0" collapsed="false">
      <c r="A1061" s="26" t="s">
        <v>133</v>
      </c>
      <c r="B1061" s="26" t="s">
        <v>134</v>
      </c>
      <c r="C1061" s="14" t="n">
        <f aca="false">IF(A1061="","",IFERROR(VLOOKUP(A1061,'Recert Status'!$A$8:$C$400,3,FALSE()),""))</f>
        <v>46387</v>
      </c>
      <c r="D1061" s="18" t="s">
        <v>397</v>
      </c>
      <c r="E1061" s="26" t="s">
        <v>452</v>
      </c>
      <c r="F1061" s="27" t="n">
        <v>1</v>
      </c>
      <c r="G1061" s="28" t="n">
        <v>46230</v>
      </c>
      <c r="H1061" s="28" t="n">
        <v>46230</v>
      </c>
      <c r="I1061" s="18" t="s">
        <v>1250</v>
      </c>
      <c r="J1061" s="26" t="s">
        <v>452</v>
      </c>
      <c r="K1061" s="18" t="s">
        <v>385</v>
      </c>
      <c r="L1061" s="27" t="n">
        <v>1</v>
      </c>
      <c r="M1061" s="36" t="s">
        <v>396</v>
      </c>
      <c r="N1061" s="18" t="s">
        <v>397</v>
      </c>
      <c r="O1061" s="27" t="n">
        <v>1</v>
      </c>
      <c r="P1061" s="15" t="n">
        <f aca="false">IF(A1061="","",IF(O1061&lt;&gt;"",O1061,IF(L1061&lt;&gt;"",L1061,F1061)))</f>
        <v>1</v>
      </c>
    </row>
    <row r="1062" customFormat="false" ht="15" hidden="false" customHeight="true" outlineLevel="0" collapsed="false">
      <c r="A1062" s="30" t="s">
        <v>133</v>
      </c>
      <c r="B1062" s="30" t="s">
        <v>134</v>
      </c>
      <c r="C1062" s="21" t="n">
        <f aca="false">IF(A1062="","",IFERROR(VLOOKUP(A1062,'Recert Status'!$A$8:$C$400,3,FALSE()),""))</f>
        <v>46387</v>
      </c>
      <c r="D1062" s="31" t="s">
        <v>397</v>
      </c>
      <c r="E1062" s="30" t="s">
        <v>452</v>
      </c>
      <c r="F1062" s="32" t="n">
        <v>1</v>
      </c>
      <c r="G1062" s="33" t="n">
        <v>46245</v>
      </c>
      <c r="H1062" s="33" t="n">
        <v>46245</v>
      </c>
      <c r="I1062" s="31" t="s">
        <v>605</v>
      </c>
      <c r="J1062" s="30" t="s">
        <v>452</v>
      </c>
      <c r="K1062" s="31" t="s">
        <v>385</v>
      </c>
      <c r="L1062" s="32" t="n">
        <v>1</v>
      </c>
      <c r="M1062" s="36" t="s">
        <v>396</v>
      </c>
      <c r="N1062" s="31" t="s">
        <v>397</v>
      </c>
      <c r="O1062" s="32" t="n">
        <v>1</v>
      </c>
      <c r="P1062" s="15" t="n">
        <f aca="false">IF(A1062="","",IF(O1062&lt;&gt;"",O1062,IF(L1062&lt;&gt;"",L1062,F1062)))</f>
        <v>1</v>
      </c>
    </row>
    <row r="1063" customFormat="false" ht="15" hidden="false" customHeight="true" outlineLevel="0" collapsed="false">
      <c r="A1063" s="26" t="s">
        <v>133</v>
      </c>
      <c r="B1063" s="26" t="s">
        <v>134</v>
      </c>
      <c r="C1063" s="14" t="n">
        <f aca="false">IF(A1063="","",IFERROR(VLOOKUP(A1063,'Recert Status'!$A$8:$C$400,3,FALSE()),""))</f>
        <v>46387</v>
      </c>
      <c r="D1063" s="18" t="s">
        <v>822</v>
      </c>
      <c r="E1063" s="26" t="s">
        <v>416</v>
      </c>
      <c r="F1063" s="27" t="n">
        <v>2</v>
      </c>
      <c r="G1063" s="28" t="n">
        <v>45861</v>
      </c>
      <c r="H1063" s="28" t="n">
        <v>45861</v>
      </c>
      <c r="I1063" s="18" t="s">
        <v>823</v>
      </c>
      <c r="J1063" s="26" t="s">
        <v>416</v>
      </c>
      <c r="K1063" s="18" t="s">
        <v>523</v>
      </c>
      <c r="L1063" s="27" t="n">
        <v>2</v>
      </c>
      <c r="M1063" s="39" t="s">
        <v>413</v>
      </c>
      <c r="N1063" s="18" t="s">
        <v>414</v>
      </c>
      <c r="O1063" s="27" t="n">
        <v>2</v>
      </c>
      <c r="P1063" s="15" t="n">
        <f aca="false">IF(A1063="","",IF(O1063&lt;&gt;"",O1063,IF(L1063&lt;&gt;"",L1063,F1063)))</f>
        <v>2</v>
      </c>
    </row>
    <row r="1064" customFormat="false" ht="15" hidden="false" customHeight="true" outlineLevel="0" collapsed="false">
      <c r="A1064" s="30" t="s">
        <v>133</v>
      </c>
      <c r="B1064" s="30" t="s">
        <v>134</v>
      </c>
      <c r="C1064" s="21" t="n">
        <f aca="false">IF(A1064="","",IFERROR(VLOOKUP(A1064,'Recert Status'!$A$8:$C$400,3,FALSE()),""))</f>
        <v>46387</v>
      </c>
      <c r="D1064" s="31" t="s">
        <v>717</v>
      </c>
      <c r="E1064" s="30" t="s">
        <v>416</v>
      </c>
      <c r="F1064" s="32" t="n">
        <v>1</v>
      </c>
      <c r="G1064" s="33" t="n">
        <v>45867</v>
      </c>
      <c r="H1064" s="33" t="n">
        <v>45867</v>
      </c>
      <c r="I1064" s="31" t="s">
        <v>1251</v>
      </c>
      <c r="J1064" s="30" t="s">
        <v>416</v>
      </c>
      <c r="K1064" s="31" t="s">
        <v>674</v>
      </c>
      <c r="L1064" s="32" t="n">
        <v>1</v>
      </c>
      <c r="M1064" s="39" t="s">
        <v>413</v>
      </c>
      <c r="N1064" s="31" t="s">
        <v>414</v>
      </c>
      <c r="O1064" s="32" t="n">
        <v>1</v>
      </c>
      <c r="P1064" s="15" t="n">
        <f aca="false">IF(A1064="","",IF(O1064&lt;&gt;"",O1064,IF(L1064&lt;&gt;"",L1064,F1064)))</f>
        <v>1</v>
      </c>
    </row>
    <row r="1065" customFormat="false" ht="15" hidden="false" customHeight="true" outlineLevel="0" collapsed="false">
      <c r="A1065" s="26" t="s">
        <v>133</v>
      </c>
      <c r="B1065" s="26" t="s">
        <v>134</v>
      </c>
      <c r="C1065" s="14" t="n">
        <f aca="false">IF(A1065="","",IFERROR(VLOOKUP(A1065,'Recert Status'!$A$8:$C$400,3,FALSE()),""))</f>
        <v>46387</v>
      </c>
      <c r="D1065" s="18" t="s">
        <v>1252</v>
      </c>
      <c r="E1065" s="26" t="s">
        <v>416</v>
      </c>
      <c r="F1065" s="27" t="n">
        <v>2</v>
      </c>
      <c r="G1065" s="28" t="n">
        <v>45972</v>
      </c>
      <c r="H1065" s="28" t="n">
        <v>45972</v>
      </c>
      <c r="I1065" s="18" t="s">
        <v>1253</v>
      </c>
      <c r="J1065" s="26" t="s">
        <v>416</v>
      </c>
      <c r="K1065" s="18" t="s">
        <v>523</v>
      </c>
      <c r="L1065" s="27" t="n">
        <v>2</v>
      </c>
      <c r="M1065" s="39" t="s">
        <v>413</v>
      </c>
      <c r="N1065" s="18" t="s">
        <v>414</v>
      </c>
      <c r="O1065" s="27" t="n">
        <v>2</v>
      </c>
      <c r="P1065" s="15" t="n">
        <f aca="false">IF(A1065="","",IF(O1065&lt;&gt;"",O1065,IF(L1065&lt;&gt;"",L1065,F1065)))</f>
        <v>2</v>
      </c>
    </row>
    <row r="1066" customFormat="false" ht="15" hidden="false" customHeight="true" outlineLevel="0" collapsed="false">
      <c r="A1066" s="30" t="s">
        <v>133</v>
      </c>
      <c r="B1066" s="30" t="s">
        <v>134</v>
      </c>
      <c r="C1066" s="21" t="n">
        <f aca="false">IF(A1066="","",IFERROR(VLOOKUP(A1066,'Recert Status'!$A$8:$C$400,3,FALSE()),""))</f>
        <v>46387</v>
      </c>
      <c r="D1066" s="31" t="s">
        <v>488</v>
      </c>
      <c r="E1066" s="30" t="s">
        <v>416</v>
      </c>
      <c r="F1066" s="32" t="n">
        <v>1</v>
      </c>
      <c r="G1066" s="33" t="n">
        <v>46128</v>
      </c>
      <c r="H1066" s="33" t="n">
        <v>46128</v>
      </c>
      <c r="I1066" s="31" t="s">
        <v>609</v>
      </c>
      <c r="J1066" s="30" t="s">
        <v>416</v>
      </c>
      <c r="K1066" s="31" t="s">
        <v>490</v>
      </c>
      <c r="L1066" s="32" t="n">
        <v>1</v>
      </c>
      <c r="M1066" s="39" t="s">
        <v>413</v>
      </c>
      <c r="N1066" s="31" t="s">
        <v>414</v>
      </c>
      <c r="O1066" s="32" t="n">
        <v>1</v>
      </c>
      <c r="P1066" s="15" t="n">
        <f aca="false">IF(A1066="","",IF(O1066&lt;&gt;"",O1066,IF(L1066&lt;&gt;"",L1066,F1066)))</f>
        <v>1</v>
      </c>
    </row>
    <row r="1067" customFormat="false" ht="15" hidden="false" customHeight="true" outlineLevel="0" collapsed="false">
      <c r="A1067" s="26" t="s">
        <v>133</v>
      </c>
      <c r="B1067" s="26" t="s">
        <v>134</v>
      </c>
      <c r="C1067" s="14" t="n">
        <f aca="false">IF(A1067="","",IFERROR(VLOOKUP(A1067,'Recert Status'!$A$8:$C$400,3,FALSE()),""))</f>
        <v>46387</v>
      </c>
      <c r="D1067" s="18" t="s">
        <v>414</v>
      </c>
      <c r="E1067" s="26" t="s">
        <v>416</v>
      </c>
      <c r="F1067" s="27" t="n">
        <v>2</v>
      </c>
      <c r="G1067" s="28" t="n">
        <v>46218</v>
      </c>
      <c r="H1067" s="28" t="n">
        <v>46218</v>
      </c>
      <c r="I1067" s="18" t="s">
        <v>535</v>
      </c>
      <c r="J1067" s="26" t="s">
        <v>416</v>
      </c>
      <c r="K1067" s="18" t="s">
        <v>418</v>
      </c>
      <c r="L1067" s="27" t="n">
        <v>2</v>
      </c>
      <c r="M1067" s="39" t="s">
        <v>413</v>
      </c>
      <c r="N1067" s="18" t="s">
        <v>414</v>
      </c>
      <c r="O1067" s="27" t="n">
        <v>2</v>
      </c>
      <c r="P1067" s="15" t="n">
        <f aca="false">IF(A1067="","",IF(O1067&lt;&gt;"",O1067,IF(L1067&lt;&gt;"",L1067,F1067)))</f>
        <v>2</v>
      </c>
    </row>
    <row r="1068" customFormat="false" ht="15" hidden="false" customHeight="true" outlineLevel="0" collapsed="false">
      <c r="A1068" s="30" t="s">
        <v>135</v>
      </c>
      <c r="B1068" s="30" t="s">
        <v>136</v>
      </c>
      <c r="C1068" s="21" t="n">
        <f aca="false">IF(A1068="","",IFERROR(VLOOKUP(A1068,'Recert Status'!$A$8:$C$400,3,FALSE()),""))</f>
        <v>46752</v>
      </c>
      <c r="D1068" s="31" t="s">
        <v>876</v>
      </c>
      <c r="E1068" s="30" t="s">
        <v>363</v>
      </c>
      <c r="F1068" s="32" t="n">
        <v>0.75</v>
      </c>
      <c r="G1068" s="33" t="n">
        <v>45929</v>
      </c>
      <c r="H1068" s="33" t="n">
        <v>45929</v>
      </c>
      <c r="I1068" s="31" t="s">
        <v>1254</v>
      </c>
      <c r="J1068" s="30" t="s">
        <v>363</v>
      </c>
      <c r="K1068" s="31" t="s">
        <v>370</v>
      </c>
      <c r="L1068" s="32" t="n">
        <v>0.75</v>
      </c>
      <c r="M1068" s="29" t="s">
        <v>366</v>
      </c>
      <c r="N1068" s="31" t="s">
        <v>367</v>
      </c>
      <c r="O1068" s="32" t="n">
        <v>0.75</v>
      </c>
      <c r="P1068" s="15" t="n">
        <f aca="false">IF(A1068="","",IF(O1068&lt;&gt;"",O1068,IF(L1068&lt;&gt;"",L1068,F1068)))</f>
        <v>0.75</v>
      </c>
    </row>
    <row r="1069" customFormat="false" ht="15" hidden="false" customHeight="true" outlineLevel="0" collapsed="false">
      <c r="A1069" s="26" t="s">
        <v>135</v>
      </c>
      <c r="B1069" s="26" t="s">
        <v>136</v>
      </c>
      <c r="C1069" s="14" t="n">
        <f aca="false">IF(A1069="","",IFERROR(VLOOKUP(A1069,'Recert Status'!$A$8:$C$400,3,FALSE()),""))</f>
        <v>46752</v>
      </c>
      <c r="D1069" s="18" t="s">
        <v>1255</v>
      </c>
      <c r="E1069" s="26" t="n">
        <v>57404</v>
      </c>
      <c r="F1069" s="27" t="n">
        <v>3</v>
      </c>
      <c r="G1069" s="28" t="n">
        <v>45971</v>
      </c>
      <c r="H1069" s="28" t="n">
        <v>45971</v>
      </c>
      <c r="I1069" s="18" t="s">
        <v>1256</v>
      </c>
      <c r="J1069" s="26" t="s">
        <v>728</v>
      </c>
      <c r="K1069" s="18" t="s">
        <v>882</v>
      </c>
      <c r="L1069" s="27" t="n">
        <v>3</v>
      </c>
      <c r="M1069" s="29" t="s">
        <v>366</v>
      </c>
      <c r="N1069" s="18" t="s">
        <v>367</v>
      </c>
      <c r="O1069" s="27" t="n">
        <v>3</v>
      </c>
      <c r="P1069" s="15" t="n">
        <f aca="false">IF(A1069="","",IF(O1069&lt;&gt;"",O1069,IF(L1069&lt;&gt;"",L1069,F1069)))</f>
        <v>3</v>
      </c>
    </row>
    <row r="1070" customFormat="false" ht="15" hidden="false" customHeight="true" outlineLevel="0" collapsed="false">
      <c r="A1070" s="30" t="s">
        <v>135</v>
      </c>
      <c r="B1070" s="30" t="s">
        <v>136</v>
      </c>
      <c r="C1070" s="21" t="n">
        <f aca="false">IF(A1070="","",IFERROR(VLOOKUP(A1070,'Recert Status'!$A$8:$C$400,3,FALSE()),""))</f>
        <v>46752</v>
      </c>
      <c r="D1070" s="31" t="s">
        <v>1257</v>
      </c>
      <c r="E1070" s="30" t="n">
        <v>29743</v>
      </c>
      <c r="F1070" s="32" t="n">
        <v>1.75</v>
      </c>
      <c r="G1070" s="33" t="n">
        <v>45758</v>
      </c>
      <c r="H1070" s="33" t="n">
        <v>45758</v>
      </c>
      <c r="I1070" s="31" t="s">
        <v>1258</v>
      </c>
      <c r="J1070" s="30" t="s">
        <v>439</v>
      </c>
      <c r="K1070" s="31" t="s">
        <v>422</v>
      </c>
      <c r="L1070" s="32" t="n">
        <v>1.75</v>
      </c>
      <c r="M1070" s="40" t="s">
        <v>423</v>
      </c>
      <c r="N1070" s="31" t="s">
        <v>424</v>
      </c>
      <c r="O1070" s="32" t="n">
        <v>1.75</v>
      </c>
      <c r="P1070" s="15" t="n">
        <f aca="false">IF(A1070="","",IF(O1070&lt;&gt;"",O1070,IF(L1070&lt;&gt;"",L1070,F1070)))</f>
        <v>1.75</v>
      </c>
    </row>
    <row r="1071" customFormat="false" ht="15" hidden="false" customHeight="true" outlineLevel="0" collapsed="false">
      <c r="A1071" s="26" t="s">
        <v>135</v>
      </c>
      <c r="B1071" s="26" t="s">
        <v>136</v>
      </c>
      <c r="C1071" s="14" t="n">
        <f aca="false">IF(A1071="","",IFERROR(VLOOKUP(A1071,'Recert Status'!$A$8:$C$400,3,FALSE()),""))</f>
        <v>46752</v>
      </c>
      <c r="D1071" s="18" t="s">
        <v>425</v>
      </c>
      <c r="E1071" s="26" t="s">
        <v>426</v>
      </c>
      <c r="F1071" s="27" t="n">
        <v>2</v>
      </c>
      <c r="G1071" s="28" t="n">
        <v>45929</v>
      </c>
      <c r="H1071" s="28" t="n">
        <v>45929</v>
      </c>
      <c r="I1071" s="18" t="s">
        <v>427</v>
      </c>
      <c r="J1071" s="26" t="s">
        <v>426</v>
      </c>
      <c r="K1071" s="18" t="s">
        <v>428</v>
      </c>
      <c r="L1071" s="27" t="n">
        <v>2</v>
      </c>
      <c r="M1071" s="41" t="s">
        <v>429</v>
      </c>
      <c r="N1071" s="18" t="s">
        <v>430</v>
      </c>
      <c r="O1071" s="27" t="n">
        <v>2</v>
      </c>
      <c r="P1071" s="15" t="n">
        <f aca="false">IF(A1071="","",IF(O1071&lt;&gt;"",O1071,IF(L1071&lt;&gt;"",L1071,F1071)))</f>
        <v>2</v>
      </c>
    </row>
    <row r="1072" customFormat="false" ht="15" hidden="false" customHeight="true" outlineLevel="0" collapsed="false">
      <c r="A1072" s="30" t="s">
        <v>135</v>
      </c>
      <c r="B1072" s="30" t="s">
        <v>136</v>
      </c>
      <c r="C1072" s="21" t="n">
        <f aca="false">IF(A1072="","",IFERROR(VLOOKUP(A1072,'Recert Status'!$A$8:$C$400,3,FALSE()),""))</f>
        <v>46752</v>
      </c>
      <c r="D1072" s="31" t="s">
        <v>548</v>
      </c>
      <c r="E1072" s="30" t="s">
        <v>426</v>
      </c>
      <c r="F1072" s="32" t="n">
        <v>2</v>
      </c>
      <c r="G1072" s="33" t="n">
        <v>45972</v>
      </c>
      <c r="H1072" s="33" t="n">
        <v>45972</v>
      </c>
      <c r="I1072" s="31" t="s">
        <v>1259</v>
      </c>
      <c r="J1072" s="30" t="s">
        <v>426</v>
      </c>
      <c r="K1072" s="31" t="s">
        <v>428</v>
      </c>
      <c r="L1072" s="32" t="n">
        <v>2</v>
      </c>
      <c r="M1072" s="41" t="s">
        <v>429</v>
      </c>
      <c r="N1072" s="31" t="s">
        <v>430</v>
      </c>
      <c r="O1072" s="32" t="n">
        <v>2</v>
      </c>
      <c r="P1072" s="15" t="n">
        <f aca="false">IF(A1072="","",IF(O1072&lt;&gt;"",O1072,IF(L1072&lt;&gt;"",L1072,F1072)))</f>
        <v>2</v>
      </c>
    </row>
    <row r="1073" customFormat="false" ht="15" hidden="false" customHeight="true" outlineLevel="0" collapsed="false">
      <c r="A1073" s="26" t="s">
        <v>135</v>
      </c>
      <c r="B1073" s="26" t="s">
        <v>136</v>
      </c>
      <c r="C1073" s="14" t="n">
        <f aca="false">IF(A1073="","",IFERROR(VLOOKUP(A1073,'Recert Status'!$A$8:$C$400,3,FALSE()),""))</f>
        <v>46752</v>
      </c>
      <c r="D1073" s="18" t="s">
        <v>1260</v>
      </c>
      <c r="E1073" s="26" t="n">
        <v>29668</v>
      </c>
      <c r="F1073" s="27" t="n">
        <v>0.5</v>
      </c>
      <c r="G1073" s="28" t="n">
        <v>45680</v>
      </c>
      <c r="H1073" s="28" t="n">
        <v>45680</v>
      </c>
      <c r="I1073" s="18" t="s">
        <v>1261</v>
      </c>
      <c r="J1073" s="26" t="s">
        <v>511</v>
      </c>
      <c r="K1073" s="18" t="s">
        <v>509</v>
      </c>
      <c r="L1073" s="27" t="n">
        <v>0.5</v>
      </c>
      <c r="M1073" s="35" t="s">
        <v>386</v>
      </c>
      <c r="N1073" s="18" t="s">
        <v>387</v>
      </c>
      <c r="O1073" s="27" t="n">
        <v>0.5</v>
      </c>
      <c r="P1073" s="15" t="n">
        <f aca="false">IF(A1073="","",IF(O1073&lt;&gt;"",O1073,IF(L1073&lt;&gt;"",L1073,F1073)))</f>
        <v>0.5</v>
      </c>
    </row>
    <row r="1074" customFormat="false" ht="15" hidden="false" customHeight="true" outlineLevel="0" collapsed="false">
      <c r="A1074" s="30" t="s">
        <v>135</v>
      </c>
      <c r="B1074" s="30" t="s">
        <v>136</v>
      </c>
      <c r="C1074" s="21" t="n">
        <f aca="false">IF(A1074="","",IFERROR(VLOOKUP(A1074,'Recert Status'!$A$8:$C$400,3,FALSE()),""))</f>
        <v>46752</v>
      </c>
      <c r="D1074" s="31" t="s">
        <v>449</v>
      </c>
      <c r="E1074" s="30" t="s">
        <v>389</v>
      </c>
      <c r="F1074" s="32" t="n">
        <v>1</v>
      </c>
      <c r="G1074" s="33" t="n">
        <v>45689</v>
      </c>
      <c r="H1074" s="33" t="n">
        <v>45689</v>
      </c>
      <c r="I1074" s="31" t="s">
        <v>1262</v>
      </c>
      <c r="J1074" s="30" t="s">
        <v>389</v>
      </c>
      <c r="K1074" s="31" t="s">
        <v>395</v>
      </c>
      <c r="L1074" s="32" t="n">
        <v>1</v>
      </c>
      <c r="M1074" s="35" t="s">
        <v>386</v>
      </c>
      <c r="N1074" s="31" t="s">
        <v>387</v>
      </c>
      <c r="O1074" s="32" t="n">
        <v>1</v>
      </c>
      <c r="P1074" s="15" t="n">
        <f aca="false">IF(A1074="","",IF(O1074&lt;&gt;"",O1074,IF(L1074&lt;&gt;"",L1074,F1074)))</f>
        <v>1</v>
      </c>
    </row>
    <row r="1075" customFormat="false" ht="15" hidden="false" customHeight="true" outlineLevel="0" collapsed="false">
      <c r="A1075" s="26" t="s">
        <v>135</v>
      </c>
      <c r="B1075" s="26" t="s">
        <v>136</v>
      </c>
      <c r="C1075" s="14" t="n">
        <f aca="false">IF(A1075="","",IFERROR(VLOOKUP(A1075,'Recert Status'!$A$8:$C$400,3,FALSE()),""))</f>
        <v>46752</v>
      </c>
      <c r="D1075" s="18" t="s">
        <v>437</v>
      </c>
      <c r="E1075" s="26" t="n">
        <v>29743</v>
      </c>
      <c r="F1075" s="27" t="n">
        <v>1</v>
      </c>
      <c r="G1075" s="28" t="n">
        <v>45833</v>
      </c>
      <c r="H1075" s="28" t="n">
        <v>45833</v>
      </c>
      <c r="I1075" s="18" t="s">
        <v>438</v>
      </c>
      <c r="J1075" s="26" t="s">
        <v>439</v>
      </c>
      <c r="K1075" s="18" t="s">
        <v>440</v>
      </c>
      <c r="L1075" s="27" t="n">
        <v>1</v>
      </c>
      <c r="M1075" s="35" t="s">
        <v>386</v>
      </c>
      <c r="N1075" s="18" t="s">
        <v>387</v>
      </c>
      <c r="O1075" s="27" t="n">
        <v>1</v>
      </c>
      <c r="P1075" s="15" t="n">
        <f aca="false">IF(A1075="","",IF(O1075&lt;&gt;"",O1075,IF(L1075&lt;&gt;"",L1075,F1075)))</f>
        <v>1</v>
      </c>
    </row>
    <row r="1076" customFormat="false" ht="15" hidden="false" customHeight="true" outlineLevel="0" collapsed="false">
      <c r="A1076" s="30" t="s">
        <v>135</v>
      </c>
      <c r="B1076" s="30" t="s">
        <v>136</v>
      </c>
      <c r="C1076" s="21" t="n">
        <f aca="false">IF(A1076="","",IFERROR(VLOOKUP(A1076,'Recert Status'!$A$8:$C$400,3,FALSE()),""))</f>
        <v>46752</v>
      </c>
      <c r="D1076" s="31" t="s">
        <v>441</v>
      </c>
      <c r="E1076" s="30" t="n">
        <v>29743</v>
      </c>
      <c r="F1076" s="32" t="n">
        <v>1</v>
      </c>
      <c r="G1076" s="33" t="n">
        <v>45833</v>
      </c>
      <c r="H1076" s="33" t="n">
        <v>45833</v>
      </c>
      <c r="I1076" s="31" t="s">
        <v>442</v>
      </c>
      <c r="J1076" s="30" t="s">
        <v>439</v>
      </c>
      <c r="K1076" s="31" t="s">
        <v>443</v>
      </c>
      <c r="L1076" s="32" t="n">
        <v>1</v>
      </c>
      <c r="M1076" s="35" t="s">
        <v>386</v>
      </c>
      <c r="N1076" s="31" t="s">
        <v>387</v>
      </c>
      <c r="O1076" s="32" t="n">
        <v>1</v>
      </c>
      <c r="P1076" s="15" t="n">
        <f aca="false">IF(A1076="","",IF(O1076&lt;&gt;"",O1076,IF(L1076&lt;&gt;"",L1076,F1076)))</f>
        <v>1</v>
      </c>
    </row>
    <row r="1077" customFormat="false" ht="15" hidden="false" customHeight="true" outlineLevel="0" collapsed="false">
      <c r="A1077" s="26" t="s">
        <v>135</v>
      </c>
      <c r="B1077" s="26" t="s">
        <v>136</v>
      </c>
      <c r="C1077" s="14" t="n">
        <f aca="false">IF(A1077="","",IFERROR(VLOOKUP(A1077,'Recert Status'!$A$8:$C$400,3,FALSE()),""))</f>
        <v>46752</v>
      </c>
      <c r="D1077" s="18" t="s">
        <v>615</v>
      </c>
      <c r="E1077" s="26" t="n">
        <v>29740</v>
      </c>
      <c r="F1077" s="27" t="n">
        <v>2</v>
      </c>
      <c r="G1077" s="28" t="n">
        <v>45884</v>
      </c>
      <c r="H1077" s="28" t="n">
        <v>45884</v>
      </c>
      <c r="I1077" s="18" t="s">
        <v>616</v>
      </c>
      <c r="J1077" s="26" t="s">
        <v>394</v>
      </c>
      <c r="K1077" s="18" t="s">
        <v>385</v>
      </c>
      <c r="L1077" s="27" t="n">
        <v>2</v>
      </c>
      <c r="M1077" s="35" t="s">
        <v>386</v>
      </c>
      <c r="N1077" s="18" t="s">
        <v>397</v>
      </c>
      <c r="O1077" s="27" t="n">
        <v>2</v>
      </c>
      <c r="P1077" s="15" t="n">
        <f aca="false">IF(A1077="","",IF(O1077&lt;&gt;"",O1077,IF(L1077&lt;&gt;"",L1077,F1077)))</f>
        <v>2</v>
      </c>
    </row>
    <row r="1078" customFormat="false" ht="15" hidden="false" customHeight="true" outlineLevel="0" collapsed="false">
      <c r="A1078" s="30" t="s">
        <v>135</v>
      </c>
      <c r="B1078" s="30" t="s">
        <v>136</v>
      </c>
      <c r="C1078" s="21" t="n">
        <f aca="false">IF(A1078="","",IFERROR(VLOOKUP(A1078,'Recert Status'!$A$8:$C$400,3,FALSE()),""))</f>
        <v>46752</v>
      </c>
      <c r="D1078" s="31" t="s">
        <v>705</v>
      </c>
      <c r="E1078" s="30" t="n">
        <v>29769</v>
      </c>
      <c r="F1078" s="32" t="n">
        <v>2</v>
      </c>
      <c r="G1078" s="33" t="n">
        <v>45896</v>
      </c>
      <c r="H1078" s="33" t="n">
        <v>45896</v>
      </c>
      <c r="I1078" s="31" t="s">
        <v>706</v>
      </c>
      <c r="J1078" s="30" t="s">
        <v>517</v>
      </c>
      <c r="K1078" s="31" t="s">
        <v>707</v>
      </c>
      <c r="L1078" s="32" t="n">
        <v>2</v>
      </c>
      <c r="M1078" s="35" t="s">
        <v>386</v>
      </c>
      <c r="N1078" s="31" t="s">
        <v>387</v>
      </c>
      <c r="O1078" s="32" t="n">
        <v>2</v>
      </c>
      <c r="P1078" s="15" t="n">
        <f aca="false">IF(A1078="","",IF(O1078&lt;&gt;"",O1078,IF(L1078&lt;&gt;"",L1078,F1078)))</f>
        <v>2</v>
      </c>
    </row>
    <row r="1079" customFormat="false" ht="15" hidden="false" customHeight="true" outlineLevel="0" collapsed="false">
      <c r="A1079" s="26" t="s">
        <v>135</v>
      </c>
      <c r="B1079" s="26" t="s">
        <v>136</v>
      </c>
      <c r="C1079" s="14" t="n">
        <f aca="false">IF(A1079="","",IFERROR(VLOOKUP(A1079,'Recert Status'!$A$8:$C$400,3,FALSE()),""))</f>
        <v>46752</v>
      </c>
      <c r="D1079" s="18" t="s">
        <v>1263</v>
      </c>
      <c r="E1079" s="26" t="s">
        <v>389</v>
      </c>
      <c r="F1079" s="27" t="n">
        <v>3</v>
      </c>
      <c r="G1079" s="28" t="n">
        <v>45972</v>
      </c>
      <c r="H1079" s="28" t="n">
        <v>45972</v>
      </c>
      <c r="I1079" s="18" t="s">
        <v>1264</v>
      </c>
      <c r="J1079" s="26" t="s">
        <v>389</v>
      </c>
      <c r="K1079" s="18" t="s">
        <v>446</v>
      </c>
      <c r="L1079" s="27" t="n">
        <v>3</v>
      </c>
      <c r="M1079" s="35" t="s">
        <v>386</v>
      </c>
      <c r="N1079" s="18" t="s">
        <v>387</v>
      </c>
      <c r="O1079" s="27" t="n">
        <v>3</v>
      </c>
      <c r="P1079" s="15" t="n">
        <f aca="false">IF(A1079="","",IF(O1079&lt;&gt;"",O1079,IF(L1079&lt;&gt;"",L1079,F1079)))</f>
        <v>3</v>
      </c>
    </row>
    <row r="1080" customFormat="false" ht="15" hidden="false" customHeight="true" outlineLevel="0" collapsed="false">
      <c r="A1080" s="30" t="s">
        <v>135</v>
      </c>
      <c r="B1080" s="30" t="s">
        <v>136</v>
      </c>
      <c r="C1080" s="21" t="n">
        <f aca="false">IF(A1080="","",IFERROR(VLOOKUP(A1080,'Recert Status'!$A$8:$C$400,3,FALSE()),""))</f>
        <v>46752</v>
      </c>
      <c r="D1080" s="31" t="s">
        <v>682</v>
      </c>
      <c r="E1080" s="30" t="n">
        <v>29675</v>
      </c>
      <c r="F1080" s="32" t="n">
        <v>1</v>
      </c>
      <c r="G1080" s="33" t="n">
        <v>45986</v>
      </c>
      <c r="H1080" s="33" t="n">
        <v>45986</v>
      </c>
      <c r="I1080" s="31" t="s">
        <v>793</v>
      </c>
      <c r="J1080" s="30" t="s">
        <v>406</v>
      </c>
      <c r="K1080" s="31" t="s">
        <v>446</v>
      </c>
      <c r="L1080" s="32" t="n">
        <v>1</v>
      </c>
      <c r="M1080" s="35" t="s">
        <v>386</v>
      </c>
      <c r="N1080" s="31" t="s">
        <v>387</v>
      </c>
      <c r="O1080" s="32" t="n">
        <v>1</v>
      </c>
      <c r="P1080" s="15" t="n">
        <f aca="false">IF(A1080="","",IF(O1080&lt;&gt;"",O1080,IF(L1080&lt;&gt;"",L1080,F1080)))</f>
        <v>1</v>
      </c>
    </row>
    <row r="1081" customFormat="false" ht="15" hidden="false" customHeight="true" outlineLevel="0" collapsed="false">
      <c r="A1081" s="26" t="s">
        <v>135</v>
      </c>
      <c r="B1081" s="26" t="s">
        <v>136</v>
      </c>
      <c r="C1081" s="14" t="n">
        <f aca="false">IF(A1081="","",IFERROR(VLOOKUP(A1081,'Recert Status'!$A$8:$C$400,3,FALSE()),""))</f>
        <v>46752</v>
      </c>
      <c r="D1081" s="18" t="s">
        <v>1265</v>
      </c>
      <c r="E1081" s="26" t="n">
        <v>29769</v>
      </c>
      <c r="F1081" s="27" t="n">
        <v>4</v>
      </c>
      <c r="G1081" s="28" t="n">
        <v>45740</v>
      </c>
      <c r="H1081" s="28" t="n">
        <v>45740</v>
      </c>
      <c r="I1081" s="18" t="s">
        <v>1266</v>
      </c>
      <c r="J1081" s="26" t="s">
        <v>517</v>
      </c>
      <c r="K1081" s="18" t="s">
        <v>412</v>
      </c>
      <c r="L1081" s="27" t="n">
        <v>4</v>
      </c>
      <c r="M1081" s="36" t="s">
        <v>396</v>
      </c>
      <c r="N1081" s="18" t="s">
        <v>397</v>
      </c>
      <c r="O1081" s="27" t="n">
        <v>4</v>
      </c>
      <c r="P1081" s="15" t="n">
        <f aca="false">IF(A1081="","",IF(O1081&lt;&gt;"",O1081,IF(L1081&lt;&gt;"",L1081,F1081)))</f>
        <v>4</v>
      </c>
    </row>
    <row r="1082" customFormat="false" ht="15" hidden="false" customHeight="true" outlineLevel="0" collapsed="false">
      <c r="A1082" s="30" t="s">
        <v>135</v>
      </c>
      <c r="B1082" s="30" t="s">
        <v>136</v>
      </c>
      <c r="C1082" s="21" t="n">
        <f aca="false">IF(A1082="","",IFERROR(VLOOKUP(A1082,'Recert Status'!$A$8:$C$400,3,FALSE()),""))</f>
        <v>46752</v>
      </c>
      <c r="D1082" s="31" t="s">
        <v>1267</v>
      </c>
      <c r="E1082" s="30" t="n">
        <v>29769</v>
      </c>
      <c r="F1082" s="32" t="n">
        <v>4</v>
      </c>
      <c r="G1082" s="33" t="n">
        <v>45740</v>
      </c>
      <c r="H1082" s="33" t="n">
        <v>45740</v>
      </c>
      <c r="I1082" s="31" t="s">
        <v>1266</v>
      </c>
      <c r="J1082" s="30" t="s">
        <v>517</v>
      </c>
      <c r="K1082" s="31" t="s">
        <v>1268</v>
      </c>
      <c r="L1082" s="32" t="n">
        <v>4</v>
      </c>
      <c r="M1082" s="36" t="s">
        <v>396</v>
      </c>
      <c r="N1082" s="31" t="s">
        <v>397</v>
      </c>
      <c r="O1082" s="32" t="n">
        <v>4</v>
      </c>
      <c r="P1082" s="15" t="n">
        <f aca="false">IF(A1082="","",IF(O1082&lt;&gt;"",O1082,IF(L1082&lt;&gt;"",L1082,F1082)))</f>
        <v>4</v>
      </c>
    </row>
    <row r="1083" customFormat="false" ht="15" hidden="false" customHeight="true" outlineLevel="0" collapsed="false">
      <c r="A1083" s="26" t="s">
        <v>135</v>
      </c>
      <c r="B1083" s="26" t="s">
        <v>136</v>
      </c>
      <c r="C1083" s="14" t="n">
        <f aca="false">IF(A1083="","",IFERROR(VLOOKUP(A1083,'Recert Status'!$A$8:$C$400,3,FALSE()),""))</f>
        <v>46752</v>
      </c>
      <c r="D1083" s="18" t="s">
        <v>397</v>
      </c>
      <c r="E1083" s="26" t="s">
        <v>452</v>
      </c>
      <c r="F1083" s="27" t="n">
        <v>1</v>
      </c>
      <c r="G1083" s="28" t="n">
        <v>46140</v>
      </c>
      <c r="H1083" s="28" t="n">
        <v>46140</v>
      </c>
      <c r="I1083" s="18" t="s">
        <v>771</v>
      </c>
      <c r="J1083" s="26" t="s">
        <v>452</v>
      </c>
      <c r="K1083" s="18" t="s">
        <v>385</v>
      </c>
      <c r="L1083" s="27" t="n">
        <v>1</v>
      </c>
      <c r="M1083" s="36" t="s">
        <v>396</v>
      </c>
      <c r="N1083" s="18" t="s">
        <v>397</v>
      </c>
      <c r="O1083" s="27" t="n">
        <v>1</v>
      </c>
      <c r="P1083" s="15" t="n">
        <f aca="false">IF(A1083="","",IF(O1083&lt;&gt;"",O1083,IF(L1083&lt;&gt;"",L1083,F1083)))</f>
        <v>1</v>
      </c>
    </row>
    <row r="1084" customFormat="false" ht="15" hidden="false" customHeight="true" outlineLevel="0" collapsed="false">
      <c r="A1084" s="30" t="s">
        <v>135</v>
      </c>
      <c r="B1084" s="30" t="s">
        <v>136</v>
      </c>
      <c r="C1084" s="21" t="n">
        <f aca="false">IF(A1084="","",IFERROR(VLOOKUP(A1084,'Recert Status'!$A$8:$C$400,3,FALSE()),""))</f>
        <v>46752</v>
      </c>
      <c r="D1084" s="31" t="s">
        <v>397</v>
      </c>
      <c r="E1084" s="30" t="s">
        <v>452</v>
      </c>
      <c r="F1084" s="32" t="n">
        <v>1</v>
      </c>
      <c r="G1084" s="33" t="n">
        <v>46161</v>
      </c>
      <c r="H1084" s="33" t="n">
        <v>46161</v>
      </c>
      <c r="I1084" s="31" t="s">
        <v>1269</v>
      </c>
      <c r="J1084" s="30" t="s">
        <v>452</v>
      </c>
      <c r="K1084" s="31" t="s">
        <v>385</v>
      </c>
      <c r="L1084" s="32" t="n">
        <v>1</v>
      </c>
      <c r="M1084" s="36" t="s">
        <v>396</v>
      </c>
      <c r="N1084" s="31" t="s">
        <v>397</v>
      </c>
      <c r="O1084" s="32" t="n">
        <v>1</v>
      </c>
      <c r="P1084" s="15" t="n">
        <f aca="false">IF(A1084="","",IF(O1084&lt;&gt;"",O1084,IF(L1084&lt;&gt;"",L1084,F1084)))</f>
        <v>1</v>
      </c>
    </row>
    <row r="1085" customFormat="false" ht="15" hidden="false" customHeight="true" outlineLevel="0" collapsed="false">
      <c r="A1085" s="26" t="s">
        <v>135</v>
      </c>
      <c r="B1085" s="26" t="s">
        <v>136</v>
      </c>
      <c r="C1085" s="14" t="n">
        <f aca="false">IF(A1085="","",IFERROR(VLOOKUP(A1085,'Recert Status'!$A$8:$C$400,3,FALSE()),""))</f>
        <v>46752</v>
      </c>
      <c r="D1085" s="18" t="s">
        <v>397</v>
      </c>
      <c r="E1085" s="26" t="s">
        <v>452</v>
      </c>
      <c r="F1085" s="27" t="n">
        <v>1</v>
      </c>
      <c r="G1085" s="28" t="n">
        <v>46245</v>
      </c>
      <c r="H1085" s="28" t="n">
        <v>46245</v>
      </c>
      <c r="I1085" s="18" t="s">
        <v>605</v>
      </c>
      <c r="J1085" s="26" t="s">
        <v>452</v>
      </c>
      <c r="K1085" s="18" t="s">
        <v>385</v>
      </c>
      <c r="L1085" s="27" t="n">
        <v>1</v>
      </c>
      <c r="M1085" s="36" t="s">
        <v>396</v>
      </c>
      <c r="N1085" s="18" t="s">
        <v>397</v>
      </c>
      <c r="O1085" s="27" t="n">
        <v>1</v>
      </c>
      <c r="P1085" s="15" t="n">
        <f aca="false">IF(A1085="","",IF(O1085&lt;&gt;"",O1085,IF(L1085&lt;&gt;"",L1085,F1085)))</f>
        <v>1</v>
      </c>
    </row>
    <row r="1086" customFormat="false" ht="15" hidden="false" customHeight="true" outlineLevel="0" collapsed="false">
      <c r="A1086" s="30" t="s">
        <v>135</v>
      </c>
      <c r="B1086" s="30" t="s">
        <v>136</v>
      </c>
      <c r="C1086" s="21" t="n">
        <f aca="false">IF(A1086="","",IFERROR(VLOOKUP(A1086,'Recert Status'!$A$8:$C$400,3,FALSE()),""))</f>
        <v>46752</v>
      </c>
      <c r="D1086" s="31" t="s">
        <v>403</v>
      </c>
      <c r="E1086" s="30" t="s">
        <v>399</v>
      </c>
      <c r="F1086" s="32" t="n">
        <v>2</v>
      </c>
      <c r="G1086" s="33" t="n">
        <v>46119</v>
      </c>
      <c r="H1086" s="33" t="n">
        <v>46119</v>
      </c>
      <c r="I1086" s="31" t="s">
        <v>479</v>
      </c>
      <c r="J1086" s="30" t="s">
        <v>399</v>
      </c>
      <c r="K1086" s="31" t="s">
        <v>401</v>
      </c>
      <c r="L1086" s="32" t="n">
        <v>2</v>
      </c>
      <c r="M1086" s="37" t="s">
        <v>402</v>
      </c>
      <c r="N1086" s="31" t="s">
        <v>403</v>
      </c>
      <c r="O1086" s="32" t="n">
        <v>2</v>
      </c>
      <c r="P1086" s="15" t="n">
        <f aca="false">IF(A1086="","",IF(O1086&lt;&gt;"",O1086,IF(L1086&lt;&gt;"",L1086,F1086)))</f>
        <v>2</v>
      </c>
    </row>
    <row r="1087" customFormat="false" ht="15" hidden="false" customHeight="true" outlineLevel="0" collapsed="false">
      <c r="A1087" s="26" t="s">
        <v>135</v>
      </c>
      <c r="B1087" s="26" t="s">
        <v>136</v>
      </c>
      <c r="C1087" s="14" t="n">
        <f aca="false">IF(A1087="","",IFERROR(VLOOKUP(A1087,'Recert Status'!$A$8:$C$400,3,FALSE()),""))</f>
        <v>46752</v>
      </c>
      <c r="D1087" s="18" t="s">
        <v>1270</v>
      </c>
      <c r="E1087" s="26" t="s">
        <v>1271</v>
      </c>
      <c r="F1087" s="27" t="n">
        <v>1.75</v>
      </c>
      <c r="G1087" s="28" t="n">
        <v>45756</v>
      </c>
      <c r="H1087" s="28" t="n">
        <v>45756</v>
      </c>
      <c r="I1087" s="18" t="s">
        <v>1272</v>
      </c>
      <c r="J1087" s="26" t="s">
        <v>1271</v>
      </c>
      <c r="K1087" s="18" t="s">
        <v>1273</v>
      </c>
      <c r="L1087" s="27" t="n">
        <v>0.75</v>
      </c>
      <c r="M1087" s="39" t="s">
        <v>413</v>
      </c>
      <c r="N1087" s="18" t="s">
        <v>1274</v>
      </c>
      <c r="O1087" s="27" t="n">
        <v>1.75</v>
      </c>
      <c r="P1087" s="15" t="n">
        <f aca="false">IF(A1087="","",IF(O1087&lt;&gt;"",O1087,IF(L1087&lt;&gt;"",L1087,F1087)))</f>
        <v>1.75</v>
      </c>
    </row>
    <row r="1088" customFormat="false" ht="15" hidden="false" customHeight="true" outlineLevel="0" collapsed="false">
      <c r="A1088" s="30" t="s">
        <v>135</v>
      </c>
      <c r="B1088" s="30" t="s">
        <v>136</v>
      </c>
      <c r="C1088" s="21" t="n">
        <f aca="false">IF(A1088="","",IFERROR(VLOOKUP(A1088,'Recert Status'!$A$8:$C$400,3,FALSE()),""))</f>
        <v>46752</v>
      </c>
      <c r="D1088" s="31" t="s">
        <v>1275</v>
      </c>
      <c r="E1088" s="30" t="s">
        <v>1276</v>
      </c>
      <c r="F1088" s="32" t="n">
        <v>1.75</v>
      </c>
      <c r="G1088" s="33" t="n">
        <v>45756</v>
      </c>
      <c r="H1088" s="33" t="n">
        <v>45756</v>
      </c>
      <c r="I1088" s="31" t="s">
        <v>1277</v>
      </c>
      <c r="J1088" s="30" t="s">
        <v>1276</v>
      </c>
      <c r="K1088" s="31" t="s">
        <v>1278</v>
      </c>
      <c r="L1088" s="32" t="n">
        <v>1.75</v>
      </c>
      <c r="M1088" s="39" t="s">
        <v>413</v>
      </c>
      <c r="N1088" s="31" t="s">
        <v>414</v>
      </c>
      <c r="O1088" s="32" t="n">
        <v>1.75</v>
      </c>
      <c r="P1088" s="15" t="n">
        <f aca="false">IF(A1088="","",IF(O1088&lt;&gt;"",O1088,IF(L1088&lt;&gt;"",L1088,F1088)))</f>
        <v>1.75</v>
      </c>
    </row>
    <row r="1089" customFormat="false" ht="15" hidden="false" customHeight="true" outlineLevel="0" collapsed="false">
      <c r="A1089" s="26" t="s">
        <v>135</v>
      </c>
      <c r="B1089" s="26" t="s">
        <v>136</v>
      </c>
      <c r="C1089" s="14" t="n">
        <f aca="false">IF(A1089="","",IFERROR(VLOOKUP(A1089,'Recert Status'!$A$8:$C$400,3,FALSE()),""))</f>
        <v>46752</v>
      </c>
      <c r="D1089" s="18" t="s">
        <v>415</v>
      </c>
      <c r="E1089" s="26" t="s">
        <v>416</v>
      </c>
      <c r="F1089" s="27" t="n">
        <v>1</v>
      </c>
      <c r="G1089" s="28" t="n">
        <v>45779</v>
      </c>
      <c r="H1089" s="28" t="n">
        <v>45779</v>
      </c>
      <c r="I1089" s="18" t="s">
        <v>1279</v>
      </c>
      <c r="J1089" s="26" t="s">
        <v>416</v>
      </c>
      <c r="K1089" s="18" t="s">
        <v>1280</v>
      </c>
      <c r="L1089" s="27" t="n">
        <v>1</v>
      </c>
      <c r="M1089" s="39" t="s">
        <v>413</v>
      </c>
      <c r="N1089" s="18" t="s">
        <v>414</v>
      </c>
      <c r="O1089" s="27" t="n">
        <v>1</v>
      </c>
      <c r="P1089" s="15" t="n">
        <f aca="false">IF(A1089="","",IF(O1089&lt;&gt;"",O1089,IF(L1089&lt;&gt;"",L1089,F1089)))</f>
        <v>1</v>
      </c>
    </row>
    <row r="1090" customFormat="false" ht="15" hidden="false" customHeight="true" outlineLevel="0" collapsed="false">
      <c r="A1090" s="30" t="s">
        <v>135</v>
      </c>
      <c r="B1090" s="30" t="s">
        <v>136</v>
      </c>
      <c r="C1090" s="21" t="n">
        <f aca="false">IF(A1090="","",IFERROR(VLOOKUP(A1090,'Recert Status'!$A$8:$C$400,3,FALSE()),""))</f>
        <v>46752</v>
      </c>
      <c r="D1090" s="31" t="s">
        <v>454</v>
      </c>
      <c r="E1090" s="30" t="s">
        <v>416</v>
      </c>
      <c r="F1090" s="32" t="n">
        <v>1</v>
      </c>
      <c r="G1090" s="33" t="n">
        <v>45824</v>
      </c>
      <c r="H1090" s="33" t="n">
        <v>45824</v>
      </c>
      <c r="I1090" s="31" t="s">
        <v>455</v>
      </c>
      <c r="J1090" s="30" t="s">
        <v>416</v>
      </c>
      <c r="K1090" s="31" t="s">
        <v>456</v>
      </c>
      <c r="L1090" s="32" t="n">
        <v>1</v>
      </c>
      <c r="M1090" s="39" t="s">
        <v>413</v>
      </c>
      <c r="N1090" s="31" t="s">
        <v>414</v>
      </c>
      <c r="O1090" s="32" t="n">
        <v>1</v>
      </c>
      <c r="P1090" s="15" t="n">
        <f aca="false">IF(A1090="","",IF(O1090&lt;&gt;"",O1090,IF(L1090&lt;&gt;"",L1090,F1090)))</f>
        <v>1</v>
      </c>
    </row>
    <row r="1091" customFormat="false" ht="15" hidden="false" customHeight="true" outlineLevel="0" collapsed="false">
      <c r="A1091" s="26" t="s">
        <v>135</v>
      </c>
      <c r="B1091" s="26" t="s">
        <v>136</v>
      </c>
      <c r="C1091" s="14" t="n">
        <f aca="false">IF(A1091="","",IFERROR(VLOOKUP(A1091,'Recert Status'!$A$8:$C$400,3,FALSE()),""))</f>
        <v>46752</v>
      </c>
      <c r="D1091" s="18" t="s">
        <v>454</v>
      </c>
      <c r="E1091" s="26" t="s">
        <v>416</v>
      </c>
      <c r="F1091" s="27" t="n">
        <v>1</v>
      </c>
      <c r="G1091" s="28" t="n">
        <v>45824</v>
      </c>
      <c r="H1091" s="28" t="n">
        <v>45824</v>
      </c>
      <c r="I1091" s="18" t="s">
        <v>455</v>
      </c>
      <c r="J1091" s="26" t="s">
        <v>416</v>
      </c>
      <c r="K1091" s="18" t="s">
        <v>456</v>
      </c>
      <c r="L1091" s="27" t="n">
        <v>1</v>
      </c>
      <c r="M1091" s="39" t="s">
        <v>413</v>
      </c>
      <c r="N1091" s="18" t="s">
        <v>414</v>
      </c>
      <c r="O1091" s="27" t="n">
        <v>1</v>
      </c>
      <c r="P1091" s="15" t="n">
        <f aca="false">IF(A1091="","",IF(O1091&lt;&gt;"",O1091,IF(L1091&lt;&gt;"",L1091,F1091)))</f>
        <v>1</v>
      </c>
    </row>
    <row r="1092" customFormat="false" ht="15" hidden="false" customHeight="true" outlineLevel="0" collapsed="false">
      <c r="A1092" s="30" t="s">
        <v>135</v>
      </c>
      <c r="B1092" s="30" t="s">
        <v>136</v>
      </c>
      <c r="C1092" s="21" t="n">
        <f aca="false">IF(A1092="","",IFERROR(VLOOKUP(A1092,'Recert Status'!$A$8:$C$400,3,FALSE()),""))</f>
        <v>46752</v>
      </c>
      <c r="D1092" s="31" t="s">
        <v>457</v>
      </c>
      <c r="E1092" s="30" t="s">
        <v>416</v>
      </c>
      <c r="F1092" s="32" t="n">
        <v>2</v>
      </c>
      <c r="G1092" s="33" t="n">
        <v>45860</v>
      </c>
      <c r="H1092" s="33" t="n">
        <v>45860</v>
      </c>
      <c r="I1092" s="31" t="s">
        <v>720</v>
      </c>
      <c r="J1092" s="30" t="s">
        <v>416</v>
      </c>
      <c r="K1092" s="31" t="s">
        <v>459</v>
      </c>
      <c r="L1092" s="32" t="n">
        <v>2</v>
      </c>
      <c r="M1092" s="39" t="s">
        <v>413</v>
      </c>
      <c r="N1092" s="31" t="s">
        <v>414</v>
      </c>
      <c r="O1092" s="32" t="n">
        <v>2</v>
      </c>
      <c r="P1092" s="15" t="n">
        <f aca="false">IF(A1092="","",IF(O1092&lt;&gt;"",O1092,IF(L1092&lt;&gt;"",L1092,F1092)))</f>
        <v>2</v>
      </c>
    </row>
    <row r="1093" customFormat="false" ht="15" hidden="false" customHeight="true" outlineLevel="0" collapsed="false">
      <c r="A1093" s="26" t="s">
        <v>135</v>
      </c>
      <c r="B1093" s="26" t="s">
        <v>136</v>
      </c>
      <c r="C1093" s="14" t="n">
        <f aca="false">IF(A1093="","",IFERROR(VLOOKUP(A1093,'Recert Status'!$A$8:$C$400,3,FALSE()),""))</f>
        <v>46752</v>
      </c>
      <c r="D1093" s="18" t="s">
        <v>414</v>
      </c>
      <c r="E1093" s="26" t="s">
        <v>416</v>
      </c>
      <c r="F1093" s="27" t="n">
        <v>2</v>
      </c>
      <c r="G1093" s="28" t="n">
        <v>46218</v>
      </c>
      <c r="H1093" s="28" t="n">
        <v>46218</v>
      </c>
      <c r="I1093" s="18" t="s">
        <v>535</v>
      </c>
      <c r="J1093" s="26" t="s">
        <v>416</v>
      </c>
      <c r="K1093" s="18" t="s">
        <v>418</v>
      </c>
      <c r="L1093" s="27" t="n">
        <v>2</v>
      </c>
      <c r="M1093" s="39" t="s">
        <v>413</v>
      </c>
      <c r="N1093" s="18" t="s">
        <v>414</v>
      </c>
      <c r="O1093" s="27" t="n">
        <v>2</v>
      </c>
      <c r="P1093" s="15" t="n">
        <f aca="false">IF(A1093="","",IF(O1093&lt;&gt;"",O1093,IF(L1093&lt;&gt;"",L1093,F1093)))</f>
        <v>2</v>
      </c>
    </row>
    <row r="1094" customFormat="false" ht="15" hidden="false" customHeight="true" outlineLevel="0" collapsed="false">
      <c r="A1094" s="30" t="s">
        <v>137</v>
      </c>
      <c r="B1094" s="30" t="s">
        <v>138</v>
      </c>
      <c r="C1094" s="21" t="n">
        <f aca="false">IF(A1094="","",IFERROR(VLOOKUP(A1094,'Recert Status'!$A$8:$C$400,3,FALSE()),""))</f>
        <v>46387</v>
      </c>
      <c r="D1094" s="31" t="s">
        <v>397</v>
      </c>
      <c r="E1094" s="30" t="s">
        <v>452</v>
      </c>
      <c r="F1094" s="32" t="n">
        <v>1</v>
      </c>
      <c r="G1094" s="33" t="n">
        <v>46246</v>
      </c>
      <c r="H1094" s="33" t="n">
        <v>46246</v>
      </c>
      <c r="I1094" s="31" t="s">
        <v>478</v>
      </c>
      <c r="J1094" s="30" t="s">
        <v>452</v>
      </c>
      <c r="K1094" s="31" t="s">
        <v>385</v>
      </c>
      <c r="L1094" s="32" t="n">
        <v>1</v>
      </c>
      <c r="M1094" s="36" t="s">
        <v>396</v>
      </c>
      <c r="N1094" s="31" t="s">
        <v>397</v>
      </c>
      <c r="O1094" s="32" t="n">
        <v>1</v>
      </c>
      <c r="P1094" s="15" t="n">
        <f aca="false">IF(A1094="","",IF(O1094&lt;&gt;"",O1094,IF(L1094&lt;&gt;"",L1094,F1094)))</f>
        <v>1</v>
      </c>
    </row>
    <row r="1095" customFormat="false" ht="15" hidden="false" customHeight="true" outlineLevel="0" collapsed="false">
      <c r="A1095" s="26" t="s">
        <v>137</v>
      </c>
      <c r="B1095" s="26" t="s">
        <v>138</v>
      </c>
      <c r="C1095" s="14" t="n">
        <f aca="false">IF(A1095="","",IFERROR(VLOOKUP(A1095,'Recert Status'!$A$8:$C$400,3,FALSE()),""))</f>
        <v>46387</v>
      </c>
      <c r="D1095" s="18" t="s">
        <v>414</v>
      </c>
      <c r="E1095" s="26" t="s">
        <v>416</v>
      </c>
      <c r="F1095" s="27" t="n">
        <v>2</v>
      </c>
      <c r="G1095" s="28" t="n">
        <v>46219</v>
      </c>
      <c r="H1095" s="28" t="n">
        <v>46219</v>
      </c>
      <c r="I1095" s="18" t="s">
        <v>567</v>
      </c>
      <c r="J1095" s="26" t="s">
        <v>416</v>
      </c>
      <c r="K1095" s="18" t="s">
        <v>418</v>
      </c>
      <c r="L1095" s="27" t="n">
        <v>2</v>
      </c>
      <c r="M1095" s="39" t="s">
        <v>413</v>
      </c>
      <c r="N1095" s="18" t="s">
        <v>414</v>
      </c>
      <c r="O1095" s="27" t="n">
        <v>2</v>
      </c>
      <c r="P1095" s="15" t="n">
        <f aca="false">IF(A1095="","",IF(O1095&lt;&gt;"",O1095,IF(L1095&lt;&gt;"",L1095,F1095)))</f>
        <v>2</v>
      </c>
    </row>
    <row r="1096" customFormat="false" ht="15" hidden="false" customHeight="true" outlineLevel="0" collapsed="false">
      <c r="A1096" s="30" t="s">
        <v>139</v>
      </c>
      <c r="B1096" s="30" t="s">
        <v>140</v>
      </c>
      <c r="C1096" s="21" t="n">
        <f aca="false">IF(A1096="","",IFERROR(VLOOKUP(A1096,'Recert Status'!$A$8:$C$400,3,FALSE()),""))</f>
        <v>46752</v>
      </c>
      <c r="D1096" s="31" t="s">
        <v>811</v>
      </c>
      <c r="E1096" s="30" t="s">
        <v>363</v>
      </c>
      <c r="F1096" s="32" t="n">
        <v>1</v>
      </c>
      <c r="G1096" s="33" t="n">
        <v>45783</v>
      </c>
      <c r="H1096" s="33" t="n">
        <v>45783</v>
      </c>
      <c r="I1096" s="31" t="s">
        <v>812</v>
      </c>
      <c r="J1096" s="30" t="s">
        <v>363</v>
      </c>
      <c r="K1096" s="31" t="s">
        <v>813</v>
      </c>
      <c r="L1096" s="32" t="n">
        <v>1</v>
      </c>
      <c r="M1096" s="29" t="s">
        <v>366</v>
      </c>
      <c r="N1096" s="31" t="s">
        <v>367</v>
      </c>
      <c r="O1096" s="32" t="n">
        <v>1</v>
      </c>
      <c r="P1096" s="15" t="n">
        <f aca="false">IF(A1096="","",IF(O1096&lt;&gt;"",O1096,IF(L1096&lt;&gt;"",L1096,F1096)))</f>
        <v>1</v>
      </c>
    </row>
    <row r="1097" customFormat="false" ht="15" hidden="false" customHeight="true" outlineLevel="0" collapsed="false">
      <c r="A1097" s="26" t="s">
        <v>139</v>
      </c>
      <c r="B1097" s="26" t="s">
        <v>140</v>
      </c>
      <c r="C1097" s="14" t="n">
        <f aca="false">IF(A1097="","",IFERROR(VLOOKUP(A1097,'Recert Status'!$A$8:$C$400,3,FALSE()),""))</f>
        <v>46752</v>
      </c>
      <c r="D1097" s="18" t="s">
        <v>1281</v>
      </c>
      <c r="E1097" s="26" t="s">
        <v>363</v>
      </c>
      <c r="F1097" s="27" t="n">
        <v>1</v>
      </c>
      <c r="G1097" s="28" t="n">
        <v>45912</v>
      </c>
      <c r="H1097" s="28" t="n">
        <v>45912</v>
      </c>
      <c r="I1097" s="18" t="s">
        <v>1282</v>
      </c>
      <c r="J1097" s="26" t="s">
        <v>363</v>
      </c>
      <c r="K1097" s="18" t="s">
        <v>813</v>
      </c>
      <c r="L1097" s="27" t="n">
        <v>1</v>
      </c>
      <c r="M1097" s="29" t="s">
        <v>366</v>
      </c>
      <c r="N1097" s="18" t="s">
        <v>367</v>
      </c>
      <c r="O1097" s="27" t="n">
        <v>1</v>
      </c>
      <c r="P1097" s="15" t="n">
        <f aca="false">IF(A1097="","",IF(O1097&lt;&gt;"",O1097,IF(L1097&lt;&gt;"",L1097,F1097)))</f>
        <v>1</v>
      </c>
    </row>
    <row r="1098" customFormat="false" ht="15" hidden="false" customHeight="true" outlineLevel="0" collapsed="false">
      <c r="A1098" s="30" t="s">
        <v>139</v>
      </c>
      <c r="B1098" s="30" t="s">
        <v>140</v>
      </c>
      <c r="C1098" s="21" t="n">
        <f aca="false">IF(A1098="","",IFERROR(VLOOKUP(A1098,'Recert Status'!$A$8:$C$400,3,FALSE()),""))</f>
        <v>46752</v>
      </c>
      <c r="D1098" s="31" t="s">
        <v>1174</v>
      </c>
      <c r="E1098" s="30" t="s">
        <v>542</v>
      </c>
      <c r="F1098" s="32" t="n">
        <v>1</v>
      </c>
      <c r="G1098" s="33" t="n">
        <v>45783</v>
      </c>
      <c r="H1098" s="33" t="n">
        <v>45783</v>
      </c>
      <c r="I1098" s="31" t="s">
        <v>1175</v>
      </c>
      <c r="J1098" s="30" t="s">
        <v>542</v>
      </c>
      <c r="K1098" s="31" t="s">
        <v>422</v>
      </c>
      <c r="L1098" s="32" t="n">
        <v>1</v>
      </c>
      <c r="M1098" s="40" t="s">
        <v>423</v>
      </c>
      <c r="N1098" s="31" t="s">
        <v>424</v>
      </c>
      <c r="O1098" s="32" t="n">
        <v>1</v>
      </c>
      <c r="P1098" s="15" t="n">
        <f aca="false">IF(A1098="","",IF(O1098&lt;&gt;"",O1098,IF(L1098&lt;&gt;"",L1098,F1098)))</f>
        <v>1</v>
      </c>
    </row>
    <row r="1099" customFormat="false" ht="15" hidden="false" customHeight="true" outlineLevel="0" collapsed="false">
      <c r="A1099" s="26" t="s">
        <v>139</v>
      </c>
      <c r="B1099" s="26" t="s">
        <v>140</v>
      </c>
      <c r="C1099" s="14" t="n">
        <f aca="false">IF(A1099="","",IFERROR(VLOOKUP(A1099,'Recert Status'!$A$8:$C$400,3,FALSE()),""))</f>
        <v>46752</v>
      </c>
      <c r="D1099" s="18" t="s">
        <v>569</v>
      </c>
      <c r="E1099" s="26" t="n">
        <v>57433</v>
      </c>
      <c r="F1099" s="27" t="n">
        <v>1</v>
      </c>
      <c r="G1099" s="28" t="n">
        <v>46017</v>
      </c>
      <c r="H1099" s="28" t="n">
        <v>46017</v>
      </c>
      <c r="I1099" s="18" t="s">
        <v>570</v>
      </c>
      <c r="J1099" s="26" t="s">
        <v>421</v>
      </c>
      <c r="K1099" s="18" t="s">
        <v>428</v>
      </c>
      <c r="L1099" s="27" t="n">
        <v>1</v>
      </c>
      <c r="M1099" s="40" t="s">
        <v>423</v>
      </c>
      <c r="N1099" s="18" t="s">
        <v>514</v>
      </c>
      <c r="O1099" s="27" t="n">
        <v>1</v>
      </c>
      <c r="P1099" s="15" t="n">
        <f aca="false">IF(A1099="","",IF(O1099&lt;&gt;"",O1099,IF(L1099&lt;&gt;"",L1099,F1099)))</f>
        <v>1</v>
      </c>
    </row>
    <row r="1100" customFormat="false" ht="15" hidden="false" customHeight="true" outlineLevel="0" collapsed="false">
      <c r="A1100" s="30" t="s">
        <v>139</v>
      </c>
      <c r="B1100" s="30" t="s">
        <v>140</v>
      </c>
      <c r="C1100" s="21" t="n">
        <f aca="false">IF(A1100="","",IFERROR(VLOOKUP(A1100,'Recert Status'!$A$8:$C$400,3,FALSE()),""))</f>
        <v>46752</v>
      </c>
      <c r="D1100" s="31" t="s">
        <v>949</v>
      </c>
      <c r="E1100" s="30" t="s">
        <v>542</v>
      </c>
      <c r="F1100" s="32" t="n">
        <v>1</v>
      </c>
      <c r="G1100" s="33" t="n">
        <v>46056</v>
      </c>
      <c r="H1100" s="33" t="n">
        <v>46056</v>
      </c>
      <c r="I1100" s="31" t="s">
        <v>950</v>
      </c>
      <c r="J1100" s="30" t="s">
        <v>542</v>
      </c>
      <c r="K1100" s="31" t="s">
        <v>422</v>
      </c>
      <c r="L1100" s="32" t="n">
        <v>1</v>
      </c>
      <c r="M1100" s="40" t="s">
        <v>423</v>
      </c>
      <c r="N1100" s="31" t="s">
        <v>424</v>
      </c>
      <c r="O1100" s="32" t="n">
        <v>1</v>
      </c>
      <c r="P1100" s="15" t="n">
        <f aca="false">IF(A1100="","",IF(O1100&lt;&gt;"",O1100,IF(L1100&lt;&gt;"",L1100,F1100)))</f>
        <v>1</v>
      </c>
    </row>
    <row r="1101" customFormat="false" ht="15" hidden="false" customHeight="true" outlineLevel="0" collapsed="false">
      <c r="A1101" s="26" t="s">
        <v>139</v>
      </c>
      <c r="B1101" s="26" t="s">
        <v>140</v>
      </c>
      <c r="C1101" s="14" t="n">
        <f aca="false">IF(A1101="","",IFERROR(VLOOKUP(A1101,'Recert Status'!$A$8:$C$400,3,FALSE()),""))</f>
        <v>46752</v>
      </c>
      <c r="D1101" s="18" t="s">
        <v>1283</v>
      </c>
      <c r="E1101" s="26" t="s">
        <v>426</v>
      </c>
      <c r="F1101" s="27" t="n">
        <v>1</v>
      </c>
      <c r="G1101" s="28" t="n">
        <v>45912</v>
      </c>
      <c r="H1101" s="28" t="n">
        <v>45912</v>
      </c>
      <c r="I1101" s="18" t="s">
        <v>1284</v>
      </c>
      <c r="J1101" s="26" t="s">
        <v>426</v>
      </c>
      <c r="K1101" s="18" t="s">
        <v>526</v>
      </c>
      <c r="L1101" s="27" t="n">
        <v>1</v>
      </c>
      <c r="M1101" s="41" t="s">
        <v>429</v>
      </c>
      <c r="N1101" s="18" t="s">
        <v>430</v>
      </c>
      <c r="O1101" s="27" t="n">
        <v>1</v>
      </c>
      <c r="P1101" s="15" t="n">
        <f aca="false">IF(A1101="","",IF(O1101&lt;&gt;"",O1101,IF(L1101&lt;&gt;"",L1101,F1101)))</f>
        <v>1</v>
      </c>
    </row>
    <row r="1102" customFormat="false" ht="15" hidden="false" customHeight="true" outlineLevel="0" collapsed="false">
      <c r="A1102" s="30" t="s">
        <v>139</v>
      </c>
      <c r="B1102" s="30" t="s">
        <v>140</v>
      </c>
      <c r="C1102" s="21" t="n">
        <f aca="false">IF(A1102="","",IFERROR(VLOOKUP(A1102,'Recert Status'!$A$8:$C$400,3,FALSE()),""))</f>
        <v>46752</v>
      </c>
      <c r="D1102" s="31" t="s">
        <v>1024</v>
      </c>
      <c r="E1102" s="30" t="n">
        <v>57433</v>
      </c>
      <c r="F1102" s="32" t="n">
        <v>2</v>
      </c>
      <c r="G1102" s="33" t="n">
        <v>45960</v>
      </c>
      <c r="H1102" s="33" t="n">
        <v>45960</v>
      </c>
      <c r="I1102" s="31" t="s">
        <v>1025</v>
      </c>
      <c r="J1102" s="30" t="s">
        <v>421</v>
      </c>
      <c r="K1102" s="31" t="s">
        <v>428</v>
      </c>
      <c r="L1102" s="32" t="n">
        <v>2</v>
      </c>
      <c r="M1102" s="41" t="s">
        <v>429</v>
      </c>
      <c r="N1102" s="31" t="s">
        <v>430</v>
      </c>
      <c r="O1102" s="32" t="n">
        <v>2</v>
      </c>
      <c r="P1102" s="15" t="n">
        <f aca="false">IF(A1102="","",IF(O1102&lt;&gt;"",O1102,IF(L1102&lt;&gt;"",L1102,F1102)))</f>
        <v>2</v>
      </c>
    </row>
    <row r="1103" customFormat="false" ht="15" hidden="false" customHeight="true" outlineLevel="0" collapsed="false">
      <c r="A1103" s="26" t="s">
        <v>139</v>
      </c>
      <c r="B1103" s="26" t="s">
        <v>140</v>
      </c>
      <c r="C1103" s="14" t="n">
        <f aca="false">IF(A1103="","",IFERROR(VLOOKUP(A1103,'Recert Status'!$A$8:$C$400,3,FALSE()),""))</f>
        <v>46752</v>
      </c>
      <c r="D1103" s="18" t="s">
        <v>1285</v>
      </c>
      <c r="E1103" s="26" t="n">
        <v>29740</v>
      </c>
      <c r="F1103" s="27" t="n">
        <v>2</v>
      </c>
      <c r="G1103" s="28" t="n">
        <v>45993</v>
      </c>
      <c r="H1103" s="28" t="n">
        <v>45993</v>
      </c>
      <c r="I1103" s="18" t="s">
        <v>1286</v>
      </c>
      <c r="J1103" s="26" t="s">
        <v>394</v>
      </c>
      <c r="K1103" s="18" t="s">
        <v>428</v>
      </c>
      <c r="L1103" s="27" t="n">
        <v>2</v>
      </c>
      <c r="M1103" s="41" t="s">
        <v>429</v>
      </c>
      <c r="N1103" s="18" t="s">
        <v>430</v>
      </c>
      <c r="O1103" s="27" t="n">
        <v>2</v>
      </c>
      <c r="P1103" s="15" t="n">
        <f aca="false">IF(A1103="","",IF(O1103&lt;&gt;"",O1103,IF(L1103&lt;&gt;"",L1103,F1103)))</f>
        <v>2</v>
      </c>
    </row>
    <row r="1104" customFormat="false" ht="15" hidden="false" customHeight="true" outlineLevel="0" collapsed="false">
      <c r="A1104" s="30" t="s">
        <v>139</v>
      </c>
      <c r="B1104" s="30" t="s">
        <v>140</v>
      </c>
      <c r="C1104" s="21" t="n">
        <f aca="false">IF(A1104="","",IFERROR(VLOOKUP(A1104,'Recert Status'!$A$8:$C$400,3,FALSE()),""))</f>
        <v>46752</v>
      </c>
      <c r="D1104" s="31" t="s">
        <v>1180</v>
      </c>
      <c r="E1104" s="30" t="n">
        <v>29735</v>
      </c>
      <c r="F1104" s="32" t="n">
        <v>0.5</v>
      </c>
      <c r="G1104" s="33" t="n">
        <v>45720</v>
      </c>
      <c r="H1104" s="33" t="n">
        <v>45720</v>
      </c>
      <c r="I1104" s="31" t="s">
        <v>1181</v>
      </c>
      <c r="J1104" s="30" t="s">
        <v>599</v>
      </c>
      <c r="K1104" s="31" t="s">
        <v>600</v>
      </c>
      <c r="L1104" s="32" t="n">
        <v>0.5</v>
      </c>
      <c r="M1104" s="35" t="s">
        <v>386</v>
      </c>
      <c r="N1104" s="31" t="s">
        <v>387</v>
      </c>
      <c r="O1104" s="32" t="n">
        <v>0.5</v>
      </c>
      <c r="P1104" s="15" t="n">
        <f aca="false">IF(A1104="","",IF(O1104&lt;&gt;"",O1104,IF(L1104&lt;&gt;"",L1104,F1104)))</f>
        <v>0.5</v>
      </c>
    </row>
    <row r="1105" customFormat="false" ht="15" hidden="false" customHeight="true" outlineLevel="0" collapsed="false">
      <c r="A1105" s="26" t="s">
        <v>139</v>
      </c>
      <c r="B1105" s="26" t="s">
        <v>140</v>
      </c>
      <c r="C1105" s="14" t="n">
        <f aca="false">IF(A1105="","",IFERROR(VLOOKUP(A1105,'Recert Status'!$A$8:$C$400,3,FALSE()),""))</f>
        <v>46752</v>
      </c>
      <c r="D1105" s="18" t="s">
        <v>397</v>
      </c>
      <c r="E1105" s="26" t="s">
        <v>452</v>
      </c>
      <c r="F1105" s="27" t="n">
        <v>1</v>
      </c>
      <c r="G1105" s="28" t="n">
        <v>46245</v>
      </c>
      <c r="H1105" s="28" t="n">
        <v>46245</v>
      </c>
      <c r="I1105" s="18" t="s">
        <v>605</v>
      </c>
      <c r="J1105" s="26" t="s">
        <v>452</v>
      </c>
      <c r="K1105" s="18" t="s">
        <v>385</v>
      </c>
      <c r="L1105" s="27" t="n">
        <v>1</v>
      </c>
      <c r="M1105" s="36" t="s">
        <v>396</v>
      </c>
      <c r="N1105" s="18" t="s">
        <v>397</v>
      </c>
      <c r="O1105" s="27" t="n">
        <v>1</v>
      </c>
      <c r="P1105" s="15" t="n">
        <f aca="false">IF(A1105="","",IF(O1105&lt;&gt;"",O1105,IF(L1105&lt;&gt;"",L1105,F1105)))</f>
        <v>1</v>
      </c>
    </row>
    <row r="1106" customFormat="false" ht="15" hidden="false" customHeight="true" outlineLevel="0" collapsed="false">
      <c r="A1106" s="30" t="s">
        <v>139</v>
      </c>
      <c r="B1106" s="30" t="s">
        <v>140</v>
      </c>
      <c r="C1106" s="21" t="n">
        <f aca="false">IF(A1106="","",IFERROR(VLOOKUP(A1106,'Recert Status'!$A$8:$C$400,3,FALSE()),""))</f>
        <v>46752</v>
      </c>
      <c r="D1106" s="31" t="s">
        <v>457</v>
      </c>
      <c r="E1106" s="30" t="s">
        <v>416</v>
      </c>
      <c r="F1106" s="32" t="n">
        <v>2</v>
      </c>
      <c r="G1106" s="33" t="n">
        <v>45861</v>
      </c>
      <c r="H1106" s="33" t="n">
        <v>45861</v>
      </c>
      <c r="I1106" s="31" t="s">
        <v>921</v>
      </c>
      <c r="J1106" s="30" t="s">
        <v>416</v>
      </c>
      <c r="K1106" s="31" t="s">
        <v>418</v>
      </c>
      <c r="L1106" s="32" t="n">
        <v>2</v>
      </c>
      <c r="M1106" s="39" t="s">
        <v>413</v>
      </c>
      <c r="N1106" s="31" t="s">
        <v>414</v>
      </c>
      <c r="O1106" s="32" t="n">
        <v>2</v>
      </c>
      <c r="P1106" s="15" t="n">
        <f aca="false">IF(A1106="","",IF(O1106&lt;&gt;"",O1106,IF(L1106&lt;&gt;"",L1106,F1106)))</f>
        <v>2</v>
      </c>
    </row>
    <row r="1107" customFormat="false" ht="15" hidden="false" customHeight="true" outlineLevel="0" collapsed="false">
      <c r="A1107" s="26" t="s">
        <v>139</v>
      </c>
      <c r="B1107" s="26" t="s">
        <v>140</v>
      </c>
      <c r="C1107" s="14" t="n">
        <f aca="false">IF(A1107="","",IFERROR(VLOOKUP(A1107,'Recert Status'!$A$8:$C$400,3,FALSE()),""))</f>
        <v>46752</v>
      </c>
      <c r="D1107" s="18" t="s">
        <v>457</v>
      </c>
      <c r="E1107" s="26" t="s">
        <v>416</v>
      </c>
      <c r="F1107" s="27" t="n">
        <v>1</v>
      </c>
      <c r="G1107" s="28" t="n">
        <v>45897</v>
      </c>
      <c r="H1107" s="28" t="n">
        <v>45897</v>
      </c>
      <c r="I1107" s="18" t="s">
        <v>1193</v>
      </c>
      <c r="J1107" s="26" t="s">
        <v>416</v>
      </c>
      <c r="K1107" s="18" t="s">
        <v>485</v>
      </c>
      <c r="L1107" s="27" t="n">
        <v>1</v>
      </c>
      <c r="M1107" s="39" t="s">
        <v>413</v>
      </c>
      <c r="N1107" s="18" t="s">
        <v>414</v>
      </c>
      <c r="O1107" s="27" t="n">
        <v>1</v>
      </c>
      <c r="P1107" s="15" t="n">
        <f aca="false">IF(A1107="","",IF(O1107&lt;&gt;"",O1107,IF(L1107&lt;&gt;"",L1107,F1107)))</f>
        <v>1</v>
      </c>
    </row>
    <row r="1108" customFormat="false" ht="15" hidden="false" customHeight="true" outlineLevel="0" collapsed="false">
      <c r="A1108" s="30" t="s">
        <v>139</v>
      </c>
      <c r="B1108" s="30" t="s">
        <v>140</v>
      </c>
      <c r="C1108" s="21" t="n">
        <f aca="false">IF(A1108="","",IFERROR(VLOOKUP(A1108,'Recert Status'!$A$8:$C$400,3,FALSE()),""))</f>
        <v>46752</v>
      </c>
      <c r="D1108" s="31" t="s">
        <v>959</v>
      </c>
      <c r="E1108" s="30" t="s">
        <v>416</v>
      </c>
      <c r="F1108" s="32" t="n">
        <v>1</v>
      </c>
      <c r="G1108" s="33" t="n">
        <v>45927</v>
      </c>
      <c r="H1108" s="33" t="n">
        <v>45927</v>
      </c>
      <c r="I1108" s="31" t="s">
        <v>1194</v>
      </c>
      <c r="J1108" s="30" t="s">
        <v>416</v>
      </c>
      <c r="K1108" s="31" t="s">
        <v>456</v>
      </c>
      <c r="L1108" s="32" t="n">
        <v>1</v>
      </c>
      <c r="M1108" s="39" t="s">
        <v>413</v>
      </c>
      <c r="N1108" s="31" t="s">
        <v>414</v>
      </c>
      <c r="O1108" s="32" t="n">
        <v>1</v>
      </c>
      <c r="P1108" s="15" t="n">
        <f aca="false">IF(A1108="","",IF(O1108&lt;&gt;"",O1108,IF(L1108&lt;&gt;"",L1108,F1108)))</f>
        <v>1</v>
      </c>
    </row>
    <row r="1109" customFormat="false" ht="15" hidden="false" customHeight="true" outlineLevel="0" collapsed="false">
      <c r="A1109" s="26" t="s">
        <v>139</v>
      </c>
      <c r="B1109" s="26" t="s">
        <v>140</v>
      </c>
      <c r="C1109" s="14" t="n">
        <f aca="false">IF(A1109="","",IFERROR(VLOOKUP(A1109,'Recert Status'!$A$8:$C$400,3,FALSE()),""))</f>
        <v>46752</v>
      </c>
      <c r="D1109" s="18" t="s">
        <v>488</v>
      </c>
      <c r="E1109" s="26" t="s">
        <v>416</v>
      </c>
      <c r="F1109" s="27" t="n">
        <v>1</v>
      </c>
      <c r="G1109" s="28" t="n">
        <v>46125</v>
      </c>
      <c r="H1109" s="28" t="n">
        <v>46125</v>
      </c>
      <c r="I1109" s="18" t="s">
        <v>608</v>
      </c>
      <c r="J1109" s="26" t="s">
        <v>416</v>
      </c>
      <c r="K1109" s="18" t="s">
        <v>490</v>
      </c>
      <c r="L1109" s="27" t="n">
        <v>1</v>
      </c>
      <c r="M1109" s="39" t="s">
        <v>413</v>
      </c>
      <c r="N1109" s="18" t="s">
        <v>414</v>
      </c>
      <c r="O1109" s="27" t="n">
        <v>1</v>
      </c>
      <c r="P1109" s="15" t="n">
        <f aca="false">IF(A1109="","",IF(O1109&lt;&gt;"",O1109,IF(L1109&lt;&gt;"",L1109,F1109)))</f>
        <v>1</v>
      </c>
    </row>
    <row r="1110" customFormat="false" ht="15" hidden="false" customHeight="true" outlineLevel="0" collapsed="false">
      <c r="A1110" s="30" t="s">
        <v>139</v>
      </c>
      <c r="B1110" s="30" t="s">
        <v>140</v>
      </c>
      <c r="C1110" s="21" t="n">
        <f aca="false">IF(A1110="","",IFERROR(VLOOKUP(A1110,'Recert Status'!$A$8:$C$400,3,FALSE()),""))</f>
        <v>46752</v>
      </c>
      <c r="D1110" s="31" t="s">
        <v>488</v>
      </c>
      <c r="E1110" s="30" t="s">
        <v>416</v>
      </c>
      <c r="F1110" s="32" t="n">
        <v>1</v>
      </c>
      <c r="G1110" s="33" t="n">
        <v>46132</v>
      </c>
      <c r="H1110" s="33" t="n">
        <v>46132</v>
      </c>
      <c r="I1110" s="31" t="s">
        <v>609</v>
      </c>
      <c r="J1110" s="30" t="s">
        <v>416</v>
      </c>
      <c r="K1110" s="31" t="s">
        <v>490</v>
      </c>
      <c r="L1110" s="32" t="n">
        <v>1</v>
      </c>
      <c r="M1110" s="39" t="s">
        <v>413</v>
      </c>
      <c r="N1110" s="31" t="s">
        <v>414</v>
      </c>
      <c r="O1110" s="32" t="n">
        <v>1</v>
      </c>
      <c r="P1110" s="15" t="n">
        <f aca="false">IF(A1110="","",IF(O1110&lt;&gt;"",O1110,IF(L1110&lt;&gt;"",L1110,F1110)))</f>
        <v>1</v>
      </c>
    </row>
    <row r="1111" customFormat="false" ht="15" hidden="false" customHeight="true" outlineLevel="0" collapsed="false">
      <c r="A1111" s="26" t="s">
        <v>139</v>
      </c>
      <c r="B1111" s="26" t="s">
        <v>140</v>
      </c>
      <c r="C1111" s="14" t="n">
        <f aca="false">IF(A1111="","",IFERROR(VLOOKUP(A1111,'Recert Status'!$A$8:$C$400,3,FALSE()),""))</f>
        <v>46752</v>
      </c>
      <c r="D1111" s="18" t="s">
        <v>414</v>
      </c>
      <c r="E1111" s="26" t="s">
        <v>416</v>
      </c>
      <c r="F1111" s="27" t="n">
        <v>2</v>
      </c>
      <c r="G1111" s="28" t="n">
        <v>46218</v>
      </c>
      <c r="H1111" s="28" t="n">
        <v>46218</v>
      </c>
      <c r="I1111" s="18" t="s">
        <v>535</v>
      </c>
      <c r="J1111" s="26" t="s">
        <v>416</v>
      </c>
      <c r="K1111" s="18" t="s">
        <v>418</v>
      </c>
      <c r="L1111" s="27" t="n">
        <v>2</v>
      </c>
      <c r="M1111" s="39" t="s">
        <v>413</v>
      </c>
      <c r="N1111" s="18" t="s">
        <v>414</v>
      </c>
      <c r="O1111" s="27" t="n">
        <v>2</v>
      </c>
      <c r="P1111" s="15" t="n">
        <f aca="false">IF(A1111="","",IF(O1111&lt;&gt;"",O1111,IF(L1111&lt;&gt;"",L1111,F1111)))</f>
        <v>2</v>
      </c>
    </row>
    <row r="1112" customFormat="false" ht="15" hidden="false" customHeight="true" outlineLevel="0" collapsed="false">
      <c r="A1112" s="30" t="s">
        <v>141</v>
      </c>
      <c r="B1112" s="30" t="s">
        <v>142</v>
      </c>
      <c r="C1112" s="21" t="n">
        <f aca="false">IF(A1112="","",IFERROR(VLOOKUP(A1112,'Recert Status'!$A$8:$C$400,3,FALSE()),""))</f>
        <v>46752</v>
      </c>
      <c r="D1112" s="31" t="s">
        <v>753</v>
      </c>
      <c r="E1112" s="30" t="s">
        <v>363</v>
      </c>
      <c r="F1112" s="32" t="n">
        <v>0.5</v>
      </c>
      <c r="G1112" s="33" t="n">
        <v>45694</v>
      </c>
      <c r="H1112" s="33" t="n">
        <v>45694</v>
      </c>
      <c r="I1112" s="31" t="s">
        <v>754</v>
      </c>
      <c r="J1112" s="30" t="s">
        <v>363</v>
      </c>
      <c r="K1112" s="31" t="s">
        <v>370</v>
      </c>
      <c r="L1112" s="32" t="n">
        <v>0.5</v>
      </c>
      <c r="M1112" s="29" t="s">
        <v>366</v>
      </c>
      <c r="N1112" s="31" t="s">
        <v>367</v>
      </c>
      <c r="O1112" s="32" t="n">
        <v>0.5</v>
      </c>
      <c r="P1112" s="15" t="n">
        <f aca="false">IF(A1112="","",IF(O1112&lt;&gt;"",O1112,IF(L1112&lt;&gt;"",L1112,F1112)))</f>
        <v>0.5</v>
      </c>
    </row>
    <row r="1113" customFormat="false" ht="15" hidden="false" customHeight="true" outlineLevel="0" collapsed="false">
      <c r="A1113" s="26" t="s">
        <v>141</v>
      </c>
      <c r="B1113" s="26" t="s">
        <v>142</v>
      </c>
      <c r="C1113" s="14" t="n">
        <f aca="false">IF(A1113="","",IFERROR(VLOOKUP(A1113,'Recert Status'!$A$8:$C$400,3,FALSE()),""))</f>
        <v>46752</v>
      </c>
      <c r="D1113" s="18" t="s">
        <v>753</v>
      </c>
      <c r="E1113" s="26" t="s">
        <v>363</v>
      </c>
      <c r="F1113" s="27" t="n">
        <v>0.5</v>
      </c>
      <c r="G1113" s="28" t="n">
        <v>45742</v>
      </c>
      <c r="H1113" s="28" t="n">
        <v>45742</v>
      </c>
      <c r="I1113" s="18" t="s">
        <v>755</v>
      </c>
      <c r="J1113" s="26" t="s">
        <v>363</v>
      </c>
      <c r="K1113" s="18" t="s">
        <v>370</v>
      </c>
      <c r="L1113" s="27" t="n">
        <v>0.5</v>
      </c>
      <c r="M1113" s="29" t="s">
        <v>366</v>
      </c>
      <c r="N1113" s="18" t="s">
        <v>367</v>
      </c>
      <c r="O1113" s="27" t="n">
        <v>0.5</v>
      </c>
      <c r="P1113" s="15" t="n">
        <f aca="false">IF(A1113="","",IF(O1113&lt;&gt;"",O1113,IF(L1113&lt;&gt;"",L1113,F1113)))</f>
        <v>0.5</v>
      </c>
    </row>
    <row r="1114" customFormat="false" ht="15" hidden="false" customHeight="true" outlineLevel="0" collapsed="false">
      <c r="A1114" s="30" t="s">
        <v>141</v>
      </c>
      <c r="B1114" s="30" t="s">
        <v>142</v>
      </c>
      <c r="C1114" s="21" t="n">
        <f aca="false">IF(A1114="","",IFERROR(VLOOKUP(A1114,'Recert Status'!$A$8:$C$400,3,FALSE()),""))</f>
        <v>46752</v>
      </c>
      <c r="D1114" s="31" t="s">
        <v>584</v>
      </c>
      <c r="E1114" s="30" t="s">
        <v>542</v>
      </c>
      <c r="F1114" s="32" t="n">
        <v>3</v>
      </c>
      <c r="G1114" s="33" t="n">
        <v>45892</v>
      </c>
      <c r="H1114" s="33" t="n">
        <v>45892</v>
      </c>
      <c r="I1114" s="31" t="s">
        <v>585</v>
      </c>
      <c r="J1114" s="30" t="s">
        <v>542</v>
      </c>
      <c r="K1114" s="31" t="s">
        <v>586</v>
      </c>
      <c r="L1114" s="32" t="n">
        <v>3</v>
      </c>
      <c r="M1114" s="40" t="s">
        <v>423</v>
      </c>
      <c r="N1114" s="31" t="s">
        <v>424</v>
      </c>
      <c r="O1114" s="32" t="n">
        <v>3</v>
      </c>
      <c r="P1114" s="15" t="n">
        <f aca="false">IF(A1114="","",IF(O1114&lt;&gt;"",O1114,IF(L1114&lt;&gt;"",L1114,F1114)))</f>
        <v>3</v>
      </c>
    </row>
    <row r="1115" customFormat="false" ht="15" hidden="false" customHeight="true" outlineLevel="0" collapsed="false">
      <c r="A1115" s="26" t="s">
        <v>141</v>
      </c>
      <c r="B1115" s="26" t="s">
        <v>142</v>
      </c>
      <c r="C1115" s="14" t="n">
        <f aca="false">IF(A1115="","",IFERROR(VLOOKUP(A1115,'Recert Status'!$A$8:$C$400,3,FALSE()),""))</f>
        <v>46752</v>
      </c>
      <c r="D1115" s="18" t="s">
        <v>759</v>
      </c>
      <c r="E1115" s="26" t="s">
        <v>426</v>
      </c>
      <c r="F1115" s="27" t="n">
        <v>0.5</v>
      </c>
      <c r="G1115" s="28" t="n">
        <v>45694</v>
      </c>
      <c r="H1115" s="28" t="n">
        <v>45694</v>
      </c>
      <c r="I1115" s="18" t="s">
        <v>760</v>
      </c>
      <c r="J1115" s="26" t="s">
        <v>426</v>
      </c>
      <c r="K1115" s="18" t="s">
        <v>495</v>
      </c>
      <c r="L1115" s="27" t="n">
        <v>0.5</v>
      </c>
      <c r="M1115" s="41" t="s">
        <v>429</v>
      </c>
      <c r="N1115" s="18" t="s">
        <v>430</v>
      </c>
      <c r="O1115" s="27" t="n">
        <v>0.5</v>
      </c>
      <c r="P1115" s="15" t="n">
        <f aca="false">IF(A1115="","",IF(O1115&lt;&gt;"",O1115,IF(L1115&lt;&gt;"",L1115,F1115)))</f>
        <v>0.5</v>
      </c>
    </row>
    <row r="1116" customFormat="false" ht="15" hidden="false" customHeight="true" outlineLevel="0" collapsed="false">
      <c r="A1116" s="30" t="s">
        <v>141</v>
      </c>
      <c r="B1116" s="30" t="s">
        <v>142</v>
      </c>
      <c r="C1116" s="21" t="n">
        <f aca="false">IF(A1116="","",IFERROR(VLOOKUP(A1116,'Recert Status'!$A$8:$C$400,3,FALSE()),""))</f>
        <v>46752</v>
      </c>
      <c r="D1116" s="31" t="s">
        <v>800</v>
      </c>
      <c r="E1116" s="30" t="n">
        <v>29740</v>
      </c>
      <c r="F1116" s="32" t="n">
        <v>1</v>
      </c>
      <c r="G1116" s="33" t="n">
        <v>45826</v>
      </c>
      <c r="H1116" s="33" t="n">
        <v>45826</v>
      </c>
      <c r="I1116" s="31" t="s">
        <v>1287</v>
      </c>
      <c r="J1116" s="30" t="s">
        <v>394</v>
      </c>
      <c r="K1116" s="31" t="s">
        <v>1288</v>
      </c>
      <c r="L1116" s="32" t="n">
        <v>1</v>
      </c>
      <c r="M1116" s="35" t="s">
        <v>386</v>
      </c>
      <c r="N1116" s="31" t="s">
        <v>387</v>
      </c>
      <c r="O1116" s="32" t="n">
        <v>1</v>
      </c>
      <c r="P1116" s="15" t="n">
        <f aca="false">IF(A1116="","",IF(O1116&lt;&gt;"",O1116,IF(L1116&lt;&gt;"",L1116,F1116)))</f>
        <v>1</v>
      </c>
    </row>
    <row r="1117" customFormat="false" ht="15" hidden="false" customHeight="true" outlineLevel="0" collapsed="false">
      <c r="A1117" s="26" t="s">
        <v>141</v>
      </c>
      <c r="B1117" s="26" t="s">
        <v>142</v>
      </c>
      <c r="C1117" s="14" t="n">
        <f aca="false">IF(A1117="","",IFERROR(VLOOKUP(A1117,'Recert Status'!$A$8:$C$400,3,FALSE()),""))</f>
        <v>46752</v>
      </c>
      <c r="D1117" s="18" t="s">
        <v>767</v>
      </c>
      <c r="E1117" s="26" t="s">
        <v>389</v>
      </c>
      <c r="F1117" s="27" t="n">
        <v>4</v>
      </c>
      <c r="G1117" s="28" t="n">
        <v>45973</v>
      </c>
      <c r="H1117" s="28" t="n">
        <v>45973</v>
      </c>
      <c r="I1117" s="18" t="s">
        <v>768</v>
      </c>
      <c r="J1117" s="26" t="s">
        <v>389</v>
      </c>
      <c r="K1117" s="18" t="s">
        <v>769</v>
      </c>
      <c r="L1117" s="27" t="n">
        <v>4</v>
      </c>
      <c r="M1117" s="35" t="s">
        <v>386</v>
      </c>
      <c r="N1117" s="18" t="s">
        <v>387</v>
      </c>
      <c r="O1117" s="27" t="n">
        <v>4</v>
      </c>
      <c r="P1117" s="15" t="n">
        <f aca="false">IF(A1117="","",IF(O1117&lt;&gt;"",O1117,IF(L1117&lt;&gt;"",L1117,F1117)))</f>
        <v>4</v>
      </c>
    </row>
    <row r="1118" customFormat="false" ht="15" hidden="false" customHeight="true" outlineLevel="0" collapsed="false">
      <c r="A1118" s="30" t="s">
        <v>141</v>
      </c>
      <c r="B1118" s="30" t="s">
        <v>142</v>
      </c>
      <c r="C1118" s="21" t="n">
        <f aca="false">IF(A1118="","",IFERROR(VLOOKUP(A1118,'Recert Status'!$A$8:$C$400,3,FALSE()),""))</f>
        <v>46752</v>
      </c>
      <c r="D1118" s="31" t="s">
        <v>682</v>
      </c>
      <c r="E1118" s="30" t="n">
        <v>29675</v>
      </c>
      <c r="F1118" s="32" t="n">
        <v>1</v>
      </c>
      <c r="G1118" s="33" t="n">
        <v>45985</v>
      </c>
      <c r="H1118" s="33" t="n">
        <v>45985</v>
      </c>
      <c r="I1118" s="31" t="s">
        <v>1074</v>
      </c>
      <c r="J1118" s="30" t="s">
        <v>406</v>
      </c>
      <c r="K1118" s="31" t="s">
        <v>446</v>
      </c>
      <c r="L1118" s="32" t="n">
        <v>1</v>
      </c>
      <c r="M1118" s="35" t="s">
        <v>386</v>
      </c>
      <c r="N1118" s="31" t="s">
        <v>387</v>
      </c>
      <c r="O1118" s="32" t="n">
        <v>1</v>
      </c>
      <c r="P1118" s="15" t="n">
        <f aca="false">IF(A1118="","",IF(O1118&lt;&gt;"",O1118,IF(L1118&lt;&gt;"",L1118,F1118)))</f>
        <v>1</v>
      </c>
    </row>
    <row r="1119" customFormat="false" ht="15" hidden="false" customHeight="true" outlineLevel="0" collapsed="false">
      <c r="A1119" s="26" t="s">
        <v>141</v>
      </c>
      <c r="B1119" s="26" t="s">
        <v>142</v>
      </c>
      <c r="C1119" s="14" t="n">
        <f aca="false">IF(A1119="","",IFERROR(VLOOKUP(A1119,'Recert Status'!$A$8:$C$400,3,FALSE()),""))</f>
        <v>46752</v>
      </c>
      <c r="D1119" s="18" t="s">
        <v>387</v>
      </c>
      <c r="E1119" s="26" t="s">
        <v>389</v>
      </c>
      <c r="F1119" s="27" t="n">
        <v>1</v>
      </c>
      <c r="G1119" s="28" t="n">
        <v>46241</v>
      </c>
      <c r="H1119" s="28" t="n">
        <v>46241</v>
      </c>
      <c r="I1119" s="18" t="s">
        <v>1011</v>
      </c>
      <c r="J1119" s="26" t="s">
        <v>389</v>
      </c>
      <c r="K1119" s="18" t="s">
        <v>451</v>
      </c>
      <c r="L1119" s="27" t="n">
        <v>1</v>
      </c>
      <c r="M1119" s="35" t="s">
        <v>386</v>
      </c>
      <c r="N1119" s="18" t="s">
        <v>387</v>
      </c>
      <c r="O1119" s="27" t="n">
        <v>1</v>
      </c>
      <c r="P1119" s="15" t="n">
        <f aca="false">IF(A1119="","",IF(O1119&lt;&gt;"",O1119,IF(L1119&lt;&gt;"",L1119,F1119)))</f>
        <v>1</v>
      </c>
    </row>
    <row r="1120" customFormat="false" ht="15" hidden="false" customHeight="true" outlineLevel="0" collapsed="false">
      <c r="A1120" s="30" t="s">
        <v>141</v>
      </c>
      <c r="B1120" s="30" t="s">
        <v>142</v>
      </c>
      <c r="C1120" s="21" t="n">
        <f aca="false">IF(A1120="","",IFERROR(VLOOKUP(A1120,'Recert Status'!$A$8:$C$400,3,FALSE()),""))</f>
        <v>46752</v>
      </c>
      <c r="D1120" s="31" t="s">
        <v>775</v>
      </c>
      <c r="E1120" s="30" t="s">
        <v>452</v>
      </c>
      <c r="F1120" s="32" t="n">
        <v>0.5</v>
      </c>
      <c r="G1120" s="33" t="n">
        <v>45694</v>
      </c>
      <c r="H1120" s="33" t="n">
        <v>45694</v>
      </c>
      <c r="I1120" s="31" t="s">
        <v>776</v>
      </c>
      <c r="J1120" s="30" t="s">
        <v>452</v>
      </c>
      <c r="K1120" s="31" t="s">
        <v>385</v>
      </c>
      <c r="L1120" s="32" t="n">
        <v>0.5</v>
      </c>
      <c r="M1120" s="36" t="s">
        <v>396</v>
      </c>
      <c r="N1120" s="31" t="s">
        <v>397</v>
      </c>
      <c r="O1120" s="32" t="n">
        <v>0.5</v>
      </c>
      <c r="P1120" s="15" t="n">
        <f aca="false">IF(A1120="","",IF(O1120&lt;&gt;"",O1120,IF(L1120&lt;&gt;"",L1120,F1120)))</f>
        <v>0.5</v>
      </c>
    </row>
    <row r="1121" customFormat="false" ht="15" hidden="false" customHeight="true" outlineLevel="0" collapsed="false">
      <c r="A1121" s="26" t="s">
        <v>141</v>
      </c>
      <c r="B1121" s="26" t="s">
        <v>142</v>
      </c>
      <c r="C1121" s="14" t="n">
        <f aca="false">IF(A1121="","",IFERROR(VLOOKUP(A1121,'Recert Status'!$A$8:$C$400,3,FALSE()),""))</f>
        <v>46752</v>
      </c>
      <c r="D1121" s="18" t="s">
        <v>662</v>
      </c>
      <c r="E1121" s="26" t="n">
        <v>35513</v>
      </c>
      <c r="F1121" s="27" t="n">
        <v>3</v>
      </c>
      <c r="G1121" s="28" t="n">
        <v>45973</v>
      </c>
      <c r="H1121" s="28" t="n">
        <v>45973</v>
      </c>
      <c r="I1121" s="18" t="s">
        <v>777</v>
      </c>
      <c r="J1121" s="26" t="s">
        <v>384</v>
      </c>
      <c r="K1121" s="18" t="s">
        <v>385</v>
      </c>
      <c r="L1121" s="27" t="n">
        <v>3</v>
      </c>
      <c r="M1121" s="36" t="s">
        <v>396</v>
      </c>
      <c r="N1121" s="18" t="s">
        <v>397</v>
      </c>
      <c r="O1121" s="27" t="n">
        <v>3</v>
      </c>
      <c r="P1121" s="15" t="n">
        <f aca="false">IF(A1121="","",IF(O1121&lt;&gt;"",O1121,IF(L1121&lt;&gt;"",L1121,F1121)))</f>
        <v>3</v>
      </c>
    </row>
    <row r="1122" customFormat="false" ht="15" hidden="false" customHeight="true" outlineLevel="0" collapsed="false">
      <c r="A1122" s="30" t="s">
        <v>141</v>
      </c>
      <c r="B1122" s="30" t="s">
        <v>142</v>
      </c>
      <c r="C1122" s="21" t="n">
        <f aca="false">IF(A1122="","",IFERROR(VLOOKUP(A1122,'Recert Status'!$A$8:$C$400,3,FALSE()),""))</f>
        <v>46752</v>
      </c>
      <c r="D1122" s="31" t="s">
        <v>397</v>
      </c>
      <c r="E1122" s="30" t="s">
        <v>452</v>
      </c>
      <c r="F1122" s="32" t="n">
        <v>1</v>
      </c>
      <c r="G1122" s="33" t="n">
        <v>46246</v>
      </c>
      <c r="H1122" s="33" t="n">
        <v>46246</v>
      </c>
      <c r="I1122" s="31" t="s">
        <v>478</v>
      </c>
      <c r="J1122" s="30" t="s">
        <v>452</v>
      </c>
      <c r="K1122" s="31" t="s">
        <v>385</v>
      </c>
      <c r="L1122" s="32" t="n">
        <v>1</v>
      </c>
      <c r="M1122" s="36" t="s">
        <v>396</v>
      </c>
      <c r="N1122" s="31" t="s">
        <v>397</v>
      </c>
      <c r="O1122" s="32" t="n">
        <v>1</v>
      </c>
      <c r="P1122" s="15" t="n">
        <f aca="false">IF(A1122="","",IF(O1122&lt;&gt;"",O1122,IF(L1122&lt;&gt;"",L1122,F1122)))</f>
        <v>1</v>
      </c>
    </row>
    <row r="1123" customFormat="false" ht="15" hidden="false" customHeight="true" outlineLevel="0" collapsed="false">
      <c r="A1123" s="26" t="s">
        <v>141</v>
      </c>
      <c r="B1123" s="26" t="s">
        <v>142</v>
      </c>
      <c r="C1123" s="14" t="n">
        <f aca="false">IF(A1123="","",IFERROR(VLOOKUP(A1123,'Recert Status'!$A$8:$C$400,3,FALSE()),""))</f>
        <v>46752</v>
      </c>
      <c r="D1123" s="18" t="s">
        <v>457</v>
      </c>
      <c r="E1123" s="26" t="s">
        <v>416</v>
      </c>
      <c r="F1123" s="27" t="n">
        <v>2</v>
      </c>
      <c r="G1123" s="28" t="n">
        <v>45859</v>
      </c>
      <c r="H1123" s="28" t="n">
        <v>45859</v>
      </c>
      <c r="I1123" s="18" t="s">
        <v>780</v>
      </c>
      <c r="J1123" s="26" t="s">
        <v>416</v>
      </c>
      <c r="K1123" s="18" t="s">
        <v>781</v>
      </c>
      <c r="L1123" s="27" t="n">
        <v>2</v>
      </c>
      <c r="M1123" s="39" t="s">
        <v>413</v>
      </c>
      <c r="N1123" s="18" t="s">
        <v>414</v>
      </c>
      <c r="O1123" s="27" t="n">
        <v>2</v>
      </c>
      <c r="P1123" s="15" t="n">
        <f aca="false">IF(A1123="","",IF(O1123&lt;&gt;"",O1123,IF(L1123&lt;&gt;"",L1123,F1123)))</f>
        <v>2</v>
      </c>
    </row>
    <row r="1124" customFormat="false" ht="15" hidden="false" customHeight="true" outlineLevel="0" collapsed="false">
      <c r="A1124" s="30" t="s">
        <v>141</v>
      </c>
      <c r="B1124" s="30" t="s">
        <v>142</v>
      </c>
      <c r="C1124" s="21" t="n">
        <f aca="false">IF(A1124="","",IFERROR(VLOOKUP(A1124,'Recert Status'!$A$8:$C$400,3,FALSE()),""))</f>
        <v>46752</v>
      </c>
      <c r="D1124" s="31" t="s">
        <v>782</v>
      </c>
      <c r="E1124" s="30" t="s">
        <v>416</v>
      </c>
      <c r="F1124" s="32" t="n">
        <v>0.5</v>
      </c>
      <c r="G1124" s="33" t="n">
        <v>45937</v>
      </c>
      <c r="H1124" s="33" t="n">
        <v>45937</v>
      </c>
      <c r="I1124" s="31" t="s">
        <v>783</v>
      </c>
      <c r="J1124" s="30" t="s">
        <v>416</v>
      </c>
      <c r="K1124" s="31" t="s">
        <v>784</v>
      </c>
      <c r="L1124" s="32" t="n">
        <v>0.5</v>
      </c>
      <c r="M1124" s="39" t="s">
        <v>413</v>
      </c>
      <c r="N1124" s="31" t="s">
        <v>414</v>
      </c>
      <c r="O1124" s="32" t="n">
        <v>0.5</v>
      </c>
      <c r="P1124" s="15" t="n">
        <f aca="false">IF(A1124="","",IF(O1124&lt;&gt;"",O1124,IF(L1124&lt;&gt;"",L1124,F1124)))</f>
        <v>0.5</v>
      </c>
    </row>
    <row r="1125" customFormat="false" ht="15" hidden="false" customHeight="true" outlineLevel="0" collapsed="false">
      <c r="A1125" s="26" t="s">
        <v>143</v>
      </c>
      <c r="B1125" s="26" t="s">
        <v>144</v>
      </c>
      <c r="C1125" s="14" t="n">
        <f aca="false">IF(A1125="","",IFERROR(VLOOKUP(A1125,'Recert Status'!$A$8:$C$400,3,FALSE()),""))</f>
        <v>46387</v>
      </c>
      <c r="D1125" s="18" t="s">
        <v>1090</v>
      </c>
      <c r="E1125" s="26" t="s">
        <v>363</v>
      </c>
      <c r="F1125" s="27" t="n">
        <v>1</v>
      </c>
      <c r="G1125" s="28" t="n">
        <v>45726</v>
      </c>
      <c r="H1125" s="28" t="n">
        <v>45726</v>
      </c>
      <c r="I1125" s="18" t="s">
        <v>1091</v>
      </c>
      <c r="J1125" s="26" t="s">
        <v>363</v>
      </c>
      <c r="K1125" s="18" t="s">
        <v>365</v>
      </c>
      <c r="L1125" s="27" t="n">
        <v>1</v>
      </c>
      <c r="M1125" s="29" t="s">
        <v>366</v>
      </c>
      <c r="N1125" s="18" t="s">
        <v>367</v>
      </c>
      <c r="O1125" s="27" t="n">
        <v>1</v>
      </c>
      <c r="P1125" s="15" t="n">
        <f aca="false">IF(A1125="","",IF(O1125&lt;&gt;"",O1125,IF(L1125&lt;&gt;"",L1125,F1125)))</f>
        <v>1</v>
      </c>
    </row>
    <row r="1126" customFormat="false" ht="15" hidden="false" customHeight="true" outlineLevel="0" collapsed="false">
      <c r="A1126" s="30" t="s">
        <v>143</v>
      </c>
      <c r="B1126" s="30" t="s">
        <v>144</v>
      </c>
      <c r="C1126" s="21" t="n">
        <f aca="false">IF(A1126="","",IFERROR(VLOOKUP(A1126,'Recert Status'!$A$8:$C$400,3,FALSE()),""))</f>
        <v>46387</v>
      </c>
      <c r="D1126" s="31" t="s">
        <v>623</v>
      </c>
      <c r="E1126" s="30" t="s">
        <v>363</v>
      </c>
      <c r="F1126" s="32" t="n">
        <v>0.5</v>
      </c>
      <c r="G1126" s="33" t="n">
        <v>45783</v>
      </c>
      <c r="H1126" s="33" t="n">
        <v>45783</v>
      </c>
      <c r="I1126" s="31" t="s">
        <v>624</v>
      </c>
      <c r="J1126" s="30" t="s">
        <v>363</v>
      </c>
      <c r="K1126" s="31" t="s">
        <v>365</v>
      </c>
      <c r="L1126" s="32" t="n">
        <v>0.5</v>
      </c>
      <c r="M1126" s="29" t="s">
        <v>366</v>
      </c>
      <c r="N1126" s="31" t="s">
        <v>367</v>
      </c>
      <c r="O1126" s="32" t="n">
        <v>0.5</v>
      </c>
      <c r="P1126" s="15" t="n">
        <f aca="false">IF(A1126="","",IF(O1126&lt;&gt;"",O1126,IF(L1126&lt;&gt;"",L1126,F1126)))</f>
        <v>0.5</v>
      </c>
    </row>
    <row r="1127" customFormat="false" ht="15" hidden="false" customHeight="true" outlineLevel="0" collapsed="false">
      <c r="A1127" s="26" t="s">
        <v>143</v>
      </c>
      <c r="B1127" s="26" t="s">
        <v>144</v>
      </c>
      <c r="C1127" s="14" t="n">
        <f aca="false">IF(A1127="","",IFERROR(VLOOKUP(A1127,'Recert Status'!$A$8:$C$400,3,FALSE()),""))</f>
        <v>46387</v>
      </c>
      <c r="D1127" s="18" t="s">
        <v>362</v>
      </c>
      <c r="E1127" s="26" t="s">
        <v>363</v>
      </c>
      <c r="F1127" s="27" t="n">
        <v>1</v>
      </c>
      <c r="G1127" s="28" t="n">
        <v>45912</v>
      </c>
      <c r="H1127" s="28" t="n">
        <v>45912</v>
      </c>
      <c r="I1127" s="18" t="s">
        <v>961</v>
      </c>
      <c r="J1127" s="26" t="s">
        <v>363</v>
      </c>
      <c r="K1127" s="18" t="s">
        <v>495</v>
      </c>
      <c r="L1127" s="27" t="n">
        <v>1</v>
      </c>
      <c r="M1127" s="29" t="s">
        <v>366</v>
      </c>
      <c r="N1127" s="18" t="s">
        <v>367</v>
      </c>
      <c r="O1127" s="27" t="n">
        <v>1</v>
      </c>
      <c r="P1127" s="15" t="n">
        <f aca="false">IF(A1127="","",IF(O1127&lt;&gt;"",O1127,IF(L1127&lt;&gt;"",L1127,F1127)))</f>
        <v>1</v>
      </c>
    </row>
    <row r="1128" customFormat="false" ht="15" hidden="false" customHeight="true" outlineLevel="0" collapsed="false">
      <c r="A1128" s="30" t="s">
        <v>143</v>
      </c>
      <c r="B1128" s="30" t="s">
        <v>144</v>
      </c>
      <c r="C1128" s="21" t="n">
        <f aca="false">IF(A1128="","",IFERROR(VLOOKUP(A1128,'Recert Status'!$A$8:$C$400,3,FALSE()),""))</f>
        <v>46387</v>
      </c>
      <c r="D1128" s="31" t="s">
        <v>962</v>
      </c>
      <c r="E1128" s="30" t="s">
        <v>426</v>
      </c>
      <c r="F1128" s="32" t="n">
        <v>1</v>
      </c>
      <c r="G1128" s="33" t="n">
        <v>45912</v>
      </c>
      <c r="H1128" s="33" t="n">
        <v>45912</v>
      </c>
      <c r="I1128" s="31" t="s">
        <v>961</v>
      </c>
      <c r="J1128" s="30" t="s">
        <v>426</v>
      </c>
      <c r="K1128" s="31" t="s">
        <v>495</v>
      </c>
      <c r="L1128" s="32" t="n">
        <v>1</v>
      </c>
      <c r="M1128" s="41" t="s">
        <v>429</v>
      </c>
      <c r="N1128" s="31" t="s">
        <v>430</v>
      </c>
      <c r="O1128" s="32" t="n">
        <v>1</v>
      </c>
      <c r="P1128" s="15" t="n">
        <f aca="false">IF(A1128="","",IF(O1128&lt;&gt;"",O1128,IF(L1128&lt;&gt;"",L1128,F1128)))</f>
        <v>1</v>
      </c>
    </row>
    <row r="1129" customFormat="false" ht="15" hidden="false" customHeight="true" outlineLevel="0" collapsed="false">
      <c r="A1129" s="26" t="s">
        <v>143</v>
      </c>
      <c r="B1129" s="26" t="s">
        <v>144</v>
      </c>
      <c r="C1129" s="14" t="n">
        <f aca="false">IF(A1129="","",IFERROR(VLOOKUP(A1129,'Recert Status'!$A$8:$C$400,3,FALSE()),""))</f>
        <v>46387</v>
      </c>
      <c r="D1129" s="18" t="s">
        <v>1096</v>
      </c>
      <c r="E1129" s="26" t="s">
        <v>372</v>
      </c>
      <c r="F1129" s="27" t="n">
        <v>1</v>
      </c>
      <c r="G1129" s="28" t="n">
        <v>45750</v>
      </c>
      <c r="H1129" s="28" t="n">
        <v>45750</v>
      </c>
      <c r="I1129" s="18" t="s">
        <v>1097</v>
      </c>
      <c r="J1129" s="26" t="s">
        <v>372</v>
      </c>
      <c r="K1129" s="18" t="s">
        <v>374</v>
      </c>
      <c r="L1129" s="27" t="n">
        <v>1</v>
      </c>
      <c r="M1129" s="34" t="s">
        <v>375</v>
      </c>
      <c r="N1129" s="18" t="s">
        <v>376</v>
      </c>
      <c r="O1129" s="27" t="n">
        <v>1</v>
      </c>
      <c r="P1129" s="15" t="n">
        <f aca="false">IF(A1129="","",IF(O1129&lt;&gt;"",O1129,IF(L1129&lt;&gt;"",L1129,F1129)))</f>
        <v>1</v>
      </c>
    </row>
    <row r="1130" customFormat="false" ht="15" hidden="false" customHeight="true" outlineLevel="0" collapsed="false">
      <c r="A1130" s="30" t="s">
        <v>143</v>
      </c>
      <c r="B1130" s="30" t="s">
        <v>144</v>
      </c>
      <c r="C1130" s="21" t="n">
        <f aca="false">IF(A1130="","",IFERROR(VLOOKUP(A1130,'Recert Status'!$A$8:$C$400,3,FALSE()),""))</f>
        <v>46387</v>
      </c>
      <c r="D1130" s="31" t="s">
        <v>1289</v>
      </c>
      <c r="E1130" s="30" t="n">
        <v>29675</v>
      </c>
      <c r="F1130" s="32" t="n">
        <v>4</v>
      </c>
      <c r="G1130" s="33" t="n">
        <v>45986</v>
      </c>
      <c r="H1130" s="33" t="n">
        <v>45986</v>
      </c>
      <c r="I1130" s="31" t="s">
        <v>1074</v>
      </c>
      <c r="J1130" s="30" t="s">
        <v>406</v>
      </c>
      <c r="K1130" s="31" t="s">
        <v>446</v>
      </c>
      <c r="L1130" s="32" t="n">
        <v>1</v>
      </c>
      <c r="M1130" s="35" t="s">
        <v>386</v>
      </c>
      <c r="N1130" s="31" t="s">
        <v>387</v>
      </c>
      <c r="O1130" s="32" t="n">
        <v>1</v>
      </c>
      <c r="P1130" s="15" t="n">
        <f aca="false">IF(A1130="","",IF(O1130&lt;&gt;"",O1130,IF(L1130&lt;&gt;"",L1130,F1130)))</f>
        <v>1</v>
      </c>
    </row>
    <row r="1131" customFormat="false" ht="15" hidden="false" customHeight="true" outlineLevel="0" collapsed="false">
      <c r="A1131" s="26" t="s">
        <v>143</v>
      </c>
      <c r="B1131" s="26" t="s">
        <v>144</v>
      </c>
      <c r="C1131" s="14" t="n">
        <f aca="false">IF(A1131="","",IFERROR(VLOOKUP(A1131,'Recert Status'!$A$8:$C$400,3,FALSE()),""))</f>
        <v>46387</v>
      </c>
      <c r="D1131" s="18" t="s">
        <v>387</v>
      </c>
      <c r="E1131" s="26" t="s">
        <v>389</v>
      </c>
      <c r="F1131" s="27" t="n">
        <v>0.5</v>
      </c>
      <c r="G1131" s="28" t="n">
        <v>46211</v>
      </c>
      <c r="H1131" s="28" t="n">
        <v>46211</v>
      </c>
      <c r="I1131" s="18" t="s">
        <v>1171</v>
      </c>
      <c r="J1131" s="26" t="s">
        <v>389</v>
      </c>
      <c r="K1131" s="18" t="s">
        <v>395</v>
      </c>
      <c r="L1131" s="27" t="n">
        <v>0.5</v>
      </c>
      <c r="M1131" s="35" t="s">
        <v>386</v>
      </c>
      <c r="N1131" s="18" t="s">
        <v>387</v>
      </c>
      <c r="O1131" s="27" t="n">
        <v>0.5</v>
      </c>
      <c r="P1131" s="15" t="n">
        <f aca="false">IF(A1131="","",IF(O1131&lt;&gt;"",O1131,IF(L1131&lt;&gt;"",L1131,F1131)))</f>
        <v>0.5</v>
      </c>
    </row>
    <row r="1132" customFormat="false" ht="15" hidden="false" customHeight="true" outlineLevel="0" collapsed="false">
      <c r="A1132" s="30" t="s">
        <v>143</v>
      </c>
      <c r="B1132" s="30" t="s">
        <v>144</v>
      </c>
      <c r="C1132" s="21" t="n">
        <f aca="false">IF(A1132="","",IFERROR(VLOOKUP(A1132,'Recert Status'!$A$8:$C$400,3,FALSE()),""))</f>
        <v>46387</v>
      </c>
      <c r="D1132" s="31" t="s">
        <v>387</v>
      </c>
      <c r="E1132" s="30" t="s">
        <v>389</v>
      </c>
      <c r="F1132" s="32" t="n">
        <v>1</v>
      </c>
      <c r="G1132" s="33" t="n">
        <v>46230</v>
      </c>
      <c r="H1132" s="33" t="n">
        <v>46230</v>
      </c>
      <c r="I1132" s="31" t="s">
        <v>1245</v>
      </c>
      <c r="J1132" s="30" t="s">
        <v>389</v>
      </c>
      <c r="K1132" s="31" t="s">
        <v>451</v>
      </c>
      <c r="L1132" s="32" t="n">
        <v>1</v>
      </c>
      <c r="M1132" s="35" t="s">
        <v>386</v>
      </c>
      <c r="N1132" s="31" t="s">
        <v>387</v>
      </c>
      <c r="O1132" s="32" t="n">
        <v>1</v>
      </c>
      <c r="P1132" s="15" t="n">
        <f aca="false">IF(A1132="","",IF(O1132&lt;&gt;"",O1132,IF(L1132&lt;&gt;"",L1132,F1132)))</f>
        <v>1</v>
      </c>
    </row>
    <row r="1133" customFormat="false" ht="15" hidden="false" customHeight="true" outlineLevel="0" collapsed="false">
      <c r="A1133" s="26" t="s">
        <v>143</v>
      </c>
      <c r="B1133" s="26" t="s">
        <v>144</v>
      </c>
      <c r="C1133" s="14" t="n">
        <f aca="false">IF(A1133="","",IFERROR(VLOOKUP(A1133,'Recert Status'!$A$8:$C$400,3,FALSE()),""))</f>
        <v>46387</v>
      </c>
      <c r="D1133" s="18" t="s">
        <v>1290</v>
      </c>
      <c r="E1133" s="26" t="n">
        <v>29769</v>
      </c>
      <c r="F1133" s="27" t="n">
        <v>0.5</v>
      </c>
      <c r="G1133" s="28" t="n">
        <v>45852</v>
      </c>
      <c r="H1133" s="28" t="n">
        <v>45852</v>
      </c>
      <c r="I1133" s="18" t="s">
        <v>1291</v>
      </c>
      <c r="J1133" s="26" t="s">
        <v>517</v>
      </c>
      <c r="K1133" s="18" t="s">
        <v>412</v>
      </c>
      <c r="L1133" s="27" t="n">
        <v>0.5</v>
      </c>
      <c r="M1133" s="36" t="s">
        <v>396</v>
      </c>
      <c r="N1133" s="18" t="s">
        <v>397</v>
      </c>
      <c r="O1133" s="27" t="n">
        <v>0.5</v>
      </c>
      <c r="P1133" s="15" t="n">
        <f aca="false">IF(A1133="","",IF(O1133&lt;&gt;"",O1133,IF(L1133&lt;&gt;"",L1133,F1133)))</f>
        <v>0.5</v>
      </c>
    </row>
    <row r="1134" customFormat="false" ht="15" hidden="false" customHeight="true" outlineLevel="0" collapsed="false">
      <c r="A1134" s="30" t="s">
        <v>143</v>
      </c>
      <c r="B1134" s="30" t="s">
        <v>144</v>
      </c>
      <c r="C1134" s="21" t="n">
        <f aca="false">IF(A1134="","",IFERROR(VLOOKUP(A1134,'Recert Status'!$A$8:$C$400,3,FALSE()),""))</f>
        <v>46387</v>
      </c>
      <c r="D1134" s="31" t="s">
        <v>560</v>
      </c>
      <c r="E1134" s="30" t="n">
        <v>35513</v>
      </c>
      <c r="F1134" s="32" t="n">
        <v>1</v>
      </c>
      <c r="G1134" s="33" t="n">
        <v>46109</v>
      </c>
      <c r="H1134" s="33" t="n">
        <v>46109</v>
      </c>
      <c r="I1134" s="31" t="s">
        <v>1292</v>
      </c>
      <c r="J1134" s="30" t="s">
        <v>384</v>
      </c>
      <c r="K1134" s="31" t="s">
        <v>385</v>
      </c>
      <c r="L1134" s="32" t="n">
        <v>1</v>
      </c>
      <c r="M1134" s="36" t="s">
        <v>396</v>
      </c>
      <c r="N1134" s="31" t="s">
        <v>397</v>
      </c>
      <c r="O1134" s="32" t="n">
        <v>1</v>
      </c>
      <c r="P1134" s="15" t="n">
        <f aca="false">IF(A1134="","",IF(O1134&lt;&gt;"",O1134,IF(L1134&lt;&gt;"",L1134,F1134)))</f>
        <v>1</v>
      </c>
    </row>
    <row r="1135" customFormat="false" ht="15" hidden="false" customHeight="true" outlineLevel="0" collapsed="false">
      <c r="A1135" s="26" t="s">
        <v>143</v>
      </c>
      <c r="B1135" s="26" t="s">
        <v>144</v>
      </c>
      <c r="C1135" s="14" t="n">
        <f aca="false">IF(A1135="","",IFERROR(VLOOKUP(A1135,'Recert Status'!$A$8:$C$400,3,FALSE()),""))</f>
        <v>46387</v>
      </c>
      <c r="D1135" s="18" t="s">
        <v>1293</v>
      </c>
      <c r="E1135" s="26" t="s">
        <v>452</v>
      </c>
      <c r="F1135" s="27" t="n">
        <v>1</v>
      </c>
      <c r="G1135" s="28" t="n">
        <v>46133</v>
      </c>
      <c r="H1135" s="28" t="n">
        <v>46133</v>
      </c>
      <c r="I1135" s="18" t="s">
        <v>602</v>
      </c>
      <c r="J1135" s="26" t="s">
        <v>452</v>
      </c>
      <c r="K1135" s="18" t="s">
        <v>385</v>
      </c>
      <c r="L1135" s="27" t="n">
        <v>1</v>
      </c>
      <c r="M1135" s="36" t="s">
        <v>396</v>
      </c>
      <c r="N1135" s="18" t="s">
        <v>397</v>
      </c>
      <c r="O1135" s="27" t="n">
        <v>1</v>
      </c>
      <c r="P1135" s="15" t="n">
        <f aca="false">IF(A1135="","",IF(O1135&lt;&gt;"",O1135,IF(L1135&lt;&gt;"",L1135,F1135)))</f>
        <v>1</v>
      </c>
    </row>
    <row r="1136" customFormat="false" ht="15" hidden="false" customHeight="true" outlineLevel="0" collapsed="false">
      <c r="A1136" s="30" t="s">
        <v>143</v>
      </c>
      <c r="B1136" s="30" t="s">
        <v>144</v>
      </c>
      <c r="C1136" s="21" t="n">
        <f aca="false">IF(A1136="","",IFERROR(VLOOKUP(A1136,'Recert Status'!$A$8:$C$400,3,FALSE()),""))</f>
        <v>46387</v>
      </c>
      <c r="D1136" s="31" t="s">
        <v>397</v>
      </c>
      <c r="E1136" s="30" t="s">
        <v>452</v>
      </c>
      <c r="F1136" s="32" t="n">
        <v>1</v>
      </c>
      <c r="G1136" s="33" t="n">
        <v>46230</v>
      </c>
      <c r="H1136" s="33" t="n">
        <v>46230</v>
      </c>
      <c r="I1136" s="31" t="s">
        <v>1250</v>
      </c>
      <c r="J1136" s="30" t="s">
        <v>452</v>
      </c>
      <c r="K1136" s="31" t="s">
        <v>385</v>
      </c>
      <c r="L1136" s="32" t="n">
        <v>1</v>
      </c>
      <c r="M1136" s="36" t="s">
        <v>396</v>
      </c>
      <c r="N1136" s="31" t="s">
        <v>397</v>
      </c>
      <c r="O1136" s="32" t="n">
        <v>1</v>
      </c>
      <c r="P1136" s="15" t="n">
        <f aca="false">IF(A1136="","",IF(O1136&lt;&gt;"",O1136,IF(L1136&lt;&gt;"",L1136,F1136)))</f>
        <v>1</v>
      </c>
    </row>
    <row r="1137" customFormat="false" ht="15" hidden="false" customHeight="true" outlineLevel="0" collapsed="false">
      <c r="A1137" s="26" t="s">
        <v>143</v>
      </c>
      <c r="B1137" s="26" t="s">
        <v>144</v>
      </c>
      <c r="C1137" s="14" t="n">
        <f aca="false">IF(A1137="","",IFERROR(VLOOKUP(A1137,'Recert Status'!$A$8:$C$400,3,FALSE()),""))</f>
        <v>46387</v>
      </c>
      <c r="D1137" s="18" t="s">
        <v>397</v>
      </c>
      <c r="E1137" s="26" t="s">
        <v>452</v>
      </c>
      <c r="F1137" s="27" t="n">
        <v>1</v>
      </c>
      <c r="G1137" s="28" t="n">
        <v>46244</v>
      </c>
      <c r="H1137" s="28" t="n">
        <v>46244</v>
      </c>
      <c r="I1137" s="18" t="s">
        <v>577</v>
      </c>
      <c r="J1137" s="26" t="s">
        <v>452</v>
      </c>
      <c r="K1137" s="18" t="s">
        <v>385</v>
      </c>
      <c r="L1137" s="27" t="n">
        <v>1</v>
      </c>
      <c r="M1137" s="36" t="s">
        <v>396</v>
      </c>
      <c r="N1137" s="18" t="s">
        <v>397</v>
      </c>
      <c r="O1137" s="27" t="n">
        <v>1</v>
      </c>
      <c r="P1137" s="15" t="n">
        <f aca="false">IF(A1137="","",IF(O1137&lt;&gt;"",O1137,IF(L1137&lt;&gt;"",L1137,F1137)))</f>
        <v>1</v>
      </c>
    </row>
    <row r="1138" customFormat="false" ht="15" hidden="false" customHeight="true" outlineLevel="0" collapsed="false">
      <c r="A1138" s="30" t="s">
        <v>143</v>
      </c>
      <c r="B1138" s="30" t="s">
        <v>144</v>
      </c>
      <c r="C1138" s="21" t="n">
        <f aca="false">IF(A1138="","",IFERROR(VLOOKUP(A1138,'Recert Status'!$A$8:$C$400,3,FALSE()),""))</f>
        <v>46387</v>
      </c>
      <c r="D1138" s="31" t="s">
        <v>403</v>
      </c>
      <c r="E1138" s="30" t="s">
        <v>399</v>
      </c>
      <c r="F1138" s="32" t="n">
        <v>1</v>
      </c>
      <c r="G1138" s="33" t="n">
        <v>46281</v>
      </c>
      <c r="H1138" s="33" t="n">
        <v>46281</v>
      </c>
      <c r="I1138" s="31" t="s">
        <v>479</v>
      </c>
      <c r="J1138" s="30" t="s">
        <v>399</v>
      </c>
      <c r="K1138" s="31" t="s">
        <v>401</v>
      </c>
      <c r="L1138" s="32" t="n">
        <v>1</v>
      </c>
      <c r="M1138" s="37" t="s">
        <v>402</v>
      </c>
      <c r="N1138" s="31" t="s">
        <v>403</v>
      </c>
      <c r="O1138" s="32" t="n">
        <v>1</v>
      </c>
      <c r="P1138" s="15" t="n">
        <f aca="false">IF(A1138="","",IF(O1138&lt;&gt;"",O1138,IF(L1138&lt;&gt;"",L1138,F1138)))</f>
        <v>1</v>
      </c>
    </row>
    <row r="1139" customFormat="false" ht="15" hidden="false" customHeight="true" outlineLevel="0" collapsed="false">
      <c r="A1139" s="26" t="s">
        <v>143</v>
      </c>
      <c r="B1139" s="26" t="s">
        <v>144</v>
      </c>
      <c r="C1139" s="14" t="n">
        <f aca="false">IF(A1139="","",IFERROR(VLOOKUP(A1139,'Recert Status'!$A$8:$C$400,3,FALSE()),""))</f>
        <v>46387</v>
      </c>
      <c r="D1139" s="18" t="s">
        <v>409</v>
      </c>
      <c r="E1139" s="26" t="s">
        <v>480</v>
      </c>
      <c r="F1139" s="27" t="n">
        <v>1</v>
      </c>
      <c r="G1139" s="28" t="n">
        <v>46281</v>
      </c>
      <c r="H1139" s="28" t="n">
        <v>46281</v>
      </c>
      <c r="I1139" s="18" t="s">
        <v>481</v>
      </c>
      <c r="J1139" s="26" t="s">
        <v>480</v>
      </c>
      <c r="K1139" s="18" t="s">
        <v>482</v>
      </c>
      <c r="L1139" s="27" t="n">
        <v>1</v>
      </c>
      <c r="M1139" s="38" t="s">
        <v>408</v>
      </c>
      <c r="N1139" s="18" t="s">
        <v>409</v>
      </c>
      <c r="O1139" s="27" t="n">
        <v>1</v>
      </c>
      <c r="P1139" s="15" t="n">
        <f aca="false">IF(A1139="","",IF(O1139&lt;&gt;"",O1139,IF(L1139&lt;&gt;"",L1139,F1139)))</f>
        <v>1</v>
      </c>
    </row>
    <row r="1140" customFormat="false" ht="15" hidden="false" customHeight="true" outlineLevel="0" collapsed="false">
      <c r="A1140" s="30" t="s">
        <v>143</v>
      </c>
      <c r="B1140" s="30" t="s">
        <v>144</v>
      </c>
      <c r="C1140" s="21" t="n">
        <f aca="false">IF(A1140="","",IFERROR(VLOOKUP(A1140,'Recert Status'!$A$8:$C$400,3,FALSE()),""))</f>
        <v>46387</v>
      </c>
      <c r="D1140" s="31" t="s">
        <v>992</v>
      </c>
      <c r="E1140" s="30" t="s">
        <v>416</v>
      </c>
      <c r="F1140" s="32" t="n">
        <v>1</v>
      </c>
      <c r="G1140" s="33" t="n">
        <v>45825</v>
      </c>
      <c r="H1140" s="33" t="n">
        <v>45825</v>
      </c>
      <c r="I1140" s="31" t="s">
        <v>993</v>
      </c>
      <c r="J1140" s="30" t="s">
        <v>416</v>
      </c>
      <c r="K1140" s="31" t="s">
        <v>418</v>
      </c>
      <c r="L1140" s="32" t="n">
        <v>1</v>
      </c>
      <c r="M1140" s="39" t="s">
        <v>413</v>
      </c>
      <c r="N1140" s="31" t="s">
        <v>414</v>
      </c>
      <c r="O1140" s="32" t="n">
        <v>1</v>
      </c>
      <c r="P1140" s="15" t="n">
        <f aca="false">IF(A1140="","",IF(O1140&lt;&gt;"",O1140,IF(L1140&lt;&gt;"",L1140,F1140)))</f>
        <v>1</v>
      </c>
    </row>
    <row r="1141" customFormat="false" ht="15" hidden="false" customHeight="true" outlineLevel="0" collapsed="false">
      <c r="A1141" s="26" t="s">
        <v>143</v>
      </c>
      <c r="B1141" s="26" t="s">
        <v>144</v>
      </c>
      <c r="C1141" s="14" t="n">
        <f aca="false">IF(A1141="","",IFERROR(VLOOKUP(A1141,'Recert Status'!$A$8:$C$400,3,FALSE()),""))</f>
        <v>46387</v>
      </c>
      <c r="D1141" s="18" t="s">
        <v>672</v>
      </c>
      <c r="E1141" s="26" t="s">
        <v>416</v>
      </c>
      <c r="F1141" s="27" t="n">
        <v>1</v>
      </c>
      <c r="G1141" s="28" t="n">
        <v>45933</v>
      </c>
      <c r="H1141" s="28" t="n">
        <v>45933</v>
      </c>
      <c r="I1141" s="18" t="s">
        <v>673</v>
      </c>
      <c r="J1141" s="26" t="s">
        <v>416</v>
      </c>
      <c r="K1141" s="18" t="s">
        <v>674</v>
      </c>
      <c r="L1141" s="27" t="n">
        <v>1</v>
      </c>
      <c r="M1141" s="39" t="s">
        <v>413</v>
      </c>
      <c r="N1141" s="18" t="s">
        <v>414</v>
      </c>
      <c r="O1141" s="27" t="n">
        <v>1</v>
      </c>
      <c r="P1141" s="15" t="n">
        <f aca="false">IF(A1141="","",IF(O1141&lt;&gt;"",O1141,IF(L1141&lt;&gt;"",L1141,F1141)))</f>
        <v>1</v>
      </c>
    </row>
    <row r="1142" customFormat="false" ht="15" hidden="false" customHeight="true" outlineLevel="0" collapsed="false">
      <c r="A1142" s="30" t="s">
        <v>143</v>
      </c>
      <c r="B1142" s="30" t="s">
        <v>144</v>
      </c>
      <c r="C1142" s="21" t="n">
        <f aca="false">IF(A1142="","",IFERROR(VLOOKUP(A1142,'Recert Status'!$A$8:$C$400,3,FALSE()),""))</f>
        <v>46387</v>
      </c>
      <c r="D1142" s="31" t="s">
        <v>488</v>
      </c>
      <c r="E1142" s="30" t="s">
        <v>416</v>
      </c>
      <c r="F1142" s="32" t="n">
        <v>1</v>
      </c>
      <c r="G1142" s="33" t="n">
        <v>46127</v>
      </c>
      <c r="H1142" s="33" t="n">
        <v>46127</v>
      </c>
      <c r="I1142" s="31" t="s">
        <v>534</v>
      </c>
      <c r="J1142" s="30" t="s">
        <v>416</v>
      </c>
      <c r="K1142" s="31" t="s">
        <v>490</v>
      </c>
      <c r="L1142" s="32" t="n">
        <v>1</v>
      </c>
      <c r="M1142" s="39" t="s">
        <v>413</v>
      </c>
      <c r="N1142" s="31" t="s">
        <v>414</v>
      </c>
      <c r="O1142" s="32" t="n">
        <v>1</v>
      </c>
      <c r="P1142" s="15" t="n">
        <f aca="false">IF(A1142="","",IF(O1142&lt;&gt;"",O1142,IF(L1142&lt;&gt;"",L1142,F1142)))</f>
        <v>1</v>
      </c>
    </row>
    <row r="1143" customFormat="false" ht="15" hidden="false" customHeight="true" outlineLevel="0" collapsed="false">
      <c r="A1143" s="26" t="s">
        <v>145</v>
      </c>
      <c r="B1143" s="26" t="s">
        <v>146</v>
      </c>
      <c r="C1143" s="14" t="n">
        <f aca="false">IF(A1143="","",IFERROR(VLOOKUP(A1143,'Recert Status'!$A$8:$C$400,3,FALSE()),""))</f>
        <v>46752</v>
      </c>
      <c r="D1143" s="18" t="s">
        <v>1294</v>
      </c>
      <c r="E1143" s="26" t="s">
        <v>363</v>
      </c>
      <c r="F1143" s="27" t="n">
        <v>0.5</v>
      </c>
      <c r="G1143" s="28" t="n">
        <v>46017</v>
      </c>
      <c r="H1143" s="28" t="n">
        <v>46017</v>
      </c>
      <c r="I1143" s="18" t="s">
        <v>1295</v>
      </c>
      <c r="J1143" s="26" t="s">
        <v>363</v>
      </c>
      <c r="K1143" s="18" t="s">
        <v>365</v>
      </c>
      <c r="L1143" s="27" t="n">
        <v>0.5</v>
      </c>
      <c r="M1143" s="29" t="s">
        <v>366</v>
      </c>
      <c r="N1143" s="18" t="s">
        <v>367</v>
      </c>
      <c r="O1143" s="27" t="n">
        <v>0.5</v>
      </c>
      <c r="P1143" s="15" t="n">
        <f aca="false">IF(A1143="","",IF(O1143&lt;&gt;"",O1143,IF(L1143&lt;&gt;"",L1143,F1143)))</f>
        <v>0.5</v>
      </c>
    </row>
    <row r="1144" customFormat="false" ht="15" hidden="false" customHeight="true" outlineLevel="0" collapsed="false">
      <c r="A1144" s="30" t="s">
        <v>145</v>
      </c>
      <c r="B1144" s="30" t="s">
        <v>146</v>
      </c>
      <c r="C1144" s="21" t="n">
        <f aca="false">IF(A1144="","",IFERROR(VLOOKUP(A1144,'Recert Status'!$A$8:$C$400,3,FALSE()),""))</f>
        <v>46752</v>
      </c>
      <c r="D1144" s="31" t="s">
        <v>541</v>
      </c>
      <c r="E1144" s="30" t="s">
        <v>542</v>
      </c>
      <c r="F1144" s="32" t="n">
        <v>1</v>
      </c>
      <c r="G1144" s="33" t="n">
        <v>45811</v>
      </c>
      <c r="H1144" s="33" t="n">
        <v>45811</v>
      </c>
      <c r="I1144" s="31" t="s">
        <v>543</v>
      </c>
      <c r="J1144" s="30" t="s">
        <v>542</v>
      </c>
      <c r="K1144" s="31" t="s">
        <v>422</v>
      </c>
      <c r="L1144" s="32" t="n">
        <v>1</v>
      </c>
      <c r="M1144" s="40" t="s">
        <v>423</v>
      </c>
      <c r="N1144" s="31" t="s">
        <v>424</v>
      </c>
      <c r="O1144" s="32" t="n">
        <v>1</v>
      </c>
      <c r="P1144" s="15" t="n">
        <f aca="false">IF(A1144="","",IF(O1144&lt;&gt;"",O1144,IF(L1144&lt;&gt;"",L1144,F1144)))</f>
        <v>1</v>
      </c>
    </row>
    <row r="1145" customFormat="false" ht="15" hidden="false" customHeight="true" outlineLevel="0" collapsed="false">
      <c r="A1145" s="26" t="s">
        <v>145</v>
      </c>
      <c r="B1145" s="26" t="s">
        <v>146</v>
      </c>
      <c r="C1145" s="14" t="n">
        <f aca="false">IF(A1145="","",IFERROR(VLOOKUP(A1145,'Recert Status'!$A$8:$C$400,3,FALSE()),""))</f>
        <v>46752</v>
      </c>
      <c r="D1145" s="18" t="s">
        <v>569</v>
      </c>
      <c r="E1145" s="26" t="n">
        <v>57433</v>
      </c>
      <c r="F1145" s="27" t="n">
        <v>1</v>
      </c>
      <c r="G1145" s="28" t="n">
        <v>46017</v>
      </c>
      <c r="H1145" s="28" t="n">
        <v>46017</v>
      </c>
      <c r="I1145" s="18" t="s">
        <v>570</v>
      </c>
      <c r="J1145" s="26" t="s">
        <v>421</v>
      </c>
      <c r="K1145" s="18" t="s">
        <v>428</v>
      </c>
      <c r="L1145" s="27" t="n">
        <v>1</v>
      </c>
      <c r="M1145" s="40" t="s">
        <v>423</v>
      </c>
      <c r="N1145" s="18" t="s">
        <v>514</v>
      </c>
      <c r="O1145" s="27" t="n">
        <v>1</v>
      </c>
      <c r="P1145" s="15" t="n">
        <f aca="false">IF(A1145="","",IF(O1145&lt;&gt;"",O1145,IF(L1145&lt;&gt;"",L1145,F1145)))</f>
        <v>1</v>
      </c>
    </row>
    <row r="1146" customFormat="false" ht="15" hidden="false" customHeight="true" outlineLevel="0" collapsed="false">
      <c r="A1146" s="30" t="s">
        <v>145</v>
      </c>
      <c r="B1146" s="30" t="s">
        <v>146</v>
      </c>
      <c r="C1146" s="21" t="n">
        <f aca="false">IF(A1146="","",IFERROR(VLOOKUP(A1146,'Recert Status'!$A$8:$C$400,3,FALSE()),""))</f>
        <v>46752</v>
      </c>
      <c r="D1146" s="31" t="s">
        <v>865</v>
      </c>
      <c r="E1146" s="30" t="s">
        <v>542</v>
      </c>
      <c r="F1146" s="32" t="n">
        <v>1</v>
      </c>
      <c r="G1146" s="33" t="n">
        <v>46056</v>
      </c>
      <c r="H1146" s="33" t="n">
        <v>46056</v>
      </c>
      <c r="I1146" s="31" t="s">
        <v>866</v>
      </c>
      <c r="J1146" s="30" t="s">
        <v>542</v>
      </c>
      <c r="K1146" s="31" t="s">
        <v>422</v>
      </c>
      <c r="L1146" s="32" t="n">
        <v>1</v>
      </c>
      <c r="M1146" s="40" t="s">
        <v>423</v>
      </c>
      <c r="N1146" s="31" t="s">
        <v>424</v>
      </c>
      <c r="O1146" s="32" t="n">
        <v>1</v>
      </c>
      <c r="P1146" s="15" t="n">
        <f aca="false">IF(A1146="","",IF(O1146&lt;&gt;"",O1146,IF(L1146&lt;&gt;"",L1146,F1146)))</f>
        <v>1</v>
      </c>
    </row>
    <row r="1147" customFormat="false" ht="15" hidden="false" customHeight="true" outlineLevel="0" collapsed="false">
      <c r="A1147" s="26" t="s">
        <v>145</v>
      </c>
      <c r="B1147" s="26" t="s">
        <v>146</v>
      </c>
      <c r="C1147" s="14" t="n">
        <f aca="false">IF(A1147="","",IFERROR(VLOOKUP(A1147,'Recert Status'!$A$8:$C$400,3,FALSE()),""))</f>
        <v>46752</v>
      </c>
      <c r="D1147" s="18" t="s">
        <v>951</v>
      </c>
      <c r="E1147" s="26" t="s">
        <v>426</v>
      </c>
      <c r="F1147" s="27" t="n">
        <v>1</v>
      </c>
      <c r="G1147" s="28" t="n">
        <v>45912</v>
      </c>
      <c r="H1147" s="28" t="n">
        <v>45912</v>
      </c>
      <c r="I1147" s="18" t="s">
        <v>952</v>
      </c>
      <c r="J1147" s="26" t="s">
        <v>426</v>
      </c>
      <c r="K1147" s="18" t="s">
        <v>428</v>
      </c>
      <c r="L1147" s="27" t="n">
        <v>1</v>
      </c>
      <c r="M1147" s="41" t="s">
        <v>429</v>
      </c>
      <c r="N1147" s="18" t="s">
        <v>430</v>
      </c>
      <c r="O1147" s="27" t="n">
        <v>1</v>
      </c>
      <c r="P1147" s="15" t="n">
        <f aca="false">IF(A1147="","",IF(O1147&lt;&gt;"",O1147,IF(L1147&lt;&gt;"",L1147,F1147)))</f>
        <v>1</v>
      </c>
    </row>
    <row r="1148" customFormat="false" ht="15" hidden="false" customHeight="true" outlineLevel="0" collapsed="false">
      <c r="A1148" s="30" t="s">
        <v>145</v>
      </c>
      <c r="B1148" s="30" t="s">
        <v>146</v>
      </c>
      <c r="C1148" s="21" t="n">
        <f aca="false">IF(A1148="","",IFERROR(VLOOKUP(A1148,'Recert Status'!$A$8:$C$400,3,FALSE()),""))</f>
        <v>46752</v>
      </c>
      <c r="D1148" s="31" t="s">
        <v>732</v>
      </c>
      <c r="E1148" s="30" t="s">
        <v>372</v>
      </c>
      <c r="F1148" s="32" t="n">
        <v>2</v>
      </c>
      <c r="G1148" s="33" t="n">
        <v>46140</v>
      </c>
      <c r="H1148" s="33" t="n">
        <v>46140</v>
      </c>
      <c r="I1148" s="31" t="s">
        <v>1296</v>
      </c>
      <c r="J1148" s="30" t="s">
        <v>372</v>
      </c>
      <c r="K1148" s="31" t="s">
        <v>766</v>
      </c>
      <c r="L1148" s="32" t="n">
        <v>2</v>
      </c>
      <c r="M1148" s="34" t="s">
        <v>375</v>
      </c>
      <c r="N1148" s="31" t="s">
        <v>376</v>
      </c>
      <c r="O1148" s="32" t="n">
        <v>2</v>
      </c>
      <c r="P1148" s="15" t="n">
        <f aca="false">IF(A1148="","",IF(O1148&lt;&gt;"",O1148,IF(L1148&lt;&gt;"",L1148,F1148)))</f>
        <v>2</v>
      </c>
    </row>
    <row r="1149" customFormat="false" ht="15" hidden="false" customHeight="true" outlineLevel="0" collapsed="false">
      <c r="A1149" s="26" t="s">
        <v>145</v>
      </c>
      <c r="B1149" s="26" t="s">
        <v>146</v>
      </c>
      <c r="C1149" s="14" t="n">
        <f aca="false">IF(A1149="","",IFERROR(VLOOKUP(A1149,'Recert Status'!$A$8:$C$400,3,FALSE()),""))</f>
        <v>46752</v>
      </c>
      <c r="D1149" s="18" t="s">
        <v>571</v>
      </c>
      <c r="E1149" s="26" t="n">
        <v>29675</v>
      </c>
      <c r="F1149" s="27" t="n">
        <v>1</v>
      </c>
      <c r="G1149" s="28" t="n">
        <v>45924</v>
      </c>
      <c r="H1149" s="28" t="n">
        <v>45924</v>
      </c>
      <c r="I1149" s="18" t="s">
        <v>572</v>
      </c>
      <c r="J1149" s="26" t="s">
        <v>406</v>
      </c>
      <c r="K1149" s="18" t="s">
        <v>468</v>
      </c>
      <c r="L1149" s="27" t="n">
        <v>1</v>
      </c>
      <c r="M1149" s="35" t="s">
        <v>386</v>
      </c>
      <c r="N1149" s="18" t="s">
        <v>387</v>
      </c>
      <c r="O1149" s="27" t="n">
        <v>1</v>
      </c>
      <c r="P1149" s="15" t="n">
        <f aca="false">IF(A1149="","",IF(O1149&lt;&gt;"",O1149,IF(L1149&lt;&gt;"",L1149,F1149)))</f>
        <v>1</v>
      </c>
    </row>
    <row r="1150" customFormat="false" ht="15" hidden="false" customHeight="true" outlineLevel="0" collapsed="false">
      <c r="A1150" s="30" t="s">
        <v>145</v>
      </c>
      <c r="B1150" s="30" t="s">
        <v>146</v>
      </c>
      <c r="C1150" s="21" t="n">
        <f aca="false">IF(A1150="","",IFERROR(VLOOKUP(A1150,'Recert Status'!$A$8:$C$400,3,FALSE()),""))</f>
        <v>46752</v>
      </c>
      <c r="D1150" s="31" t="s">
        <v>554</v>
      </c>
      <c r="E1150" s="30" t="n">
        <v>29668</v>
      </c>
      <c r="F1150" s="32" t="n">
        <v>1.5</v>
      </c>
      <c r="G1150" s="33" t="n">
        <v>45973</v>
      </c>
      <c r="H1150" s="33" t="n">
        <v>45973</v>
      </c>
      <c r="I1150" s="31" t="s">
        <v>555</v>
      </c>
      <c r="J1150" s="30" t="s">
        <v>511</v>
      </c>
      <c r="K1150" s="31" t="s">
        <v>509</v>
      </c>
      <c r="L1150" s="32" t="n">
        <v>1.5</v>
      </c>
      <c r="M1150" s="35" t="s">
        <v>386</v>
      </c>
      <c r="N1150" s="31" t="s">
        <v>387</v>
      </c>
      <c r="O1150" s="32" t="n">
        <v>1.5</v>
      </c>
      <c r="P1150" s="15" t="n">
        <f aca="false">IF(A1150="","",IF(O1150&lt;&gt;"",O1150,IF(L1150&lt;&gt;"",L1150,F1150)))</f>
        <v>1.5</v>
      </c>
    </row>
    <row r="1151" customFormat="false" ht="15" hidden="false" customHeight="true" outlineLevel="0" collapsed="false">
      <c r="A1151" s="26" t="s">
        <v>145</v>
      </c>
      <c r="B1151" s="26" t="s">
        <v>146</v>
      </c>
      <c r="C1151" s="14" t="n">
        <f aca="false">IF(A1151="","",IFERROR(VLOOKUP(A1151,'Recert Status'!$A$8:$C$400,3,FALSE()),""))</f>
        <v>46752</v>
      </c>
      <c r="D1151" s="18" t="s">
        <v>447</v>
      </c>
      <c r="E1151" s="26" t="n">
        <v>29675</v>
      </c>
      <c r="F1151" s="27" t="n">
        <v>1</v>
      </c>
      <c r="G1151" s="28" t="n">
        <v>45987</v>
      </c>
      <c r="H1151" s="28" t="n">
        <v>45987</v>
      </c>
      <c r="I1151" s="18" t="s">
        <v>683</v>
      </c>
      <c r="J1151" s="26" t="s">
        <v>406</v>
      </c>
      <c r="K1151" s="18" t="s">
        <v>446</v>
      </c>
      <c r="L1151" s="27" t="n">
        <v>1</v>
      </c>
      <c r="M1151" s="35" t="s">
        <v>386</v>
      </c>
      <c r="N1151" s="18" t="s">
        <v>387</v>
      </c>
      <c r="O1151" s="27" t="n">
        <v>1</v>
      </c>
      <c r="P1151" s="15" t="n">
        <f aca="false">IF(A1151="","",IF(O1151&lt;&gt;"",O1151,IF(L1151&lt;&gt;"",L1151,F1151)))</f>
        <v>1</v>
      </c>
    </row>
    <row r="1152" customFormat="false" ht="15" hidden="false" customHeight="true" outlineLevel="0" collapsed="false">
      <c r="A1152" s="30" t="s">
        <v>145</v>
      </c>
      <c r="B1152" s="30" t="s">
        <v>146</v>
      </c>
      <c r="C1152" s="21" t="n">
        <f aca="false">IF(A1152="","",IFERROR(VLOOKUP(A1152,'Recert Status'!$A$8:$C$400,3,FALSE()),""))</f>
        <v>46752</v>
      </c>
      <c r="D1152" s="31" t="s">
        <v>1297</v>
      </c>
      <c r="E1152" s="30" t="s">
        <v>389</v>
      </c>
      <c r="F1152" s="32" t="n">
        <v>1.5</v>
      </c>
      <c r="G1152" s="33" t="n">
        <v>46011</v>
      </c>
      <c r="H1152" s="33" t="n">
        <v>46011</v>
      </c>
      <c r="I1152" s="31" t="s">
        <v>1298</v>
      </c>
      <c r="J1152" s="30" t="s">
        <v>389</v>
      </c>
      <c r="K1152" s="31" t="s">
        <v>451</v>
      </c>
      <c r="L1152" s="32" t="n">
        <v>1.5</v>
      </c>
      <c r="M1152" s="35" t="s">
        <v>386</v>
      </c>
      <c r="N1152" s="31" t="s">
        <v>387</v>
      </c>
      <c r="O1152" s="32" t="n">
        <v>1.5</v>
      </c>
      <c r="P1152" s="15" t="n">
        <f aca="false">IF(A1152="","",IF(O1152&lt;&gt;"",O1152,IF(L1152&lt;&gt;"",L1152,F1152)))</f>
        <v>1.5</v>
      </c>
    </row>
    <row r="1153" customFormat="false" ht="15" hidden="false" customHeight="true" outlineLevel="0" collapsed="false">
      <c r="A1153" s="26" t="s">
        <v>145</v>
      </c>
      <c r="B1153" s="26" t="s">
        <v>146</v>
      </c>
      <c r="C1153" s="14" t="n">
        <f aca="false">IF(A1153="","",IFERROR(VLOOKUP(A1153,'Recert Status'!$A$8:$C$400,3,FALSE()),""))</f>
        <v>46752</v>
      </c>
      <c r="D1153" s="18" t="s">
        <v>1297</v>
      </c>
      <c r="E1153" s="26" t="s">
        <v>389</v>
      </c>
      <c r="F1153" s="27" t="n">
        <v>1.5</v>
      </c>
      <c r="G1153" s="28" t="n">
        <v>46011</v>
      </c>
      <c r="H1153" s="28" t="n">
        <v>46011</v>
      </c>
      <c r="I1153" s="18" t="s">
        <v>1298</v>
      </c>
      <c r="J1153" s="26" t="s">
        <v>389</v>
      </c>
      <c r="K1153" s="18" t="s">
        <v>451</v>
      </c>
      <c r="L1153" s="27" t="n">
        <v>1.5</v>
      </c>
      <c r="M1153" s="35" t="s">
        <v>386</v>
      </c>
      <c r="N1153" s="18" t="s">
        <v>387</v>
      </c>
      <c r="O1153" s="27" t="n">
        <v>1.5</v>
      </c>
      <c r="P1153" s="15" t="n">
        <f aca="false">IF(A1153="","",IF(O1153&lt;&gt;"",O1153,IF(L1153&lt;&gt;"",L1153,F1153)))</f>
        <v>1.5</v>
      </c>
    </row>
    <row r="1154" customFormat="false" ht="15" hidden="false" customHeight="true" outlineLevel="0" collapsed="false">
      <c r="A1154" s="30" t="s">
        <v>145</v>
      </c>
      <c r="B1154" s="30" t="s">
        <v>146</v>
      </c>
      <c r="C1154" s="21" t="n">
        <f aca="false">IF(A1154="","",IFERROR(VLOOKUP(A1154,'Recert Status'!$A$8:$C$400,3,FALSE()),""))</f>
        <v>46752</v>
      </c>
      <c r="D1154" s="31" t="s">
        <v>787</v>
      </c>
      <c r="E1154" s="30" t="n">
        <v>29784</v>
      </c>
      <c r="F1154" s="32" t="n">
        <v>1.5</v>
      </c>
      <c r="G1154" s="33" t="n">
        <v>46011</v>
      </c>
      <c r="H1154" s="33" t="n">
        <v>46011</v>
      </c>
      <c r="I1154" s="31" t="s">
        <v>1299</v>
      </c>
      <c r="J1154" s="30" t="s">
        <v>435</v>
      </c>
      <c r="K1154" s="31" t="s">
        <v>468</v>
      </c>
      <c r="L1154" s="32" t="n">
        <v>1.5</v>
      </c>
      <c r="M1154" s="35" t="s">
        <v>386</v>
      </c>
      <c r="N1154" s="31" t="s">
        <v>387</v>
      </c>
      <c r="O1154" s="32" t="n">
        <v>1.5</v>
      </c>
      <c r="P1154" s="15" t="n">
        <f aca="false">IF(A1154="","",IF(O1154&lt;&gt;"",O1154,IF(L1154&lt;&gt;"",L1154,F1154)))</f>
        <v>1.5</v>
      </c>
    </row>
    <row r="1155" customFormat="false" ht="15" hidden="false" customHeight="true" outlineLevel="0" collapsed="false">
      <c r="A1155" s="26" t="s">
        <v>145</v>
      </c>
      <c r="B1155" s="26" t="s">
        <v>146</v>
      </c>
      <c r="C1155" s="14" t="n">
        <f aca="false">IF(A1155="","",IFERROR(VLOOKUP(A1155,'Recert Status'!$A$8:$C$400,3,FALSE()),""))</f>
        <v>46752</v>
      </c>
      <c r="D1155" s="18" t="s">
        <v>387</v>
      </c>
      <c r="E1155" s="26" t="s">
        <v>389</v>
      </c>
      <c r="F1155" s="27" t="n">
        <v>1</v>
      </c>
      <c r="G1155" s="28" t="n">
        <v>46230</v>
      </c>
      <c r="H1155" s="28" t="n">
        <v>46230</v>
      </c>
      <c r="I1155" s="18" t="s">
        <v>1224</v>
      </c>
      <c r="J1155" s="26" t="s">
        <v>389</v>
      </c>
      <c r="K1155" s="18" t="s">
        <v>451</v>
      </c>
      <c r="L1155" s="27" t="n">
        <v>1</v>
      </c>
      <c r="M1155" s="35" t="s">
        <v>386</v>
      </c>
      <c r="N1155" s="18" t="s">
        <v>387</v>
      </c>
      <c r="O1155" s="27" t="n">
        <v>1</v>
      </c>
      <c r="P1155" s="15" t="n">
        <f aca="false">IF(A1155="","",IF(O1155&lt;&gt;"",O1155,IF(L1155&lt;&gt;"",L1155,F1155)))</f>
        <v>1</v>
      </c>
    </row>
    <row r="1156" customFormat="false" ht="15" hidden="false" customHeight="true" outlineLevel="0" collapsed="false">
      <c r="A1156" s="30" t="s">
        <v>145</v>
      </c>
      <c r="B1156" s="30" t="s">
        <v>146</v>
      </c>
      <c r="C1156" s="21" t="n">
        <f aca="false">IF(A1156="","",IFERROR(VLOOKUP(A1156,'Recert Status'!$A$8:$C$400,3,FALSE()),""))</f>
        <v>46752</v>
      </c>
      <c r="D1156" s="31" t="s">
        <v>575</v>
      </c>
      <c r="E1156" s="30" t="n">
        <v>29769</v>
      </c>
      <c r="F1156" s="32" t="n">
        <v>0.5</v>
      </c>
      <c r="G1156" s="33" t="n">
        <v>45855</v>
      </c>
      <c r="H1156" s="33" t="n">
        <v>45855</v>
      </c>
      <c r="I1156" s="31" t="s">
        <v>576</v>
      </c>
      <c r="J1156" s="30" t="s">
        <v>517</v>
      </c>
      <c r="K1156" s="31" t="s">
        <v>412</v>
      </c>
      <c r="L1156" s="32" t="n">
        <v>0.5</v>
      </c>
      <c r="M1156" s="36" t="s">
        <v>396</v>
      </c>
      <c r="N1156" s="31" t="s">
        <v>397</v>
      </c>
      <c r="O1156" s="32" t="n">
        <v>0.5</v>
      </c>
      <c r="P1156" s="15" t="n">
        <f aca="false">IF(A1156="","",IF(O1156&lt;&gt;"",O1156,IF(L1156&lt;&gt;"",L1156,F1156)))</f>
        <v>0.5</v>
      </c>
    </row>
    <row r="1157" customFormat="false" ht="15" hidden="false" customHeight="true" outlineLevel="0" collapsed="false">
      <c r="A1157" s="26" t="s">
        <v>145</v>
      </c>
      <c r="B1157" s="26" t="s">
        <v>146</v>
      </c>
      <c r="C1157" s="14" t="n">
        <f aca="false">IF(A1157="","",IFERROR(VLOOKUP(A1157,'Recert Status'!$A$8:$C$400,3,FALSE()),""))</f>
        <v>46752</v>
      </c>
      <c r="D1157" s="18" t="s">
        <v>1300</v>
      </c>
      <c r="E1157" s="26" t="s">
        <v>452</v>
      </c>
      <c r="F1157" s="27" t="n">
        <v>1.5</v>
      </c>
      <c r="G1157" s="28" t="n">
        <v>46011</v>
      </c>
      <c r="H1157" s="28" t="n">
        <v>46011</v>
      </c>
      <c r="I1157" s="18" t="s">
        <v>1301</v>
      </c>
      <c r="J1157" s="26" t="s">
        <v>452</v>
      </c>
      <c r="K1157" s="18" t="s">
        <v>385</v>
      </c>
      <c r="L1157" s="27" t="n">
        <v>1.5</v>
      </c>
      <c r="M1157" s="36" t="s">
        <v>396</v>
      </c>
      <c r="N1157" s="18" t="s">
        <v>397</v>
      </c>
      <c r="O1157" s="27" t="n">
        <v>1.5</v>
      </c>
      <c r="P1157" s="15" t="n">
        <f aca="false">IF(A1157="","",IF(O1157&lt;&gt;"",O1157,IF(L1157&lt;&gt;"",L1157,F1157)))</f>
        <v>1.5</v>
      </c>
    </row>
    <row r="1158" customFormat="false" ht="15" hidden="false" customHeight="true" outlineLevel="0" collapsed="false">
      <c r="A1158" s="30" t="s">
        <v>145</v>
      </c>
      <c r="B1158" s="30" t="s">
        <v>146</v>
      </c>
      <c r="C1158" s="21" t="n">
        <f aca="false">IF(A1158="","",IFERROR(VLOOKUP(A1158,'Recert Status'!$A$8:$C$400,3,FALSE()),""))</f>
        <v>46752</v>
      </c>
      <c r="D1158" s="31" t="s">
        <v>1302</v>
      </c>
      <c r="E1158" s="30" t="s">
        <v>452</v>
      </c>
      <c r="F1158" s="32" t="n">
        <v>1</v>
      </c>
      <c r="G1158" s="33" t="n">
        <v>46017</v>
      </c>
      <c r="H1158" s="33" t="n">
        <v>46017</v>
      </c>
      <c r="I1158" s="31" t="s">
        <v>1303</v>
      </c>
      <c r="J1158" s="30" t="s">
        <v>452</v>
      </c>
      <c r="K1158" s="31" t="s">
        <v>385</v>
      </c>
      <c r="L1158" s="32" t="n">
        <v>1</v>
      </c>
      <c r="M1158" s="36" t="s">
        <v>396</v>
      </c>
      <c r="N1158" s="31" t="s">
        <v>397</v>
      </c>
      <c r="O1158" s="32" t="n">
        <v>1</v>
      </c>
      <c r="P1158" s="15" t="n">
        <f aca="false">IF(A1158="","",IF(O1158&lt;&gt;"",O1158,IF(L1158&lt;&gt;"",L1158,F1158)))</f>
        <v>1</v>
      </c>
    </row>
    <row r="1159" customFormat="false" ht="15" hidden="false" customHeight="true" outlineLevel="0" collapsed="false">
      <c r="A1159" s="26" t="s">
        <v>145</v>
      </c>
      <c r="B1159" s="26" t="s">
        <v>146</v>
      </c>
      <c r="C1159" s="14" t="n">
        <f aca="false">IF(A1159="","",IFERROR(VLOOKUP(A1159,'Recert Status'!$A$8:$C$400,3,FALSE()),""))</f>
        <v>46752</v>
      </c>
      <c r="D1159" s="18" t="s">
        <v>397</v>
      </c>
      <c r="E1159" s="26" t="s">
        <v>452</v>
      </c>
      <c r="F1159" s="27" t="n">
        <v>2</v>
      </c>
      <c r="G1159" s="28" t="n">
        <v>46236</v>
      </c>
      <c r="H1159" s="28" t="n">
        <v>46236</v>
      </c>
      <c r="I1159" s="18" t="s">
        <v>966</v>
      </c>
      <c r="J1159" s="26" t="s">
        <v>452</v>
      </c>
      <c r="K1159" s="18" t="s">
        <v>385</v>
      </c>
      <c r="L1159" s="27" t="n">
        <v>2</v>
      </c>
      <c r="M1159" s="36" t="s">
        <v>396</v>
      </c>
      <c r="N1159" s="18" t="s">
        <v>397</v>
      </c>
      <c r="O1159" s="27" t="n">
        <v>2</v>
      </c>
      <c r="P1159" s="15" t="n">
        <f aca="false">IF(A1159="","",IF(O1159&lt;&gt;"",O1159,IF(L1159&lt;&gt;"",L1159,F1159)))</f>
        <v>2</v>
      </c>
    </row>
    <row r="1160" customFormat="false" ht="15" hidden="false" customHeight="true" outlineLevel="0" collapsed="false">
      <c r="A1160" s="30" t="s">
        <v>145</v>
      </c>
      <c r="B1160" s="30" t="s">
        <v>146</v>
      </c>
      <c r="C1160" s="21" t="n">
        <f aca="false">IF(A1160="","",IFERROR(VLOOKUP(A1160,'Recert Status'!$A$8:$C$400,3,FALSE()),""))</f>
        <v>46752</v>
      </c>
      <c r="D1160" s="31" t="s">
        <v>397</v>
      </c>
      <c r="E1160" s="30" t="s">
        <v>452</v>
      </c>
      <c r="F1160" s="32" t="n">
        <v>1</v>
      </c>
      <c r="G1160" s="33" t="n">
        <v>46245</v>
      </c>
      <c r="H1160" s="33" t="n">
        <v>46245</v>
      </c>
      <c r="I1160" s="31" t="s">
        <v>605</v>
      </c>
      <c r="J1160" s="30" t="s">
        <v>452</v>
      </c>
      <c r="K1160" s="31" t="s">
        <v>385</v>
      </c>
      <c r="L1160" s="32" t="n">
        <v>1</v>
      </c>
      <c r="M1160" s="36" t="s">
        <v>396</v>
      </c>
      <c r="N1160" s="31" t="s">
        <v>397</v>
      </c>
      <c r="O1160" s="32" t="n">
        <v>1</v>
      </c>
      <c r="P1160" s="15" t="n">
        <f aca="false">IF(A1160="","",IF(O1160&lt;&gt;"",O1160,IF(L1160&lt;&gt;"",L1160,F1160)))</f>
        <v>1</v>
      </c>
    </row>
    <row r="1161" customFormat="false" ht="15" hidden="false" customHeight="true" outlineLevel="0" collapsed="false">
      <c r="A1161" s="26" t="s">
        <v>145</v>
      </c>
      <c r="B1161" s="26" t="s">
        <v>146</v>
      </c>
      <c r="C1161" s="14" t="n">
        <f aca="false">IF(A1161="","",IFERROR(VLOOKUP(A1161,'Recert Status'!$A$8:$C$400,3,FALSE()),""))</f>
        <v>46752</v>
      </c>
      <c r="D1161" s="18" t="s">
        <v>955</v>
      </c>
      <c r="E1161" s="26" t="s">
        <v>399</v>
      </c>
      <c r="F1161" s="27" t="n">
        <v>1</v>
      </c>
      <c r="G1161" s="28" t="n">
        <v>45972</v>
      </c>
      <c r="H1161" s="28" t="n">
        <v>45972</v>
      </c>
      <c r="I1161" s="18" t="s">
        <v>956</v>
      </c>
      <c r="J1161" s="26" t="s">
        <v>399</v>
      </c>
      <c r="K1161" s="18" t="s">
        <v>401</v>
      </c>
      <c r="L1161" s="27" t="n">
        <v>1</v>
      </c>
      <c r="M1161" s="37" t="s">
        <v>402</v>
      </c>
      <c r="N1161" s="18" t="s">
        <v>403</v>
      </c>
      <c r="O1161" s="27" t="n">
        <v>1</v>
      </c>
      <c r="P1161" s="15" t="n">
        <f aca="false">IF(A1161="","",IF(O1161&lt;&gt;"",O1161,IF(L1161&lt;&gt;"",L1161,F1161)))</f>
        <v>1</v>
      </c>
    </row>
    <row r="1162" customFormat="false" ht="15" hidden="false" customHeight="true" outlineLevel="0" collapsed="false">
      <c r="A1162" s="30" t="s">
        <v>145</v>
      </c>
      <c r="B1162" s="30" t="s">
        <v>146</v>
      </c>
      <c r="C1162" s="21" t="n">
        <f aca="false">IF(A1162="","",IFERROR(VLOOKUP(A1162,'Recert Status'!$A$8:$C$400,3,FALSE()),""))</f>
        <v>46752</v>
      </c>
      <c r="D1162" s="31" t="s">
        <v>578</v>
      </c>
      <c r="E1162" s="30" t="s">
        <v>416</v>
      </c>
      <c r="F1162" s="32" t="n">
        <v>5</v>
      </c>
      <c r="G1162" s="33" t="n">
        <v>45825</v>
      </c>
      <c r="H1162" s="33" t="n">
        <v>45825</v>
      </c>
      <c r="I1162" s="31" t="s">
        <v>579</v>
      </c>
      <c r="J1162" s="30" t="s">
        <v>416</v>
      </c>
      <c r="K1162" s="31" t="s">
        <v>418</v>
      </c>
      <c r="L1162" s="32" t="n">
        <v>5</v>
      </c>
      <c r="M1162" s="39" t="s">
        <v>413</v>
      </c>
      <c r="N1162" s="31" t="s">
        <v>414</v>
      </c>
      <c r="O1162" s="32" t="n">
        <v>5</v>
      </c>
      <c r="P1162" s="15" t="n">
        <f aca="false">IF(A1162="","",IF(O1162&lt;&gt;"",O1162,IF(L1162&lt;&gt;"",L1162,F1162)))</f>
        <v>5</v>
      </c>
    </row>
    <row r="1163" customFormat="false" ht="15" hidden="false" customHeight="true" outlineLevel="0" collapsed="false">
      <c r="A1163" s="26" t="s">
        <v>145</v>
      </c>
      <c r="B1163" s="26" t="s">
        <v>146</v>
      </c>
      <c r="C1163" s="14" t="n">
        <f aca="false">IF(A1163="","",IFERROR(VLOOKUP(A1163,'Recert Status'!$A$8:$C$400,3,FALSE()),""))</f>
        <v>46752</v>
      </c>
      <c r="D1163" s="18" t="s">
        <v>957</v>
      </c>
      <c r="E1163" s="26" t="s">
        <v>416</v>
      </c>
      <c r="F1163" s="27" t="n">
        <v>1</v>
      </c>
      <c r="G1163" s="28" t="n">
        <v>45843</v>
      </c>
      <c r="H1163" s="28" t="n">
        <v>45843</v>
      </c>
      <c r="I1163" s="18" t="s">
        <v>958</v>
      </c>
      <c r="J1163" s="26" t="s">
        <v>416</v>
      </c>
      <c r="K1163" s="18" t="s">
        <v>674</v>
      </c>
      <c r="L1163" s="27" t="n">
        <v>1</v>
      </c>
      <c r="M1163" s="39" t="s">
        <v>413</v>
      </c>
      <c r="N1163" s="18" t="s">
        <v>414</v>
      </c>
      <c r="O1163" s="27" t="n">
        <v>1</v>
      </c>
      <c r="P1163" s="15" t="n">
        <f aca="false">IF(A1163="","",IF(O1163&lt;&gt;"",O1163,IF(L1163&lt;&gt;"",L1163,F1163)))</f>
        <v>1</v>
      </c>
    </row>
    <row r="1164" customFormat="false" ht="15" hidden="false" customHeight="true" outlineLevel="0" collapsed="false">
      <c r="A1164" s="30" t="s">
        <v>145</v>
      </c>
      <c r="B1164" s="30" t="s">
        <v>146</v>
      </c>
      <c r="C1164" s="21" t="n">
        <f aca="false">IF(A1164="","",IFERROR(VLOOKUP(A1164,'Recert Status'!$A$8:$C$400,3,FALSE()),""))</f>
        <v>46752</v>
      </c>
      <c r="D1164" s="31" t="s">
        <v>959</v>
      </c>
      <c r="E1164" s="30" t="s">
        <v>416</v>
      </c>
      <c r="F1164" s="32" t="n">
        <v>3</v>
      </c>
      <c r="G1164" s="33" t="n">
        <v>46083</v>
      </c>
      <c r="H1164" s="33" t="n">
        <v>46083</v>
      </c>
      <c r="I1164" s="31" t="s">
        <v>960</v>
      </c>
      <c r="J1164" s="30" t="s">
        <v>416</v>
      </c>
      <c r="K1164" s="31" t="s">
        <v>418</v>
      </c>
      <c r="L1164" s="32" t="n">
        <v>3</v>
      </c>
      <c r="M1164" s="39" t="s">
        <v>413</v>
      </c>
      <c r="N1164" s="31" t="s">
        <v>414</v>
      </c>
      <c r="O1164" s="32" t="n">
        <v>3</v>
      </c>
      <c r="P1164" s="15" t="n">
        <f aca="false">IF(A1164="","",IF(O1164&lt;&gt;"",O1164,IF(L1164&lt;&gt;"",L1164,F1164)))</f>
        <v>3</v>
      </c>
    </row>
    <row r="1165" customFormat="false" ht="15" hidden="false" customHeight="true" outlineLevel="0" collapsed="false">
      <c r="A1165" s="26" t="s">
        <v>145</v>
      </c>
      <c r="B1165" s="26" t="s">
        <v>146</v>
      </c>
      <c r="C1165" s="14" t="n">
        <f aca="false">IF(A1165="","",IFERROR(VLOOKUP(A1165,'Recert Status'!$A$8:$C$400,3,FALSE()),""))</f>
        <v>46752</v>
      </c>
      <c r="D1165" s="18" t="s">
        <v>488</v>
      </c>
      <c r="E1165" s="26" t="s">
        <v>416</v>
      </c>
      <c r="F1165" s="27" t="n">
        <v>1</v>
      </c>
      <c r="G1165" s="28" t="n">
        <v>46125</v>
      </c>
      <c r="H1165" s="28" t="n">
        <v>46125</v>
      </c>
      <c r="I1165" s="18" t="s">
        <v>608</v>
      </c>
      <c r="J1165" s="26" t="s">
        <v>416</v>
      </c>
      <c r="K1165" s="18" t="s">
        <v>490</v>
      </c>
      <c r="L1165" s="27" t="n">
        <v>1</v>
      </c>
      <c r="M1165" s="39" t="s">
        <v>413</v>
      </c>
      <c r="N1165" s="18" t="s">
        <v>414</v>
      </c>
      <c r="O1165" s="27" t="n">
        <v>1</v>
      </c>
      <c r="P1165" s="15" t="n">
        <f aca="false">IF(A1165="","",IF(O1165&lt;&gt;"",O1165,IF(L1165&lt;&gt;"",L1165,F1165)))</f>
        <v>1</v>
      </c>
    </row>
    <row r="1166" customFormat="false" ht="15" hidden="false" customHeight="true" outlineLevel="0" collapsed="false">
      <c r="A1166" s="30" t="s">
        <v>145</v>
      </c>
      <c r="B1166" s="30" t="s">
        <v>146</v>
      </c>
      <c r="C1166" s="21" t="n">
        <f aca="false">IF(A1166="","",IFERROR(VLOOKUP(A1166,'Recert Status'!$A$8:$C$400,3,FALSE()),""))</f>
        <v>46752</v>
      </c>
      <c r="D1166" s="31" t="s">
        <v>414</v>
      </c>
      <c r="E1166" s="30" t="s">
        <v>416</v>
      </c>
      <c r="F1166" s="32" t="n">
        <v>2</v>
      </c>
      <c r="G1166" s="33" t="n">
        <v>46218</v>
      </c>
      <c r="H1166" s="33" t="n">
        <v>46218</v>
      </c>
      <c r="I1166" s="31" t="s">
        <v>535</v>
      </c>
      <c r="J1166" s="30" t="s">
        <v>416</v>
      </c>
      <c r="K1166" s="31" t="s">
        <v>418</v>
      </c>
      <c r="L1166" s="32" t="n">
        <v>2</v>
      </c>
      <c r="M1166" s="39" t="s">
        <v>413</v>
      </c>
      <c r="N1166" s="31" t="s">
        <v>414</v>
      </c>
      <c r="O1166" s="32" t="n">
        <v>2</v>
      </c>
      <c r="P1166" s="15" t="n">
        <f aca="false">IF(A1166="","",IF(O1166&lt;&gt;"",O1166,IF(L1166&lt;&gt;"",L1166,F1166)))</f>
        <v>2</v>
      </c>
    </row>
    <row r="1167" customFormat="false" ht="15" hidden="false" customHeight="true" outlineLevel="0" collapsed="false">
      <c r="A1167" s="26" t="s">
        <v>147</v>
      </c>
      <c r="B1167" s="26" t="s">
        <v>148</v>
      </c>
      <c r="C1167" s="14" t="n">
        <f aca="false">IF(A1167="","",IFERROR(VLOOKUP(A1167,'Recert Status'!$A$8:$C$400,3,FALSE()),""))</f>
        <v>46387</v>
      </c>
      <c r="D1167" s="18" t="s">
        <v>367</v>
      </c>
      <c r="E1167" s="26" t="s">
        <v>363</v>
      </c>
      <c r="F1167" s="27" t="n">
        <v>1</v>
      </c>
      <c r="G1167" s="28" t="n">
        <v>46243</v>
      </c>
      <c r="H1167" s="28" t="n">
        <v>46243</v>
      </c>
      <c r="I1167" s="18" t="s">
        <v>1304</v>
      </c>
      <c r="J1167" s="26" t="s">
        <v>363</v>
      </c>
      <c r="K1167" s="18" t="s">
        <v>365</v>
      </c>
      <c r="L1167" s="27" t="n">
        <v>1</v>
      </c>
      <c r="M1167" s="29" t="s">
        <v>366</v>
      </c>
      <c r="N1167" s="18" t="s">
        <v>367</v>
      </c>
      <c r="O1167" s="27" t="n">
        <v>1</v>
      </c>
      <c r="P1167" s="15" t="n">
        <f aca="false">IF(A1167="","",IF(O1167&lt;&gt;"",O1167,IF(L1167&lt;&gt;"",L1167,F1167)))</f>
        <v>1</v>
      </c>
    </row>
    <row r="1168" customFormat="false" ht="15" hidden="false" customHeight="true" outlineLevel="0" collapsed="false">
      <c r="A1168" s="30" t="s">
        <v>147</v>
      </c>
      <c r="B1168" s="30" t="s">
        <v>148</v>
      </c>
      <c r="C1168" s="21" t="n">
        <f aca="false">IF(A1168="","",IFERROR(VLOOKUP(A1168,'Recert Status'!$A$8:$C$400,3,FALSE()),""))</f>
        <v>46387</v>
      </c>
      <c r="D1168" s="31" t="s">
        <v>544</v>
      </c>
      <c r="E1168" s="30" t="s">
        <v>426</v>
      </c>
      <c r="F1168" s="32" t="n">
        <v>0.5</v>
      </c>
      <c r="G1168" s="33" t="n">
        <v>45676</v>
      </c>
      <c r="H1168" s="33" t="n">
        <v>45676</v>
      </c>
      <c r="I1168" s="31" t="s">
        <v>545</v>
      </c>
      <c r="J1168" s="30" t="s">
        <v>426</v>
      </c>
      <c r="K1168" s="31" t="s">
        <v>428</v>
      </c>
      <c r="L1168" s="32" t="n">
        <v>0.5</v>
      </c>
      <c r="M1168" s="41" t="s">
        <v>429</v>
      </c>
      <c r="N1168" s="31" t="s">
        <v>430</v>
      </c>
      <c r="O1168" s="32" t="n">
        <v>0.5</v>
      </c>
      <c r="P1168" s="15" t="n">
        <f aca="false">IF(A1168="","",IF(O1168&lt;&gt;"",O1168,IF(L1168&lt;&gt;"",L1168,F1168)))</f>
        <v>0.5</v>
      </c>
    </row>
    <row r="1169" customFormat="false" ht="15" hidden="false" customHeight="true" outlineLevel="0" collapsed="false">
      <c r="A1169" s="26" t="s">
        <v>147</v>
      </c>
      <c r="B1169" s="26" t="s">
        <v>148</v>
      </c>
      <c r="C1169" s="14" t="n">
        <f aca="false">IF(A1169="","",IFERROR(VLOOKUP(A1169,'Recert Status'!$A$8:$C$400,3,FALSE()),""))</f>
        <v>46387</v>
      </c>
      <c r="D1169" s="18" t="s">
        <v>738</v>
      </c>
      <c r="E1169" s="26" t="s">
        <v>389</v>
      </c>
      <c r="F1169" s="27" t="n">
        <v>3</v>
      </c>
      <c r="G1169" s="28" t="n">
        <v>45971</v>
      </c>
      <c r="H1169" s="28" t="n">
        <v>45971</v>
      </c>
      <c r="I1169" s="18" t="s">
        <v>739</v>
      </c>
      <c r="J1169" s="26" t="s">
        <v>389</v>
      </c>
      <c r="K1169" s="18" t="s">
        <v>740</v>
      </c>
      <c r="L1169" s="27" t="n">
        <v>3</v>
      </c>
      <c r="M1169" s="35" t="s">
        <v>386</v>
      </c>
      <c r="N1169" s="18" t="s">
        <v>387</v>
      </c>
      <c r="O1169" s="27" t="n">
        <v>3</v>
      </c>
      <c r="P1169" s="15" t="n">
        <f aca="false">IF(A1169="","",IF(O1169&lt;&gt;"",O1169,IF(L1169&lt;&gt;"",L1169,F1169)))</f>
        <v>3</v>
      </c>
    </row>
    <row r="1170" customFormat="false" ht="15" hidden="false" customHeight="true" outlineLevel="0" collapsed="false">
      <c r="A1170" s="30" t="s">
        <v>147</v>
      </c>
      <c r="B1170" s="30" t="s">
        <v>148</v>
      </c>
      <c r="C1170" s="21" t="n">
        <f aca="false">IF(A1170="","",IFERROR(VLOOKUP(A1170,'Recert Status'!$A$8:$C$400,3,FALSE()),""))</f>
        <v>46387</v>
      </c>
      <c r="D1170" s="31" t="s">
        <v>804</v>
      </c>
      <c r="E1170" s="30" t="s">
        <v>389</v>
      </c>
      <c r="F1170" s="32" t="n">
        <v>1</v>
      </c>
      <c r="G1170" s="33" t="n">
        <v>46039</v>
      </c>
      <c r="H1170" s="33" t="n">
        <v>46039</v>
      </c>
      <c r="I1170" s="31" t="s">
        <v>805</v>
      </c>
      <c r="J1170" s="30" t="s">
        <v>389</v>
      </c>
      <c r="K1170" s="31" t="s">
        <v>451</v>
      </c>
      <c r="L1170" s="32" t="n">
        <v>1</v>
      </c>
      <c r="M1170" s="35" t="s">
        <v>386</v>
      </c>
      <c r="N1170" s="31" t="s">
        <v>387</v>
      </c>
      <c r="O1170" s="32" t="n">
        <v>1</v>
      </c>
      <c r="P1170" s="15" t="n">
        <f aca="false">IF(A1170="","",IF(O1170&lt;&gt;"",O1170,IF(L1170&lt;&gt;"",L1170,F1170)))</f>
        <v>1</v>
      </c>
    </row>
    <row r="1171" customFormat="false" ht="15" hidden="false" customHeight="true" outlineLevel="0" collapsed="false">
      <c r="A1171" s="26" t="s">
        <v>147</v>
      </c>
      <c r="B1171" s="26" t="s">
        <v>148</v>
      </c>
      <c r="C1171" s="14" t="n">
        <f aca="false">IF(A1171="","",IFERROR(VLOOKUP(A1171,'Recert Status'!$A$8:$C$400,3,FALSE()),""))</f>
        <v>46387</v>
      </c>
      <c r="D1171" s="18" t="s">
        <v>387</v>
      </c>
      <c r="E1171" s="26" t="s">
        <v>389</v>
      </c>
      <c r="F1171" s="27" t="n">
        <v>1</v>
      </c>
      <c r="G1171" s="28" t="n">
        <v>46243</v>
      </c>
      <c r="H1171" s="28" t="n">
        <v>46243</v>
      </c>
      <c r="I1171" s="18" t="s">
        <v>1305</v>
      </c>
      <c r="J1171" s="26" t="s">
        <v>389</v>
      </c>
      <c r="K1171" s="18" t="s">
        <v>1221</v>
      </c>
      <c r="L1171" s="27" t="n">
        <v>1</v>
      </c>
      <c r="M1171" s="35" t="s">
        <v>386</v>
      </c>
      <c r="N1171" s="18" t="s">
        <v>387</v>
      </c>
      <c r="O1171" s="27" t="n">
        <v>1</v>
      </c>
      <c r="P1171" s="15" t="n">
        <f aca="false">IF(A1171="","",IF(O1171&lt;&gt;"",O1171,IF(L1171&lt;&gt;"",L1171,F1171)))</f>
        <v>1</v>
      </c>
    </row>
    <row r="1172" customFormat="false" ht="15" hidden="false" customHeight="true" outlineLevel="0" collapsed="false">
      <c r="A1172" s="30" t="s">
        <v>147</v>
      </c>
      <c r="B1172" s="30" t="s">
        <v>148</v>
      </c>
      <c r="C1172" s="21" t="n">
        <f aca="false">IF(A1172="","",IFERROR(VLOOKUP(A1172,'Recert Status'!$A$8:$C$400,3,FALSE()),""))</f>
        <v>46387</v>
      </c>
      <c r="D1172" s="31" t="s">
        <v>557</v>
      </c>
      <c r="E1172" s="30" t="n">
        <v>35513</v>
      </c>
      <c r="F1172" s="32" t="n">
        <v>1</v>
      </c>
      <c r="G1172" s="33" t="n">
        <v>45688</v>
      </c>
      <c r="H1172" s="33" t="n">
        <v>45688</v>
      </c>
      <c r="I1172" s="31" t="s">
        <v>558</v>
      </c>
      <c r="J1172" s="30" t="s">
        <v>384</v>
      </c>
      <c r="K1172" s="31" t="s">
        <v>407</v>
      </c>
      <c r="L1172" s="32" t="n">
        <v>1</v>
      </c>
      <c r="M1172" s="36" t="s">
        <v>396</v>
      </c>
      <c r="N1172" s="31" t="s">
        <v>397</v>
      </c>
      <c r="O1172" s="32" t="n">
        <v>1</v>
      </c>
      <c r="P1172" s="15" t="n">
        <f aca="false">IF(A1172="","",IF(O1172&lt;&gt;"",O1172,IF(L1172&lt;&gt;"",L1172,F1172)))</f>
        <v>1</v>
      </c>
    </row>
    <row r="1173" customFormat="false" ht="15" hidden="false" customHeight="true" outlineLevel="0" collapsed="false">
      <c r="A1173" s="26" t="s">
        <v>147</v>
      </c>
      <c r="B1173" s="26" t="s">
        <v>148</v>
      </c>
      <c r="C1173" s="14" t="n">
        <f aca="false">IF(A1173="","",IFERROR(VLOOKUP(A1173,'Recert Status'!$A$8:$C$400,3,FALSE()),""))</f>
        <v>46387</v>
      </c>
      <c r="D1173" s="18" t="s">
        <v>457</v>
      </c>
      <c r="E1173" s="26" t="s">
        <v>416</v>
      </c>
      <c r="F1173" s="27" t="n">
        <v>2</v>
      </c>
      <c r="G1173" s="28" t="n">
        <v>45859</v>
      </c>
      <c r="H1173" s="28" t="n">
        <v>45859</v>
      </c>
      <c r="I1173" s="18" t="s">
        <v>780</v>
      </c>
      <c r="J1173" s="26" t="s">
        <v>416</v>
      </c>
      <c r="K1173" s="18" t="s">
        <v>781</v>
      </c>
      <c r="L1173" s="27" t="n">
        <v>2</v>
      </c>
      <c r="M1173" s="39" t="s">
        <v>413</v>
      </c>
      <c r="N1173" s="18" t="s">
        <v>414</v>
      </c>
      <c r="O1173" s="27" t="n">
        <v>2</v>
      </c>
      <c r="P1173" s="15" t="n">
        <f aca="false">IF(A1173="","",IF(O1173&lt;&gt;"",O1173,IF(L1173&lt;&gt;"",L1173,F1173)))</f>
        <v>2</v>
      </c>
    </row>
    <row r="1174" customFormat="false" ht="15" hidden="false" customHeight="true" outlineLevel="0" collapsed="false">
      <c r="A1174" s="30" t="s">
        <v>147</v>
      </c>
      <c r="B1174" s="30" t="s">
        <v>148</v>
      </c>
      <c r="C1174" s="21" t="n">
        <f aca="false">IF(A1174="","",IFERROR(VLOOKUP(A1174,'Recert Status'!$A$8:$C$400,3,FALSE()),""))</f>
        <v>46387</v>
      </c>
      <c r="D1174" s="31" t="s">
        <v>719</v>
      </c>
      <c r="E1174" s="30" t="s">
        <v>416</v>
      </c>
      <c r="F1174" s="32" t="n">
        <v>2</v>
      </c>
      <c r="G1174" s="33" t="n">
        <v>45859</v>
      </c>
      <c r="H1174" s="33" t="n">
        <v>45859</v>
      </c>
      <c r="I1174" s="31" t="s">
        <v>486</v>
      </c>
      <c r="J1174" s="30" t="s">
        <v>416</v>
      </c>
      <c r="K1174" s="31" t="s">
        <v>418</v>
      </c>
      <c r="L1174" s="32" t="n">
        <v>2</v>
      </c>
      <c r="M1174" s="39" t="s">
        <v>413</v>
      </c>
      <c r="N1174" s="31" t="s">
        <v>414</v>
      </c>
      <c r="O1174" s="32" t="n">
        <v>2</v>
      </c>
      <c r="P1174" s="15" t="n">
        <f aca="false">IF(A1174="","",IF(O1174&lt;&gt;"",O1174,IF(L1174&lt;&gt;"",L1174,F1174)))</f>
        <v>2</v>
      </c>
    </row>
    <row r="1175" customFormat="false" ht="15" hidden="false" customHeight="true" outlineLevel="0" collapsed="false">
      <c r="A1175" s="26" t="s">
        <v>147</v>
      </c>
      <c r="B1175" s="26" t="s">
        <v>148</v>
      </c>
      <c r="C1175" s="14" t="n">
        <f aca="false">IF(A1175="","",IFERROR(VLOOKUP(A1175,'Recert Status'!$A$8:$C$400,3,FALSE()),""))</f>
        <v>46387</v>
      </c>
      <c r="D1175" s="18" t="s">
        <v>488</v>
      </c>
      <c r="E1175" s="26" t="s">
        <v>416</v>
      </c>
      <c r="F1175" s="27" t="n">
        <v>1</v>
      </c>
      <c r="G1175" s="28" t="n">
        <v>46126</v>
      </c>
      <c r="H1175" s="28" t="n">
        <v>46126</v>
      </c>
      <c r="I1175" s="18" t="s">
        <v>489</v>
      </c>
      <c r="J1175" s="26" t="s">
        <v>416</v>
      </c>
      <c r="K1175" s="18" t="s">
        <v>490</v>
      </c>
      <c r="L1175" s="27" t="n">
        <v>1</v>
      </c>
      <c r="M1175" s="39" t="s">
        <v>413</v>
      </c>
      <c r="N1175" s="18" t="s">
        <v>414</v>
      </c>
      <c r="O1175" s="27" t="n">
        <v>1</v>
      </c>
      <c r="P1175" s="15" t="n">
        <f aca="false">IF(A1175="","",IF(O1175&lt;&gt;"",O1175,IF(L1175&lt;&gt;"",L1175,F1175)))</f>
        <v>1</v>
      </c>
    </row>
    <row r="1176" customFormat="false" ht="15" hidden="false" customHeight="true" outlineLevel="0" collapsed="false">
      <c r="A1176" s="30" t="s">
        <v>149</v>
      </c>
      <c r="B1176" s="30"/>
      <c r="C1176" s="21" t="n">
        <f aca="false">IF(A1176="","",IFERROR(VLOOKUP(A1176,'Recert Status'!$A$8:$C$400,3,FALSE()),""))</f>
        <v>0</v>
      </c>
      <c r="D1176" s="31" t="s">
        <v>1306</v>
      </c>
      <c r="E1176" s="30" t="s">
        <v>363</v>
      </c>
      <c r="F1176" s="32" t="n">
        <v>2</v>
      </c>
      <c r="G1176" s="33" t="n">
        <v>45745</v>
      </c>
      <c r="H1176" s="33" t="n">
        <v>45745</v>
      </c>
      <c r="I1176" s="31" t="s">
        <v>1307</v>
      </c>
      <c r="J1176" s="30" t="s">
        <v>363</v>
      </c>
      <c r="K1176" s="31" t="s">
        <v>370</v>
      </c>
      <c r="L1176" s="32" t="n">
        <v>2</v>
      </c>
      <c r="M1176" s="29" t="s">
        <v>366</v>
      </c>
      <c r="N1176" s="31" t="s">
        <v>367</v>
      </c>
      <c r="O1176" s="32" t="n">
        <v>2</v>
      </c>
      <c r="P1176" s="15" t="n">
        <f aca="false">IF(A1176="","",IF(O1176&lt;&gt;"",O1176,IF(L1176&lt;&gt;"",L1176,F1176)))</f>
        <v>2</v>
      </c>
    </row>
    <row r="1177" customFormat="false" ht="15" hidden="false" customHeight="true" outlineLevel="0" collapsed="false">
      <c r="A1177" s="26" t="s">
        <v>149</v>
      </c>
      <c r="B1177" s="26"/>
      <c r="C1177" s="14" t="n">
        <f aca="false">IF(A1177="","",IFERROR(VLOOKUP(A1177,'Recert Status'!$A$8:$C$400,3,FALSE()),""))</f>
        <v>0</v>
      </c>
      <c r="D1177" s="18" t="s">
        <v>362</v>
      </c>
      <c r="E1177" s="26" t="s">
        <v>363</v>
      </c>
      <c r="F1177" s="27" t="n">
        <v>1</v>
      </c>
      <c r="G1177" s="28" t="n">
        <v>45832</v>
      </c>
      <c r="H1177" s="28" t="n">
        <v>45832</v>
      </c>
      <c r="I1177" s="18" t="s">
        <v>461</v>
      </c>
      <c r="J1177" s="26" t="s">
        <v>363</v>
      </c>
      <c r="K1177" s="18" t="s">
        <v>365</v>
      </c>
      <c r="L1177" s="27" t="n">
        <v>1</v>
      </c>
      <c r="M1177" s="29" t="s">
        <v>366</v>
      </c>
      <c r="N1177" s="18" t="s">
        <v>367</v>
      </c>
      <c r="O1177" s="27" t="n">
        <v>1</v>
      </c>
      <c r="P1177" s="15" t="n">
        <f aca="false">IF(A1177="","",IF(O1177&lt;&gt;"",O1177,IF(L1177&lt;&gt;"",L1177,F1177)))</f>
        <v>1</v>
      </c>
    </row>
    <row r="1178" customFormat="false" ht="15" hidden="false" customHeight="true" outlineLevel="0" collapsed="false">
      <c r="A1178" s="30" t="s">
        <v>149</v>
      </c>
      <c r="B1178" s="30"/>
      <c r="C1178" s="21" t="n">
        <f aca="false">IF(A1178="","",IFERROR(VLOOKUP(A1178,'Recert Status'!$A$8:$C$400,3,FALSE()),""))</f>
        <v>0</v>
      </c>
      <c r="D1178" s="31" t="s">
        <v>1308</v>
      </c>
      <c r="E1178" s="30" t="s">
        <v>426</v>
      </c>
      <c r="F1178" s="32" t="n">
        <v>2</v>
      </c>
      <c r="G1178" s="33" t="n">
        <v>45745</v>
      </c>
      <c r="H1178" s="33" t="n">
        <v>45745</v>
      </c>
      <c r="I1178" s="31" t="s">
        <v>1309</v>
      </c>
      <c r="J1178" s="30" t="s">
        <v>426</v>
      </c>
      <c r="K1178" s="31" t="s">
        <v>428</v>
      </c>
      <c r="L1178" s="32" t="n">
        <v>2</v>
      </c>
      <c r="M1178" s="41" t="s">
        <v>429</v>
      </c>
      <c r="N1178" s="31" t="s">
        <v>430</v>
      </c>
      <c r="O1178" s="32" t="n">
        <v>2</v>
      </c>
      <c r="P1178" s="15" t="n">
        <f aca="false">IF(A1178="","",IF(O1178&lt;&gt;"",O1178,IF(L1178&lt;&gt;"",L1178,F1178)))</f>
        <v>2</v>
      </c>
    </row>
    <row r="1179" customFormat="false" ht="15" hidden="false" customHeight="true" outlineLevel="0" collapsed="false">
      <c r="A1179" s="26" t="s">
        <v>149</v>
      </c>
      <c r="B1179" s="26"/>
      <c r="C1179" s="14" t="n">
        <f aca="false">IF(A1179="","",IFERROR(VLOOKUP(A1179,'Recert Status'!$A$8:$C$400,3,FALSE()),""))</f>
        <v>0</v>
      </c>
      <c r="D1179" s="18" t="s">
        <v>1310</v>
      </c>
      <c r="E1179" s="26" t="s">
        <v>426</v>
      </c>
      <c r="F1179" s="27" t="n">
        <v>0.5</v>
      </c>
      <c r="G1179" s="28" t="n">
        <v>45826</v>
      </c>
      <c r="H1179" s="28" t="n">
        <v>45826</v>
      </c>
      <c r="I1179" s="18" t="s">
        <v>1311</v>
      </c>
      <c r="J1179" s="26" t="s">
        <v>426</v>
      </c>
      <c r="K1179" s="18" t="s">
        <v>428</v>
      </c>
      <c r="L1179" s="27" t="n">
        <v>0.5</v>
      </c>
      <c r="M1179" s="41" t="s">
        <v>429</v>
      </c>
      <c r="N1179" s="18" t="s">
        <v>430</v>
      </c>
      <c r="O1179" s="27" t="n">
        <v>0.5</v>
      </c>
      <c r="P1179" s="15" t="n">
        <f aca="false">IF(A1179="","",IF(O1179&lt;&gt;"",O1179,IF(L1179&lt;&gt;"",L1179,F1179)))</f>
        <v>0.5</v>
      </c>
    </row>
    <row r="1180" customFormat="false" ht="15" hidden="false" customHeight="true" outlineLevel="0" collapsed="false">
      <c r="A1180" s="30" t="s">
        <v>149</v>
      </c>
      <c r="B1180" s="30"/>
      <c r="C1180" s="21" t="n">
        <f aca="false">IF(A1180="","",IFERROR(VLOOKUP(A1180,'Recert Status'!$A$8:$C$400,3,FALSE()),""))</f>
        <v>0</v>
      </c>
      <c r="D1180" s="31" t="s">
        <v>466</v>
      </c>
      <c r="E1180" s="30" t="n">
        <v>29784</v>
      </c>
      <c r="F1180" s="32" t="n">
        <v>0.5</v>
      </c>
      <c r="G1180" s="33" t="n">
        <v>45691</v>
      </c>
      <c r="H1180" s="33" t="n">
        <v>45691</v>
      </c>
      <c r="I1180" s="31" t="s">
        <v>467</v>
      </c>
      <c r="J1180" s="30" t="s">
        <v>435</v>
      </c>
      <c r="K1180" s="31" t="s">
        <v>468</v>
      </c>
      <c r="L1180" s="32" t="n">
        <v>0.5</v>
      </c>
      <c r="M1180" s="35" t="s">
        <v>386</v>
      </c>
      <c r="N1180" s="31" t="s">
        <v>387</v>
      </c>
      <c r="O1180" s="32" t="n">
        <v>0.5</v>
      </c>
      <c r="P1180" s="15" t="n">
        <f aca="false">IF(A1180="","",IF(O1180&lt;&gt;"",O1180,IF(L1180&lt;&gt;"",L1180,F1180)))</f>
        <v>0.5</v>
      </c>
    </row>
    <row r="1181" customFormat="false" ht="15" hidden="false" customHeight="true" outlineLevel="0" collapsed="false">
      <c r="A1181" s="26" t="s">
        <v>149</v>
      </c>
      <c r="B1181" s="26"/>
      <c r="C1181" s="14" t="n">
        <f aca="false">IF(A1181="","",IFERROR(VLOOKUP(A1181,'Recert Status'!$A$8:$C$400,3,FALSE()),""))</f>
        <v>0</v>
      </c>
      <c r="D1181" s="18" t="s">
        <v>449</v>
      </c>
      <c r="E1181" s="26" t="s">
        <v>416</v>
      </c>
      <c r="F1181" s="27" t="n">
        <v>1</v>
      </c>
      <c r="G1181" s="28" t="n">
        <v>45775</v>
      </c>
      <c r="H1181" s="28" t="n">
        <v>45775</v>
      </c>
      <c r="I1181" s="18" t="s">
        <v>809</v>
      </c>
      <c r="J1181" s="26" t="s">
        <v>416</v>
      </c>
      <c r="K1181" s="18" t="s">
        <v>674</v>
      </c>
      <c r="L1181" s="27" t="n">
        <v>1</v>
      </c>
      <c r="M1181" s="39" t="s">
        <v>413</v>
      </c>
      <c r="N1181" s="18" t="s">
        <v>414</v>
      </c>
      <c r="O1181" s="27" t="n">
        <v>1</v>
      </c>
      <c r="P1181" s="15" t="n">
        <f aca="false">IF(A1181="","",IF(O1181&lt;&gt;"",O1181,IF(L1181&lt;&gt;"",L1181,F1181)))</f>
        <v>1</v>
      </c>
    </row>
    <row r="1182" customFormat="false" ht="15" hidden="false" customHeight="true" outlineLevel="0" collapsed="false">
      <c r="A1182" s="30" t="s">
        <v>149</v>
      </c>
      <c r="B1182" s="30"/>
      <c r="C1182" s="21" t="n">
        <f aca="false">IF(A1182="","",IFERROR(VLOOKUP(A1182,'Recert Status'!$A$8:$C$400,3,FALSE()),""))</f>
        <v>0</v>
      </c>
      <c r="D1182" s="31" t="s">
        <v>483</v>
      </c>
      <c r="E1182" s="30" t="s">
        <v>416</v>
      </c>
      <c r="F1182" s="32" t="n">
        <v>1</v>
      </c>
      <c r="G1182" s="33" t="n">
        <v>45826</v>
      </c>
      <c r="H1182" s="33" t="n">
        <v>45826</v>
      </c>
      <c r="I1182" s="31" t="s">
        <v>484</v>
      </c>
      <c r="J1182" s="30" t="s">
        <v>416</v>
      </c>
      <c r="K1182" s="31" t="s">
        <v>485</v>
      </c>
      <c r="L1182" s="32" t="n">
        <v>1</v>
      </c>
      <c r="M1182" s="39" t="s">
        <v>413</v>
      </c>
      <c r="N1182" s="31" t="s">
        <v>414</v>
      </c>
      <c r="O1182" s="32" t="n">
        <v>1</v>
      </c>
      <c r="P1182" s="15" t="n">
        <f aca="false">IF(A1182="","",IF(O1182&lt;&gt;"",O1182,IF(L1182&lt;&gt;"",L1182,F1182)))</f>
        <v>1</v>
      </c>
    </row>
    <row r="1183" customFormat="false" ht="15" hidden="false" customHeight="true" outlineLevel="0" collapsed="false">
      <c r="A1183" s="26" t="s">
        <v>150</v>
      </c>
      <c r="B1183" s="26" t="s">
        <v>151</v>
      </c>
      <c r="C1183" s="14" t="n">
        <f aca="false">IF(A1183="","",IFERROR(VLOOKUP(A1183,'Recert Status'!$A$8:$C$400,3,FALSE()),""))</f>
        <v>46387</v>
      </c>
      <c r="D1183" s="18" t="s">
        <v>946</v>
      </c>
      <c r="E1183" s="26" t="s">
        <v>363</v>
      </c>
      <c r="F1183" s="27" t="n">
        <v>1</v>
      </c>
      <c r="G1183" s="28" t="n">
        <v>45867</v>
      </c>
      <c r="H1183" s="28" t="n">
        <v>45867</v>
      </c>
      <c r="I1183" s="18" t="s">
        <v>947</v>
      </c>
      <c r="J1183" s="26" t="s">
        <v>363</v>
      </c>
      <c r="K1183" s="18" t="s">
        <v>370</v>
      </c>
      <c r="L1183" s="27" t="n">
        <v>1</v>
      </c>
      <c r="M1183" s="29" t="s">
        <v>366</v>
      </c>
      <c r="N1183" s="18" t="s">
        <v>367</v>
      </c>
      <c r="O1183" s="27" t="n">
        <v>1</v>
      </c>
      <c r="P1183" s="15" t="n">
        <f aca="false">IF(A1183="","",IF(O1183&lt;&gt;"",O1183,IF(L1183&lt;&gt;"",L1183,F1183)))</f>
        <v>1</v>
      </c>
    </row>
    <row r="1184" customFormat="false" ht="15" hidden="false" customHeight="true" outlineLevel="0" collapsed="false">
      <c r="A1184" s="30" t="s">
        <v>150</v>
      </c>
      <c r="B1184" s="30" t="s">
        <v>151</v>
      </c>
      <c r="C1184" s="21" t="n">
        <f aca="false">IF(A1184="","",IFERROR(VLOOKUP(A1184,'Recert Status'!$A$8:$C$400,3,FALSE()),""))</f>
        <v>46387</v>
      </c>
      <c r="D1184" s="31" t="s">
        <v>362</v>
      </c>
      <c r="E1184" s="30" t="n">
        <v>57404</v>
      </c>
      <c r="F1184" s="32" t="n">
        <v>2</v>
      </c>
      <c r="G1184" s="33" t="n">
        <v>45966</v>
      </c>
      <c r="H1184" s="33" t="n">
        <v>45966</v>
      </c>
      <c r="I1184" s="31" t="s">
        <v>948</v>
      </c>
      <c r="J1184" s="30" t="s">
        <v>728</v>
      </c>
      <c r="K1184" s="31" t="s">
        <v>365</v>
      </c>
      <c r="L1184" s="32" t="n">
        <v>1</v>
      </c>
      <c r="M1184" s="29" t="s">
        <v>366</v>
      </c>
      <c r="N1184" s="31" t="s">
        <v>367</v>
      </c>
      <c r="O1184" s="32" t="n">
        <v>1</v>
      </c>
      <c r="P1184" s="15" t="n">
        <f aca="false">IF(A1184="","",IF(O1184&lt;&gt;"",O1184,IF(L1184&lt;&gt;"",L1184,F1184)))</f>
        <v>1</v>
      </c>
    </row>
    <row r="1185" customFormat="false" ht="15" hidden="false" customHeight="true" outlineLevel="0" collapsed="false">
      <c r="A1185" s="26" t="s">
        <v>150</v>
      </c>
      <c r="B1185" s="26" t="s">
        <v>151</v>
      </c>
      <c r="C1185" s="14" t="n">
        <f aca="false">IF(A1185="","",IFERROR(VLOOKUP(A1185,'Recert Status'!$A$8:$C$400,3,FALSE()),""))</f>
        <v>46387</v>
      </c>
      <c r="D1185" s="18" t="s">
        <v>541</v>
      </c>
      <c r="E1185" s="26" t="s">
        <v>542</v>
      </c>
      <c r="F1185" s="27" t="n">
        <v>1</v>
      </c>
      <c r="G1185" s="28" t="n">
        <v>45811</v>
      </c>
      <c r="H1185" s="28" t="n">
        <v>45811</v>
      </c>
      <c r="I1185" s="18" t="s">
        <v>543</v>
      </c>
      <c r="J1185" s="26" t="s">
        <v>542</v>
      </c>
      <c r="K1185" s="18" t="s">
        <v>422</v>
      </c>
      <c r="L1185" s="27" t="n">
        <v>1</v>
      </c>
      <c r="M1185" s="40" t="s">
        <v>423</v>
      </c>
      <c r="N1185" s="18" t="s">
        <v>424</v>
      </c>
      <c r="O1185" s="27" t="n">
        <v>1</v>
      </c>
      <c r="P1185" s="15" t="n">
        <f aca="false">IF(A1185="","",IF(O1185&lt;&gt;"",O1185,IF(L1185&lt;&gt;"",L1185,F1185)))</f>
        <v>1</v>
      </c>
    </row>
    <row r="1186" customFormat="false" ht="15" hidden="false" customHeight="true" outlineLevel="0" collapsed="false">
      <c r="A1186" s="30" t="s">
        <v>150</v>
      </c>
      <c r="B1186" s="30" t="s">
        <v>151</v>
      </c>
      <c r="C1186" s="21" t="n">
        <f aca="false">IF(A1186="","",IFERROR(VLOOKUP(A1186,'Recert Status'!$A$8:$C$400,3,FALSE()),""))</f>
        <v>46387</v>
      </c>
      <c r="D1186" s="31" t="s">
        <v>949</v>
      </c>
      <c r="E1186" s="30" t="s">
        <v>542</v>
      </c>
      <c r="F1186" s="32" t="n">
        <v>1</v>
      </c>
      <c r="G1186" s="33" t="n">
        <v>46056</v>
      </c>
      <c r="H1186" s="33" t="n">
        <v>46056</v>
      </c>
      <c r="I1186" s="31" t="s">
        <v>950</v>
      </c>
      <c r="J1186" s="30" t="s">
        <v>542</v>
      </c>
      <c r="K1186" s="31" t="s">
        <v>422</v>
      </c>
      <c r="L1186" s="32" t="n">
        <v>1</v>
      </c>
      <c r="M1186" s="40" t="s">
        <v>423</v>
      </c>
      <c r="N1186" s="31" t="s">
        <v>424</v>
      </c>
      <c r="O1186" s="32" t="n">
        <v>1</v>
      </c>
      <c r="P1186" s="15" t="n">
        <f aca="false">IF(A1186="","",IF(O1186&lt;&gt;"",O1186,IF(L1186&lt;&gt;"",L1186,F1186)))</f>
        <v>1</v>
      </c>
    </row>
    <row r="1187" customFormat="false" ht="15" hidden="false" customHeight="true" outlineLevel="0" collapsed="false">
      <c r="A1187" s="26" t="s">
        <v>150</v>
      </c>
      <c r="B1187" s="26" t="s">
        <v>151</v>
      </c>
      <c r="C1187" s="14" t="n">
        <f aca="false">IF(A1187="","",IFERROR(VLOOKUP(A1187,'Recert Status'!$A$8:$C$400,3,FALSE()),""))</f>
        <v>46387</v>
      </c>
      <c r="D1187" s="18" t="s">
        <v>951</v>
      </c>
      <c r="E1187" s="26" t="s">
        <v>426</v>
      </c>
      <c r="F1187" s="27" t="n">
        <v>1</v>
      </c>
      <c r="G1187" s="28" t="n">
        <v>45912</v>
      </c>
      <c r="H1187" s="28" t="n">
        <v>45912</v>
      </c>
      <c r="I1187" s="18" t="s">
        <v>952</v>
      </c>
      <c r="J1187" s="26" t="s">
        <v>426</v>
      </c>
      <c r="K1187" s="18" t="s">
        <v>428</v>
      </c>
      <c r="L1187" s="27" t="n">
        <v>1</v>
      </c>
      <c r="M1187" s="41" t="s">
        <v>429</v>
      </c>
      <c r="N1187" s="18" t="s">
        <v>430</v>
      </c>
      <c r="O1187" s="27" t="n">
        <v>1</v>
      </c>
      <c r="P1187" s="15" t="n">
        <f aca="false">IF(A1187="","",IF(O1187&lt;&gt;"",O1187,IF(L1187&lt;&gt;"",L1187,F1187)))</f>
        <v>1</v>
      </c>
    </row>
    <row r="1188" customFormat="false" ht="15" hidden="false" customHeight="true" outlineLevel="0" collapsed="false">
      <c r="A1188" s="30" t="s">
        <v>150</v>
      </c>
      <c r="B1188" s="30" t="s">
        <v>151</v>
      </c>
      <c r="C1188" s="21" t="n">
        <f aca="false">IF(A1188="","",IFERROR(VLOOKUP(A1188,'Recert Status'!$A$8:$C$400,3,FALSE()),""))</f>
        <v>46387</v>
      </c>
      <c r="D1188" s="31" t="s">
        <v>647</v>
      </c>
      <c r="E1188" s="30" t="n">
        <v>29675</v>
      </c>
      <c r="F1188" s="32" t="n">
        <v>1</v>
      </c>
      <c r="G1188" s="33" t="n">
        <v>45840</v>
      </c>
      <c r="H1188" s="33" t="n">
        <v>45840</v>
      </c>
      <c r="I1188" s="31" t="s">
        <v>648</v>
      </c>
      <c r="J1188" s="30" t="s">
        <v>406</v>
      </c>
      <c r="K1188" s="31" t="s">
        <v>385</v>
      </c>
      <c r="L1188" s="32" t="n">
        <v>1</v>
      </c>
      <c r="M1188" s="35" t="s">
        <v>386</v>
      </c>
      <c r="N1188" s="31" t="s">
        <v>387</v>
      </c>
      <c r="O1188" s="32" t="n">
        <v>1</v>
      </c>
      <c r="P1188" s="15" t="n">
        <f aca="false">IF(A1188="","",IF(O1188&lt;&gt;"",O1188,IF(L1188&lt;&gt;"",L1188,F1188)))</f>
        <v>1</v>
      </c>
    </row>
    <row r="1189" customFormat="false" ht="15" hidden="false" customHeight="true" outlineLevel="0" collapsed="false">
      <c r="A1189" s="26" t="s">
        <v>150</v>
      </c>
      <c r="B1189" s="26" t="s">
        <v>151</v>
      </c>
      <c r="C1189" s="14" t="n">
        <f aca="false">IF(A1189="","",IFERROR(VLOOKUP(A1189,'Recert Status'!$A$8:$C$400,3,FALSE()),""))</f>
        <v>46387</v>
      </c>
      <c r="D1189" s="18" t="s">
        <v>953</v>
      </c>
      <c r="E1189" s="26" t="n">
        <v>29668</v>
      </c>
      <c r="F1189" s="27" t="n">
        <v>1</v>
      </c>
      <c r="G1189" s="28" t="n">
        <v>45867</v>
      </c>
      <c r="H1189" s="28" t="n">
        <v>45867</v>
      </c>
      <c r="I1189" s="18" t="s">
        <v>954</v>
      </c>
      <c r="J1189" s="26" t="s">
        <v>511</v>
      </c>
      <c r="K1189" s="18" t="s">
        <v>509</v>
      </c>
      <c r="L1189" s="27" t="n">
        <v>1</v>
      </c>
      <c r="M1189" s="35" t="s">
        <v>386</v>
      </c>
      <c r="N1189" s="18" t="s">
        <v>387</v>
      </c>
      <c r="O1189" s="27" t="n">
        <v>1</v>
      </c>
      <c r="P1189" s="15" t="n">
        <f aca="false">IF(A1189="","",IF(O1189&lt;&gt;"",O1189,IF(L1189&lt;&gt;"",L1189,F1189)))</f>
        <v>1</v>
      </c>
    </row>
    <row r="1190" customFormat="false" ht="15" hidden="false" customHeight="true" outlineLevel="0" collapsed="false">
      <c r="A1190" s="30" t="s">
        <v>150</v>
      </c>
      <c r="B1190" s="30" t="s">
        <v>151</v>
      </c>
      <c r="C1190" s="21" t="n">
        <f aca="false">IF(A1190="","",IFERROR(VLOOKUP(A1190,'Recert Status'!$A$8:$C$400,3,FALSE()),""))</f>
        <v>46387</v>
      </c>
      <c r="D1190" s="31" t="s">
        <v>816</v>
      </c>
      <c r="E1190" s="30" t="s">
        <v>817</v>
      </c>
      <c r="F1190" s="32" t="n">
        <v>2</v>
      </c>
      <c r="G1190" s="33" t="n">
        <v>45882</v>
      </c>
      <c r="H1190" s="33" t="n">
        <v>45882</v>
      </c>
      <c r="I1190" s="31" t="s">
        <v>818</v>
      </c>
      <c r="J1190" s="30" t="s">
        <v>817</v>
      </c>
      <c r="K1190" s="31" t="s">
        <v>819</v>
      </c>
      <c r="L1190" s="32" t="n">
        <v>2</v>
      </c>
      <c r="M1190" s="35" t="s">
        <v>386</v>
      </c>
      <c r="N1190" s="31" t="s">
        <v>387</v>
      </c>
      <c r="O1190" s="32" t="n">
        <v>2</v>
      </c>
      <c r="P1190" s="15" t="n">
        <f aca="false">IF(A1190="","",IF(O1190&lt;&gt;"",O1190,IF(L1190&lt;&gt;"",L1190,F1190)))</f>
        <v>2</v>
      </c>
    </row>
    <row r="1191" customFormat="false" ht="15" hidden="false" customHeight="true" outlineLevel="0" collapsed="false">
      <c r="A1191" s="26" t="s">
        <v>150</v>
      </c>
      <c r="B1191" s="26" t="s">
        <v>151</v>
      </c>
      <c r="C1191" s="14" t="n">
        <f aca="false">IF(A1191="","",IFERROR(VLOOKUP(A1191,'Recert Status'!$A$8:$C$400,3,FALSE()),""))</f>
        <v>46387</v>
      </c>
      <c r="D1191" s="18" t="s">
        <v>1088</v>
      </c>
      <c r="E1191" s="26" t="n">
        <v>29740</v>
      </c>
      <c r="F1191" s="27" t="n">
        <v>1</v>
      </c>
      <c r="G1191" s="28" t="n">
        <v>45987</v>
      </c>
      <c r="H1191" s="28" t="n">
        <v>45987</v>
      </c>
      <c r="I1191" s="18" t="s">
        <v>1089</v>
      </c>
      <c r="J1191" s="26" t="s">
        <v>394</v>
      </c>
      <c r="K1191" s="18" t="s">
        <v>468</v>
      </c>
      <c r="L1191" s="27" t="n">
        <v>1</v>
      </c>
      <c r="M1191" s="35" t="s">
        <v>386</v>
      </c>
      <c r="N1191" s="18" t="s">
        <v>387</v>
      </c>
      <c r="O1191" s="27" t="n">
        <v>1</v>
      </c>
      <c r="P1191" s="15" t="n">
        <f aca="false">IF(A1191="","",IF(O1191&lt;&gt;"",O1191,IF(L1191&lt;&gt;"",L1191,F1191)))</f>
        <v>1</v>
      </c>
    </row>
    <row r="1192" customFormat="false" ht="15" hidden="false" customHeight="true" outlineLevel="0" collapsed="false">
      <c r="A1192" s="30" t="s">
        <v>150</v>
      </c>
      <c r="B1192" s="30" t="s">
        <v>151</v>
      </c>
      <c r="C1192" s="21" t="n">
        <f aca="false">IF(A1192="","",IFERROR(VLOOKUP(A1192,'Recert Status'!$A$8:$C$400,3,FALSE()),""))</f>
        <v>46387</v>
      </c>
      <c r="D1192" s="31" t="s">
        <v>1030</v>
      </c>
      <c r="E1192" s="30" t="s">
        <v>389</v>
      </c>
      <c r="F1192" s="32" t="n">
        <v>2</v>
      </c>
      <c r="G1192" s="33" t="n">
        <v>46071</v>
      </c>
      <c r="H1192" s="33" t="n">
        <v>46071</v>
      </c>
      <c r="I1192" s="31" t="s">
        <v>1031</v>
      </c>
      <c r="J1192" s="30" t="s">
        <v>389</v>
      </c>
      <c r="K1192" s="31" t="s">
        <v>395</v>
      </c>
      <c r="L1192" s="32" t="n">
        <v>2</v>
      </c>
      <c r="M1192" s="35" t="s">
        <v>386</v>
      </c>
      <c r="N1192" s="31" t="s">
        <v>387</v>
      </c>
      <c r="O1192" s="32" t="n">
        <v>2</v>
      </c>
      <c r="P1192" s="15" t="n">
        <f aca="false">IF(A1192="","",IF(O1192&lt;&gt;"",O1192,IF(L1192&lt;&gt;"",L1192,F1192)))</f>
        <v>2</v>
      </c>
    </row>
    <row r="1193" customFormat="false" ht="15" hidden="false" customHeight="true" outlineLevel="0" collapsed="false">
      <c r="A1193" s="26" t="s">
        <v>150</v>
      </c>
      <c r="B1193" s="26" t="s">
        <v>151</v>
      </c>
      <c r="C1193" s="14" t="n">
        <f aca="false">IF(A1193="","",IFERROR(VLOOKUP(A1193,'Recert Status'!$A$8:$C$400,3,FALSE()),""))</f>
        <v>46387</v>
      </c>
      <c r="D1193" s="18" t="s">
        <v>387</v>
      </c>
      <c r="E1193" s="26" t="s">
        <v>389</v>
      </c>
      <c r="F1193" s="27" t="n">
        <v>1</v>
      </c>
      <c r="G1193" s="28" t="n">
        <v>46230</v>
      </c>
      <c r="H1193" s="28" t="n">
        <v>46230</v>
      </c>
      <c r="I1193" s="18" t="s">
        <v>1224</v>
      </c>
      <c r="J1193" s="26" t="s">
        <v>389</v>
      </c>
      <c r="K1193" s="18" t="s">
        <v>451</v>
      </c>
      <c r="L1193" s="27" t="n">
        <v>1</v>
      </c>
      <c r="M1193" s="35" t="s">
        <v>386</v>
      </c>
      <c r="N1193" s="18" t="s">
        <v>387</v>
      </c>
      <c r="O1193" s="27" t="n">
        <v>1</v>
      </c>
      <c r="P1193" s="15" t="n">
        <f aca="false">IF(A1193="","",IF(O1193&lt;&gt;"",O1193,IF(L1193&lt;&gt;"",L1193,F1193)))</f>
        <v>1</v>
      </c>
    </row>
    <row r="1194" customFormat="false" ht="15" hidden="false" customHeight="true" outlineLevel="0" collapsed="false">
      <c r="A1194" s="30" t="s">
        <v>150</v>
      </c>
      <c r="B1194" s="30" t="s">
        <v>151</v>
      </c>
      <c r="C1194" s="21" t="n">
        <f aca="false">IF(A1194="","",IFERROR(VLOOKUP(A1194,'Recert Status'!$A$8:$C$400,3,FALSE()),""))</f>
        <v>46387</v>
      </c>
      <c r="D1194" s="31" t="s">
        <v>1248</v>
      </c>
      <c r="E1194" s="30" t="s">
        <v>452</v>
      </c>
      <c r="F1194" s="32" t="n">
        <v>2</v>
      </c>
      <c r="G1194" s="33" t="n">
        <v>45972</v>
      </c>
      <c r="H1194" s="33" t="n">
        <v>45972</v>
      </c>
      <c r="I1194" s="31" t="s">
        <v>1249</v>
      </c>
      <c r="J1194" s="30" t="s">
        <v>452</v>
      </c>
      <c r="K1194" s="31" t="s">
        <v>385</v>
      </c>
      <c r="L1194" s="32" t="n">
        <v>2</v>
      </c>
      <c r="M1194" s="36" t="s">
        <v>396</v>
      </c>
      <c r="N1194" s="31" t="s">
        <v>397</v>
      </c>
      <c r="O1194" s="32" t="n">
        <v>2</v>
      </c>
      <c r="P1194" s="15" t="n">
        <f aca="false">IF(A1194="","",IF(O1194&lt;&gt;"",O1194,IF(L1194&lt;&gt;"",L1194,F1194)))</f>
        <v>2</v>
      </c>
    </row>
    <row r="1195" customFormat="false" ht="15" hidden="false" customHeight="true" outlineLevel="0" collapsed="false">
      <c r="A1195" s="26" t="s">
        <v>150</v>
      </c>
      <c r="B1195" s="26" t="s">
        <v>151</v>
      </c>
      <c r="C1195" s="14" t="n">
        <f aca="false">IF(A1195="","",IFERROR(VLOOKUP(A1195,'Recert Status'!$A$8:$C$400,3,FALSE()),""))</f>
        <v>46387</v>
      </c>
      <c r="D1195" s="18" t="s">
        <v>397</v>
      </c>
      <c r="E1195" s="26" t="s">
        <v>452</v>
      </c>
      <c r="F1195" s="27" t="n">
        <v>1</v>
      </c>
      <c r="G1195" s="28" t="n">
        <v>46245</v>
      </c>
      <c r="H1195" s="28" t="n">
        <v>46245</v>
      </c>
      <c r="I1195" s="18" t="s">
        <v>605</v>
      </c>
      <c r="J1195" s="26" t="s">
        <v>452</v>
      </c>
      <c r="K1195" s="18" t="s">
        <v>385</v>
      </c>
      <c r="L1195" s="27" t="n">
        <v>1</v>
      </c>
      <c r="M1195" s="36" t="s">
        <v>396</v>
      </c>
      <c r="N1195" s="18" t="s">
        <v>397</v>
      </c>
      <c r="O1195" s="27" t="n">
        <v>1</v>
      </c>
      <c r="P1195" s="15" t="n">
        <f aca="false">IF(A1195="","",IF(O1195&lt;&gt;"",O1195,IF(L1195&lt;&gt;"",L1195,F1195)))</f>
        <v>1</v>
      </c>
    </row>
    <row r="1196" customFormat="false" ht="15" hidden="false" customHeight="true" outlineLevel="0" collapsed="false">
      <c r="A1196" s="30" t="s">
        <v>150</v>
      </c>
      <c r="B1196" s="30" t="s">
        <v>151</v>
      </c>
      <c r="C1196" s="21" t="n">
        <f aca="false">IF(A1196="","",IFERROR(VLOOKUP(A1196,'Recert Status'!$A$8:$C$400,3,FALSE()),""))</f>
        <v>46387</v>
      </c>
      <c r="D1196" s="31" t="s">
        <v>692</v>
      </c>
      <c r="E1196" s="30" t="s">
        <v>416</v>
      </c>
      <c r="F1196" s="32" t="n">
        <v>0.5</v>
      </c>
      <c r="G1196" s="33" t="n">
        <v>45780</v>
      </c>
      <c r="H1196" s="33" t="n">
        <v>45780</v>
      </c>
      <c r="I1196" s="31" t="s">
        <v>693</v>
      </c>
      <c r="J1196" s="30" t="s">
        <v>416</v>
      </c>
      <c r="K1196" s="31" t="s">
        <v>490</v>
      </c>
      <c r="L1196" s="32" t="n">
        <v>0.5</v>
      </c>
      <c r="M1196" s="39" t="s">
        <v>413</v>
      </c>
      <c r="N1196" s="31" t="s">
        <v>414</v>
      </c>
      <c r="O1196" s="32" t="n">
        <v>0.5</v>
      </c>
      <c r="P1196" s="15" t="n">
        <f aca="false">IF(A1196="","",IF(O1196&lt;&gt;"",O1196,IF(L1196&lt;&gt;"",L1196,F1196)))</f>
        <v>0.5</v>
      </c>
    </row>
    <row r="1197" customFormat="false" ht="15" hidden="false" customHeight="true" outlineLevel="0" collapsed="false">
      <c r="A1197" s="26" t="s">
        <v>150</v>
      </c>
      <c r="B1197" s="26" t="s">
        <v>151</v>
      </c>
      <c r="C1197" s="14" t="n">
        <f aca="false">IF(A1197="","",IFERROR(VLOOKUP(A1197,'Recert Status'!$A$8:$C$400,3,FALSE()),""))</f>
        <v>46387</v>
      </c>
      <c r="D1197" s="18" t="s">
        <v>822</v>
      </c>
      <c r="E1197" s="26" t="s">
        <v>416</v>
      </c>
      <c r="F1197" s="27" t="n">
        <v>2</v>
      </c>
      <c r="G1197" s="28" t="n">
        <v>45861</v>
      </c>
      <c r="H1197" s="28" t="n">
        <v>45861</v>
      </c>
      <c r="I1197" s="18" t="s">
        <v>823</v>
      </c>
      <c r="J1197" s="26" t="s">
        <v>416</v>
      </c>
      <c r="K1197" s="18" t="s">
        <v>523</v>
      </c>
      <c r="L1197" s="27" t="n">
        <v>2</v>
      </c>
      <c r="M1197" s="39" t="s">
        <v>413</v>
      </c>
      <c r="N1197" s="18" t="s">
        <v>414</v>
      </c>
      <c r="O1197" s="27" t="n">
        <v>2</v>
      </c>
      <c r="P1197" s="15" t="n">
        <f aca="false">IF(A1197="","",IF(O1197&lt;&gt;"",O1197,IF(L1197&lt;&gt;"",L1197,F1197)))</f>
        <v>2</v>
      </c>
    </row>
    <row r="1198" customFormat="false" ht="15" hidden="false" customHeight="true" outlineLevel="0" collapsed="false">
      <c r="A1198" s="30" t="s">
        <v>150</v>
      </c>
      <c r="B1198" s="30" t="s">
        <v>151</v>
      </c>
      <c r="C1198" s="21" t="n">
        <f aca="false">IF(A1198="","",IFERROR(VLOOKUP(A1198,'Recert Status'!$A$8:$C$400,3,FALSE()),""))</f>
        <v>46387</v>
      </c>
      <c r="D1198" s="31" t="s">
        <v>1252</v>
      </c>
      <c r="E1198" s="30" t="s">
        <v>416</v>
      </c>
      <c r="F1198" s="32" t="n">
        <v>2</v>
      </c>
      <c r="G1198" s="33" t="n">
        <v>45972</v>
      </c>
      <c r="H1198" s="33" t="n">
        <v>45972</v>
      </c>
      <c r="I1198" s="31" t="s">
        <v>1253</v>
      </c>
      <c r="J1198" s="30" t="s">
        <v>416</v>
      </c>
      <c r="K1198" s="31" t="s">
        <v>523</v>
      </c>
      <c r="L1198" s="32" t="n">
        <v>2</v>
      </c>
      <c r="M1198" s="39" t="s">
        <v>413</v>
      </c>
      <c r="N1198" s="31" t="s">
        <v>414</v>
      </c>
      <c r="O1198" s="32" t="n">
        <v>2</v>
      </c>
      <c r="P1198" s="15" t="n">
        <f aca="false">IF(A1198="","",IF(O1198&lt;&gt;"",O1198,IF(L1198&lt;&gt;"",L1198,F1198)))</f>
        <v>2</v>
      </c>
    </row>
    <row r="1199" customFormat="false" ht="15" hidden="false" customHeight="true" outlineLevel="0" collapsed="false">
      <c r="A1199" s="26" t="s">
        <v>150</v>
      </c>
      <c r="B1199" s="26" t="s">
        <v>151</v>
      </c>
      <c r="C1199" s="14" t="n">
        <f aca="false">IF(A1199="","",IFERROR(VLOOKUP(A1199,'Recert Status'!$A$8:$C$400,3,FALSE()),""))</f>
        <v>46387</v>
      </c>
      <c r="D1199" s="18" t="s">
        <v>488</v>
      </c>
      <c r="E1199" s="26" t="s">
        <v>416</v>
      </c>
      <c r="F1199" s="27" t="n">
        <v>1</v>
      </c>
      <c r="G1199" s="28" t="n">
        <v>46125</v>
      </c>
      <c r="H1199" s="28" t="n">
        <v>46125</v>
      </c>
      <c r="I1199" s="18" t="s">
        <v>608</v>
      </c>
      <c r="J1199" s="26" t="s">
        <v>416</v>
      </c>
      <c r="K1199" s="18" t="s">
        <v>490</v>
      </c>
      <c r="L1199" s="27" t="n">
        <v>1</v>
      </c>
      <c r="M1199" s="39" t="s">
        <v>413</v>
      </c>
      <c r="N1199" s="18" t="s">
        <v>414</v>
      </c>
      <c r="O1199" s="27" t="n">
        <v>1</v>
      </c>
      <c r="P1199" s="15" t="n">
        <f aca="false">IF(A1199="","",IF(O1199&lt;&gt;"",O1199,IF(L1199&lt;&gt;"",L1199,F1199)))</f>
        <v>1</v>
      </c>
    </row>
    <row r="1200" customFormat="false" ht="15" hidden="false" customHeight="true" outlineLevel="0" collapsed="false">
      <c r="A1200" s="30" t="s">
        <v>152</v>
      </c>
      <c r="B1200" s="30" t="s">
        <v>153</v>
      </c>
      <c r="C1200" s="21" t="n">
        <f aca="false">IF(A1200="","",IFERROR(VLOOKUP(A1200,'Recert Status'!$A$8:$C$400,3,FALSE()),""))</f>
        <v>46752</v>
      </c>
      <c r="D1200" s="31" t="s">
        <v>976</v>
      </c>
      <c r="E1200" s="30" t="s">
        <v>426</v>
      </c>
      <c r="F1200" s="32" t="n">
        <v>1</v>
      </c>
      <c r="G1200" s="33" t="n">
        <v>45724</v>
      </c>
      <c r="H1200" s="33" t="n">
        <v>45724</v>
      </c>
      <c r="I1200" s="31" t="s">
        <v>632</v>
      </c>
      <c r="J1200" s="30" t="s">
        <v>426</v>
      </c>
      <c r="K1200" s="31" t="s">
        <v>428</v>
      </c>
      <c r="L1200" s="32" t="n">
        <v>1</v>
      </c>
      <c r="M1200" s="41" t="s">
        <v>429</v>
      </c>
      <c r="N1200" s="31" t="s">
        <v>430</v>
      </c>
      <c r="O1200" s="32" t="n">
        <v>1</v>
      </c>
      <c r="P1200" s="15" t="n">
        <f aca="false">IF(A1200="","",IF(O1200&lt;&gt;"",O1200,IF(L1200&lt;&gt;"",L1200,F1200)))</f>
        <v>1</v>
      </c>
    </row>
    <row r="1201" customFormat="false" ht="15" hidden="false" customHeight="true" outlineLevel="0" collapsed="false">
      <c r="A1201" s="26" t="s">
        <v>152</v>
      </c>
      <c r="B1201" s="26" t="s">
        <v>153</v>
      </c>
      <c r="C1201" s="14" t="n">
        <f aca="false">IF(A1201="","",IFERROR(VLOOKUP(A1201,'Recert Status'!$A$8:$C$400,3,FALSE()),""))</f>
        <v>46752</v>
      </c>
      <c r="D1201" s="18" t="s">
        <v>977</v>
      </c>
      <c r="E1201" s="26" t="s">
        <v>426</v>
      </c>
      <c r="F1201" s="27" t="n">
        <v>2</v>
      </c>
      <c r="G1201" s="28" t="n">
        <v>45910</v>
      </c>
      <c r="H1201" s="28" t="n">
        <v>45910</v>
      </c>
      <c r="I1201" s="18" t="s">
        <v>978</v>
      </c>
      <c r="J1201" s="26" t="s">
        <v>426</v>
      </c>
      <c r="K1201" s="18" t="s">
        <v>495</v>
      </c>
      <c r="L1201" s="27" t="n">
        <v>2</v>
      </c>
      <c r="M1201" s="41" t="s">
        <v>429</v>
      </c>
      <c r="N1201" s="18" t="s">
        <v>430</v>
      </c>
      <c r="O1201" s="27" t="n">
        <v>2</v>
      </c>
      <c r="P1201" s="15" t="n">
        <f aca="false">IF(A1201="","",IF(O1201&lt;&gt;"",O1201,IF(L1201&lt;&gt;"",L1201,F1201)))</f>
        <v>2</v>
      </c>
    </row>
    <row r="1202" customFormat="false" ht="15" hidden="false" customHeight="true" outlineLevel="0" collapsed="false">
      <c r="A1202" s="30" t="s">
        <v>152</v>
      </c>
      <c r="B1202" s="30" t="s">
        <v>153</v>
      </c>
      <c r="C1202" s="21" t="n">
        <f aca="false">IF(A1202="","",IFERROR(VLOOKUP(A1202,'Recert Status'!$A$8:$C$400,3,FALSE()),""))</f>
        <v>46752</v>
      </c>
      <c r="D1202" s="31" t="s">
        <v>1312</v>
      </c>
      <c r="E1202" s="30" t="s">
        <v>372</v>
      </c>
      <c r="F1202" s="32" t="n">
        <v>0.5</v>
      </c>
      <c r="G1202" s="33" t="n">
        <v>45676</v>
      </c>
      <c r="H1202" s="33" t="n">
        <v>45676</v>
      </c>
      <c r="I1202" s="31" t="s">
        <v>1313</v>
      </c>
      <c r="J1202" s="30" t="s">
        <v>372</v>
      </c>
      <c r="K1202" s="31" t="s">
        <v>374</v>
      </c>
      <c r="L1202" s="32" t="n">
        <v>0.5</v>
      </c>
      <c r="M1202" s="34" t="s">
        <v>375</v>
      </c>
      <c r="N1202" s="31" t="s">
        <v>376</v>
      </c>
      <c r="O1202" s="32" t="n">
        <v>0.5</v>
      </c>
      <c r="P1202" s="15" t="n">
        <f aca="false">IF(A1202="","",IF(O1202&lt;&gt;"",O1202,IF(L1202&lt;&gt;"",L1202,F1202)))</f>
        <v>0.5</v>
      </c>
    </row>
    <row r="1203" customFormat="false" ht="15" hidden="false" customHeight="true" outlineLevel="0" collapsed="false">
      <c r="A1203" s="26" t="s">
        <v>152</v>
      </c>
      <c r="B1203" s="26" t="s">
        <v>153</v>
      </c>
      <c r="C1203" s="14" t="n">
        <f aca="false">IF(A1203="","",IFERROR(VLOOKUP(A1203,'Recert Status'!$A$8:$C$400,3,FALSE()),""))</f>
        <v>46752</v>
      </c>
      <c r="D1203" s="18" t="s">
        <v>980</v>
      </c>
      <c r="E1203" s="26" t="n">
        <v>29784</v>
      </c>
      <c r="F1203" s="27" t="n">
        <v>1</v>
      </c>
      <c r="G1203" s="28" t="n">
        <v>45829</v>
      </c>
      <c r="H1203" s="28" t="n">
        <v>45829</v>
      </c>
      <c r="I1203" s="18" t="s">
        <v>981</v>
      </c>
      <c r="J1203" s="26" t="s">
        <v>435</v>
      </c>
      <c r="K1203" s="18" t="s">
        <v>468</v>
      </c>
      <c r="L1203" s="27" t="n">
        <v>1</v>
      </c>
      <c r="M1203" s="35" t="s">
        <v>386</v>
      </c>
      <c r="N1203" s="18" t="s">
        <v>387</v>
      </c>
      <c r="O1203" s="27" t="n">
        <v>1</v>
      </c>
      <c r="P1203" s="15" t="n">
        <f aca="false">IF(A1203="","",IF(O1203&lt;&gt;"",O1203,IF(L1203&lt;&gt;"",L1203,F1203)))</f>
        <v>1</v>
      </c>
    </row>
    <row r="1204" customFormat="false" ht="15" hidden="false" customHeight="true" outlineLevel="0" collapsed="false">
      <c r="A1204" s="30" t="s">
        <v>152</v>
      </c>
      <c r="B1204" s="30" t="s">
        <v>153</v>
      </c>
      <c r="C1204" s="21" t="n">
        <f aca="false">IF(A1204="","",IFERROR(VLOOKUP(A1204,'Recert Status'!$A$8:$C$400,3,FALSE()),""))</f>
        <v>46752</v>
      </c>
      <c r="D1204" s="31" t="s">
        <v>474</v>
      </c>
      <c r="E1204" s="30" t="s">
        <v>389</v>
      </c>
      <c r="F1204" s="32" t="n">
        <v>1</v>
      </c>
      <c r="G1204" s="33" t="n">
        <v>46204</v>
      </c>
      <c r="H1204" s="33" t="n">
        <v>46204</v>
      </c>
      <c r="I1204" s="31" t="s">
        <v>475</v>
      </c>
      <c r="J1204" s="30" t="s">
        <v>389</v>
      </c>
      <c r="K1204" s="31" t="s">
        <v>476</v>
      </c>
      <c r="L1204" s="32" t="n">
        <v>1</v>
      </c>
      <c r="M1204" s="35" t="s">
        <v>386</v>
      </c>
      <c r="N1204" s="31" t="s">
        <v>387</v>
      </c>
      <c r="O1204" s="32" t="n">
        <v>1</v>
      </c>
      <c r="P1204" s="15" t="n">
        <f aca="false">IF(A1204="","",IF(O1204&lt;&gt;"",O1204,IF(L1204&lt;&gt;"",L1204,F1204)))</f>
        <v>1</v>
      </c>
    </row>
    <row r="1205" customFormat="false" ht="15" hidden="false" customHeight="true" outlineLevel="0" collapsed="false">
      <c r="A1205" s="26" t="s">
        <v>152</v>
      </c>
      <c r="B1205" s="26" t="s">
        <v>153</v>
      </c>
      <c r="C1205" s="14" t="n">
        <f aca="false">IF(A1205="","",IFERROR(VLOOKUP(A1205,'Recert Status'!$A$8:$C$400,3,FALSE()),""))</f>
        <v>46752</v>
      </c>
      <c r="D1205" s="18" t="s">
        <v>662</v>
      </c>
      <c r="E1205" s="26" t="s">
        <v>452</v>
      </c>
      <c r="F1205" s="27" t="n">
        <v>1</v>
      </c>
      <c r="G1205" s="28" t="n">
        <v>46111</v>
      </c>
      <c r="H1205" s="28" t="n">
        <v>46111</v>
      </c>
      <c r="I1205" s="18" t="s">
        <v>983</v>
      </c>
      <c r="J1205" s="26" t="s">
        <v>452</v>
      </c>
      <c r="K1205" s="18" t="s">
        <v>385</v>
      </c>
      <c r="L1205" s="27" t="n">
        <v>1</v>
      </c>
      <c r="M1205" s="36" t="s">
        <v>396</v>
      </c>
      <c r="N1205" s="18" t="s">
        <v>397</v>
      </c>
      <c r="O1205" s="27" t="n">
        <v>1</v>
      </c>
      <c r="P1205" s="15" t="n">
        <f aca="false">IF(A1205="","",IF(O1205&lt;&gt;"",O1205,IF(L1205&lt;&gt;"",L1205,F1205)))</f>
        <v>1</v>
      </c>
    </row>
    <row r="1206" customFormat="false" ht="15" hidden="false" customHeight="true" outlineLevel="0" collapsed="false">
      <c r="A1206" s="30" t="s">
        <v>152</v>
      </c>
      <c r="B1206" s="30" t="s">
        <v>153</v>
      </c>
      <c r="C1206" s="21" t="n">
        <f aca="false">IF(A1206="","",IFERROR(VLOOKUP(A1206,'Recert Status'!$A$8:$C$400,3,FALSE()),""))</f>
        <v>46752</v>
      </c>
      <c r="D1206" s="31" t="s">
        <v>732</v>
      </c>
      <c r="E1206" s="30" t="s">
        <v>452</v>
      </c>
      <c r="F1206" s="32" t="n">
        <v>1</v>
      </c>
      <c r="G1206" s="33" t="n">
        <v>46132</v>
      </c>
      <c r="H1206" s="33" t="n">
        <v>46132</v>
      </c>
      <c r="I1206" s="31" t="s">
        <v>984</v>
      </c>
      <c r="J1206" s="30" t="s">
        <v>452</v>
      </c>
      <c r="K1206" s="31" t="s">
        <v>385</v>
      </c>
      <c r="L1206" s="32" t="n">
        <v>1</v>
      </c>
      <c r="M1206" s="36" t="s">
        <v>396</v>
      </c>
      <c r="N1206" s="31" t="s">
        <v>397</v>
      </c>
      <c r="O1206" s="32" t="n">
        <v>1</v>
      </c>
      <c r="P1206" s="15" t="n">
        <f aca="false">IF(A1206="","",IF(O1206&lt;&gt;"",O1206,IF(L1206&lt;&gt;"",L1206,F1206)))</f>
        <v>1</v>
      </c>
    </row>
    <row r="1207" customFormat="false" ht="15" hidden="false" customHeight="true" outlineLevel="0" collapsed="false">
      <c r="A1207" s="26" t="s">
        <v>152</v>
      </c>
      <c r="B1207" s="26" t="s">
        <v>153</v>
      </c>
      <c r="C1207" s="14" t="n">
        <f aca="false">IF(A1207="","",IFERROR(VLOOKUP(A1207,'Recert Status'!$A$8:$C$400,3,FALSE()),""))</f>
        <v>46752</v>
      </c>
      <c r="D1207" s="18" t="s">
        <v>397</v>
      </c>
      <c r="E1207" s="26" t="s">
        <v>452</v>
      </c>
      <c r="F1207" s="27" t="n">
        <v>1</v>
      </c>
      <c r="G1207" s="28" t="n">
        <v>46231</v>
      </c>
      <c r="H1207" s="28" t="n">
        <v>46231</v>
      </c>
      <c r="I1207" s="18" t="s">
        <v>985</v>
      </c>
      <c r="J1207" s="26" t="s">
        <v>452</v>
      </c>
      <c r="K1207" s="18" t="s">
        <v>385</v>
      </c>
      <c r="L1207" s="27" t="n">
        <v>1</v>
      </c>
      <c r="M1207" s="36" t="s">
        <v>396</v>
      </c>
      <c r="N1207" s="18" t="s">
        <v>397</v>
      </c>
      <c r="O1207" s="27" t="n">
        <v>1</v>
      </c>
      <c r="P1207" s="15" t="n">
        <f aca="false">IF(A1207="","",IF(O1207&lt;&gt;"",O1207,IF(L1207&lt;&gt;"",L1207,F1207)))</f>
        <v>1</v>
      </c>
    </row>
    <row r="1208" customFormat="false" ht="15" hidden="false" customHeight="true" outlineLevel="0" collapsed="false">
      <c r="A1208" s="30" t="s">
        <v>152</v>
      </c>
      <c r="B1208" s="30" t="s">
        <v>153</v>
      </c>
      <c r="C1208" s="21" t="n">
        <f aca="false">IF(A1208="","",IFERROR(VLOOKUP(A1208,'Recert Status'!$A$8:$C$400,3,FALSE()),""))</f>
        <v>46752</v>
      </c>
      <c r="D1208" s="31" t="s">
        <v>397</v>
      </c>
      <c r="E1208" s="30" t="s">
        <v>452</v>
      </c>
      <c r="F1208" s="32" t="n">
        <v>1</v>
      </c>
      <c r="G1208" s="33" t="n">
        <v>46246</v>
      </c>
      <c r="H1208" s="33" t="n">
        <v>46246</v>
      </c>
      <c r="I1208" s="31" t="s">
        <v>478</v>
      </c>
      <c r="J1208" s="30" t="s">
        <v>452</v>
      </c>
      <c r="K1208" s="31" t="s">
        <v>385</v>
      </c>
      <c r="L1208" s="32" t="n">
        <v>1</v>
      </c>
      <c r="M1208" s="36" t="s">
        <v>396</v>
      </c>
      <c r="N1208" s="31" t="s">
        <v>397</v>
      </c>
      <c r="O1208" s="32" t="n">
        <v>1</v>
      </c>
      <c r="P1208" s="15" t="n">
        <f aca="false">IF(A1208="","",IF(O1208&lt;&gt;"",O1208,IF(L1208&lt;&gt;"",L1208,F1208)))</f>
        <v>1</v>
      </c>
    </row>
    <row r="1209" customFormat="false" ht="15" hidden="false" customHeight="true" outlineLevel="0" collapsed="false">
      <c r="A1209" s="26" t="s">
        <v>152</v>
      </c>
      <c r="B1209" s="26" t="s">
        <v>153</v>
      </c>
      <c r="C1209" s="14" t="n">
        <f aca="false">IF(A1209="","",IFERROR(VLOOKUP(A1209,'Recert Status'!$A$8:$C$400,3,FALSE()),""))</f>
        <v>46752</v>
      </c>
      <c r="D1209" s="18" t="s">
        <v>1314</v>
      </c>
      <c r="E1209" s="26" t="s">
        <v>399</v>
      </c>
      <c r="F1209" s="27" t="n">
        <v>1</v>
      </c>
      <c r="G1209" s="28" t="n">
        <v>45676</v>
      </c>
      <c r="H1209" s="28" t="n">
        <v>45676</v>
      </c>
      <c r="I1209" s="18" t="s">
        <v>1315</v>
      </c>
      <c r="J1209" s="26" t="s">
        <v>399</v>
      </c>
      <c r="K1209" s="18" t="s">
        <v>401</v>
      </c>
      <c r="L1209" s="27" t="n">
        <v>1</v>
      </c>
      <c r="M1209" s="37" t="s">
        <v>402</v>
      </c>
      <c r="N1209" s="18" t="s">
        <v>403</v>
      </c>
      <c r="O1209" s="27" t="n">
        <v>1</v>
      </c>
      <c r="P1209" s="15" t="n">
        <f aca="false">IF(A1209="","",IF(O1209&lt;&gt;"",O1209,IF(L1209&lt;&gt;"",L1209,F1209)))</f>
        <v>1</v>
      </c>
    </row>
    <row r="1210" customFormat="false" ht="15" hidden="false" customHeight="true" outlineLevel="0" collapsed="false">
      <c r="A1210" s="30" t="s">
        <v>152</v>
      </c>
      <c r="B1210" s="30" t="s">
        <v>153</v>
      </c>
      <c r="C1210" s="21" t="n">
        <f aca="false">IF(A1210="","",IFERROR(VLOOKUP(A1210,'Recert Status'!$A$8:$C$400,3,FALSE()),""))</f>
        <v>46752</v>
      </c>
      <c r="D1210" s="31" t="s">
        <v>719</v>
      </c>
      <c r="E1210" s="30" t="s">
        <v>416</v>
      </c>
      <c r="F1210" s="32" t="n">
        <v>2</v>
      </c>
      <c r="G1210" s="33" t="n">
        <v>45859</v>
      </c>
      <c r="H1210" s="33" t="n">
        <v>45859</v>
      </c>
      <c r="I1210" s="31" t="s">
        <v>486</v>
      </c>
      <c r="J1210" s="30" t="s">
        <v>416</v>
      </c>
      <c r="K1210" s="31" t="s">
        <v>418</v>
      </c>
      <c r="L1210" s="32" t="n">
        <v>2</v>
      </c>
      <c r="M1210" s="39" t="s">
        <v>413</v>
      </c>
      <c r="N1210" s="31" t="s">
        <v>414</v>
      </c>
      <c r="O1210" s="32" t="n">
        <v>2</v>
      </c>
      <c r="P1210" s="15" t="n">
        <f aca="false">IF(A1210="","",IF(O1210&lt;&gt;"",O1210,IF(L1210&lt;&gt;"",L1210,F1210)))</f>
        <v>2</v>
      </c>
    </row>
    <row r="1211" customFormat="false" ht="15" hidden="false" customHeight="true" outlineLevel="0" collapsed="false">
      <c r="A1211" s="26" t="s">
        <v>152</v>
      </c>
      <c r="B1211" s="26" t="s">
        <v>153</v>
      </c>
      <c r="C1211" s="14" t="n">
        <f aca="false">IF(A1211="","",IFERROR(VLOOKUP(A1211,'Recert Status'!$A$8:$C$400,3,FALSE()),""))</f>
        <v>46752</v>
      </c>
      <c r="D1211" s="18" t="s">
        <v>488</v>
      </c>
      <c r="E1211" s="26" t="s">
        <v>416</v>
      </c>
      <c r="F1211" s="27" t="n">
        <v>1</v>
      </c>
      <c r="G1211" s="28" t="n">
        <v>46126</v>
      </c>
      <c r="H1211" s="28" t="n">
        <v>46126</v>
      </c>
      <c r="I1211" s="18" t="s">
        <v>489</v>
      </c>
      <c r="J1211" s="26" t="s">
        <v>416</v>
      </c>
      <c r="K1211" s="18" t="s">
        <v>490</v>
      </c>
      <c r="L1211" s="27" t="n">
        <v>1</v>
      </c>
      <c r="M1211" s="39" t="s">
        <v>413</v>
      </c>
      <c r="N1211" s="18" t="s">
        <v>414</v>
      </c>
      <c r="O1211" s="27" t="n">
        <v>1</v>
      </c>
      <c r="P1211" s="15" t="n">
        <f aca="false">IF(A1211="","",IF(O1211&lt;&gt;"",O1211,IF(L1211&lt;&gt;"",L1211,F1211)))</f>
        <v>1</v>
      </c>
    </row>
    <row r="1212" customFormat="false" ht="15" hidden="false" customHeight="true" outlineLevel="0" collapsed="false">
      <c r="A1212" s="30" t="s">
        <v>152</v>
      </c>
      <c r="B1212" s="30" t="s">
        <v>153</v>
      </c>
      <c r="C1212" s="21" t="n">
        <f aca="false">IF(A1212="","",IFERROR(VLOOKUP(A1212,'Recert Status'!$A$8:$C$400,3,FALSE()),""))</f>
        <v>46752</v>
      </c>
      <c r="D1212" s="31" t="s">
        <v>488</v>
      </c>
      <c r="E1212" s="30" t="s">
        <v>416</v>
      </c>
      <c r="F1212" s="32" t="n">
        <v>1</v>
      </c>
      <c r="G1212" s="33" t="n">
        <v>46132</v>
      </c>
      <c r="H1212" s="33" t="n">
        <v>46132</v>
      </c>
      <c r="I1212" s="31" t="s">
        <v>609</v>
      </c>
      <c r="J1212" s="30" t="s">
        <v>416</v>
      </c>
      <c r="K1212" s="31" t="s">
        <v>490</v>
      </c>
      <c r="L1212" s="32" t="n">
        <v>1</v>
      </c>
      <c r="M1212" s="39" t="s">
        <v>413</v>
      </c>
      <c r="N1212" s="31" t="s">
        <v>414</v>
      </c>
      <c r="O1212" s="32" t="n">
        <v>1</v>
      </c>
      <c r="P1212" s="15" t="n">
        <f aca="false">IF(A1212="","",IF(O1212&lt;&gt;"",O1212,IF(L1212&lt;&gt;"",L1212,F1212)))</f>
        <v>1</v>
      </c>
    </row>
    <row r="1213" customFormat="false" ht="15" hidden="false" customHeight="true" outlineLevel="0" collapsed="false">
      <c r="A1213" s="26" t="s">
        <v>154</v>
      </c>
      <c r="B1213" s="26" t="s">
        <v>155</v>
      </c>
      <c r="C1213" s="14" t="n">
        <f aca="false">IF(A1213="","",IFERROR(VLOOKUP(A1213,'Recert Status'!$A$8:$C$400,3,FALSE()),""))</f>
        <v>46387</v>
      </c>
      <c r="D1213" s="18" t="s">
        <v>1294</v>
      </c>
      <c r="E1213" s="26" t="s">
        <v>363</v>
      </c>
      <c r="F1213" s="27" t="n">
        <v>0.5</v>
      </c>
      <c r="G1213" s="28" t="n">
        <v>46017</v>
      </c>
      <c r="H1213" s="28" t="n">
        <v>46017</v>
      </c>
      <c r="I1213" s="18" t="s">
        <v>1295</v>
      </c>
      <c r="J1213" s="26" t="s">
        <v>363</v>
      </c>
      <c r="K1213" s="18" t="s">
        <v>365</v>
      </c>
      <c r="L1213" s="27" t="n">
        <v>0.5</v>
      </c>
      <c r="M1213" s="29" t="s">
        <v>366</v>
      </c>
      <c r="N1213" s="18" t="s">
        <v>367</v>
      </c>
      <c r="O1213" s="27" t="n">
        <v>0.5</v>
      </c>
      <c r="P1213" s="15" t="n">
        <f aca="false">IF(A1213="","",IF(O1213&lt;&gt;"",O1213,IF(L1213&lt;&gt;"",L1213,F1213)))</f>
        <v>0.5</v>
      </c>
    </row>
    <row r="1214" customFormat="false" ht="15" hidden="false" customHeight="true" outlineLevel="0" collapsed="false">
      <c r="A1214" s="30" t="s">
        <v>154</v>
      </c>
      <c r="B1214" s="30" t="s">
        <v>155</v>
      </c>
      <c r="C1214" s="21" t="n">
        <f aca="false">IF(A1214="","",IFERROR(VLOOKUP(A1214,'Recert Status'!$A$8:$C$400,3,FALSE()),""))</f>
        <v>46387</v>
      </c>
      <c r="D1214" s="31" t="s">
        <v>569</v>
      </c>
      <c r="E1214" s="30" t="n">
        <v>57433</v>
      </c>
      <c r="F1214" s="32" t="n">
        <v>1</v>
      </c>
      <c r="G1214" s="33" t="n">
        <v>46017</v>
      </c>
      <c r="H1214" s="33" t="n">
        <v>46017</v>
      </c>
      <c r="I1214" s="31" t="s">
        <v>570</v>
      </c>
      <c r="J1214" s="30" t="s">
        <v>421</v>
      </c>
      <c r="K1214" s="31" t="s">
        <v>428</v>
      </c>
      <c r="L1214" s="32" t="n">
        <v>1</v>
      </c>
      <c r="M1214" s="40" t="s">
        <v>423</v>
      </c>
      <c r="N1214" s="31" t="s">
        <v>514</v>
      </c>
      <c r="O1214" s="32" t="n">
        <v>1</v>
      </c>
      <c r="P1214" s="15" t="n">
        <f aca="false">IF(A1214="","",IF(O1214&lt;&gt;"",O1214,IF(L1214&lt;&gt;"",L1214,F1214)))</f>
        <v>1</v>
      </c>
    </row>
    <row r="1215" customFormat="false" ht="15" hidden="false" customHeight="true" outlineLevel="0" collapsed="false">
      <c r="A1215" s="26" t="s">
        <v>154</v>
      </c>
      <c r="B1215" s="26" t="s">
        <v>155</v>
      </c>
      <c r="C1215" s="14" t="n">
        <f aca="false">IF(A1215="","",IFERROR(VLOOKUP(A1215,'Recert Status'!$A$8:$C$400,3,FALSE()),""))</f>
        <v>46387</v>
      </c>
      <c r="D1215" s="18" t="s">
        <v>865</v>
      </c>
      <c r="E1215" s="26" t="s">
        <v>542</v>
      </c>
      <c r="F1215" s="27" t="n">
        <v>1</v>
      </c>
      <c r="G1215" s="28" t="n">
        <v>46056</v>
      </c>
      <c r="H1215" s="28" t="n">
        <v>46056</v>
      </c>
      <c r="I1215" s="18" t="s">
        <v>866</v>
      </c>
      <c r="J1215" s="26" t="s">
        <v>542</v>
      </c>
      <c r="K1215" s="18" t="s">
        <v>422</v>
      </c>
      <c r="L1215" s="27" t="n">
        <v>1</v>
      </c>
      <c r="M1215" s="40" t="s">
        <v>423</v>
      </c>
      <c r="N1215" s="18" t="s">
        <v>424</v>
      </c>
      <c r="O1215" s="27" t="n">
        <v>1</v>
      </c>
      <c r="P1215" s="15" t="n">
        <f aca="false">IF(A1215="","",IF(O1215&lt;&gt;"",O1215,IF(L1215&lt;&gt;"",L1215,F1215)))</f>
        <v>1</v>
      </c>
    </row>
    <row r="1216" customFormat="false" ht="15" hidden="false" customHeight="true" outlineLevel="0" collapsed="false">
      <c r="A1216" s="30" t="s">
        <v>154</v>
      </c>
      <c r="B1216" s="30" t="s">
        <v>155</v>
      </c>
      <c r="C1216" s="21" t="n">
        <f aca="false">IF(A1216="","",IFERROR(VLOOKUP(A1216,'Recert Status'!$A$8:$C$400,3,FALSE()),""))</f>
        <v>46387</v>
      </c>
      <c r="D1216" s="31" t="s">
        <v>524</v>
      </c>
      <c r="E1216" s="30" t="s">
        <v>426</v>
      </c>
      <c r="F1216" s="32" t="n">
        <v>0.5</v>
      </c>
      <c r="G1216" s="33" t="n">
        <v>45881</v>
      </c>
      <c r="H1216" s="33" t="n">
        <v>45881</v>
      </c>
      <c r="I1216" s="31" t="s">
        <v>525</v>
      </c>
      <c r="J1216" s="30" t="s">
        <v>426</v>
      </c>
      <c r="K1216" s="31" t="s">
        <v>526</v>
      </c>
      <c r="L1216" s="32" t="n">
        <v>0.5</v>
      </c>
      <c r="M1216" s="41" t="s">
        <v>429</v>
      </c>
      <c r="N1216" s="31" t="s">
        <v>430</v>
      </c>
      <c r="O1216" s="32" t="n">
        <v>0.5</v>
      </c>
      <c r="P1216" s="15" t="n">
        <f aca="false">IF(A1216="","",IF(O1216&lt;&gt;"",O1216,IF(L1216&lt;&gt;"",L1216,F1216)))</f>
        <v>0.5</v>
      </c>
    </row>
    <row r="1217" customFormat="false" ht="15" hidden="false" customHeight="true" outlineLevel="0" collapsed="false">
      <c r="A1217" s="26" t="s">
        <v>154</v>
      </c>
      <c r="B1217" s="26" t="s">
        <v>155</v>
      </c>
      <c r="C1217" s="14" t="n">
        <f aca="false">IF(A1217="","",IFERROR(VLOOKUP(A1217,'Recert Status'!$A$8:$C$400,3,FALSE()),""))</f>
        <v>46387</v>
      </c>
      <c r="D1217" s="18" t="s">
        <v>425</v>
      </c>
      <c r="E1217" s="26" t="s">
        <v>426</v>
      </c>
      <c r="F1217" s="27" t="n">
        <v>2</v>
      </c>
      <c r="G1217" s="28" t="n">
        <v>45929</v>
      </c>
      <c r="H1217" s="28" t="n">
        <v>45929</v>
      </c>
      <c r="I1217" s="18" t="s">
        <v>427</v>
      </c>
      <c r="J1217" s="26" t="s">
        <v>426</v>
      </c>
      <c r="K1217" s="18" t="s">
        <v>428</v>
      </c>
      <c r="L1217" s="27" t="n">
        <v>2</v>
      </c>
      <c r="M1217" s="41" t="s">
        <v>429</v>
      </c>
      <c r="N1217" s="18" t="s">
        <v>430</v>
      </c>
      <c r="O1217" s="27" t="n">
        <v>2</v>
      </c>
      <c r="P1217" s="15" t="n">
        <f aca="false">IF(A1217="","",IF(O1217&lt;&gt;"",O1217,IF(L1217&lt;&gt;"",L1217,F1217)))</f>
        <v>2</v>
      </c>
    </row>
    <row r="1218" customFormat="false" ht="15" hidden="false" customHeight="true" outlineLevel="0" collapsed="false">
      <c r="A1218" s="30" t="s">
        <v>154</v>
      </c>
      <c r="B1218" s="30" t="s">
        <v>155</v>
      </c>
      <c r="C1218" s="21" t="n">
        <f aca="false">IF(A1218="","",IFERROR(VLOOKUP(A1218,'Recert Status'!$A$8:$C$400,3,FALSE()),""))</f>
        <v>46387</v>
      </c>
      <c r="D1218" s="31" t="s">
        <v>884</v>
      </c>
      <c r="E1218" s="30" t="s">
        <v>426</v>
      </c>
      <c r="F1218" s="32" t="n">
        <v>2</v>
      </c>
      <c r="G1218" s="33" t="n">
        <v>45929</v>
      </c>
      <c r="H1218" s="33" t="n">
        <v>45929</v>
      </c>
      <c r="I1218" s="31" t="s">
        <v>885</v>
      </c>
      <c r="J1218" s="30" t="s">
        <v>426</v>
      </c>
      <c r="K1218" s="31" t="s">
        <v>428</v>
      </c>
      <c r="L1218" s="32" t="n">
        <v>2</v>
      </c>
      <c r="M1218" s="41" t="s">
        <v>429</v>
      </c>
      <c r="N1218" s="31" t="s">
        <v>430</v>
      </c>
      <c r="O1218" s="32" t="n">
        <v>2</v>
      </c>
      <c r="P1218" s="15" t="n">
        <f aca="false">IF(A1218="","",IF(O1218&lt;&gt;"",O1218,IF(L1218&lt;&gt;"",L1218,F1218)))</f>
        <v>2</v>
      </c>
    </row>
    <row r="1219" customFormat="false" ht="15" hidden="false" customHeight="true" outlineLevel="0" collapsed="false">
      <c r="A1219" s="26" t="s">
        <v>154</v>
      </c>
      <c r="B1219" s="26" t="s">
        <v>155</v>
      </c>
      <c r="C1219" s="14" t="n">
        <f aca="false">IF(A1219="","",IFERROR(VLOOKUP(A1219,'Recert Status'!$A$8:$C$400,3,FALSE()),""))</f>
        <v>46387</v>
      </c>
      <c r="D1219" s="18" t="s">
        <v>732</v>
      </c>
      <c r="E1219" s="26" t="s">
        <v>372</v>
      </c>
      <c r="F1219" s="27" t="n">
        <v>2</v>
      </c>
      <c r="G1219" s="28" t="n">
        <v>46140</v>
      </c>
      <c r="H1219" s="28" t="n">
        <v>46140</v>
      </c>
      <c r="I1219" s="18" t="s">
        <v>1296</v>
      </c>
      <c r="J1219" s="26" t="s">
        <v>372</v>
      </c>
      <c r="K1219" s="18" t="s">
        <v>766</v>
      </c>
      <c r="L1219" s="27" t="n">
        <v>2</v>
      </c>
      <c r="M1219" s="34" t="s">
        <v>375</v>
      </c>
      <c r="N1219" s="18" t="s">
        <v>376</v>
      </c>
      <c r="O1219" s="27" t="n">
        <v>2</v>
      </c>
      <c r="P1219" s="15" t="n">
        <f aca="false">IF(A1219="","",IF(O1219&lt;&gt;"",O1219,IF(L1219&lt;&gt;"",L1219,F1219)))</f>
        <v>2</v>
      </c>
    </row>
    <row r="1220" customFormat="false" ht="15" hidden="false" customHeight="true" outlineLevel="0" collapsed="false">
      <c r="A1220" s="30" t="s">
        <v>154</v>
      </c>
      <c r="B1220" s="30" t="s">
        <v>155</v>
      </c>
      <c r="C1220" s="21" t="n">
        <f aca="false">IF(A1220="","",IFERROR(VLOOKUP(A1220,'Recert Status'!$A$8:$C$400,3,FALSE()),""))</f>
        <v>46387</v>
      </c>
      <c r="D1220" s="31" t="s">
        <v>441</v>
      </c>
      <c r="E1220" s="30" t="n">
        <v>29743</v>
      </c>
      <c r="F1220" s="32" t="n">
        <v>1</v>
      </c>
      <c r="G1220" s="33" t="n">
        <v>45911</v>
      </c>
      <c r="H1220" s="33" t="n">
        <v>45911</v>
      </c>
      <c r="I1220" s="31" t="s">
        <v>893</v>
      </c>
      <c r="J1220" s="30" t="s">
        <v>439</v>
      </c>
      <c r="K1220" s="31" t="s">
        <v>791</v>
      </c>
      <c r="L1220" s="32" t="n">
        <v>1</v>
      </c>
      <c r="M1220" s="35" t="s">
        <v>386</v>
      </c>
      <c r="N1220" s="31" t="s">
        <v>387</v>
      </c>
      <c r="O1220" s="32" t="n">
        <v>1</v>
      </c>
      <c r="P1220" s="15" t="n">
        <f aca="false">IF(A1220="","",IF(O1220&lt;&gt;"",O1220,IF(L1220&lt;&gt;"",L1220,F1220)))</f>
        <v>1</v>
      </c>
    </row>
    <row r="1221" customFormat="false" ht="15" hidden="false" customHeight="true" outlineLevel="0" collapsed="false">
      <c r="A1221" s="26" t="s">
        <v>154</v>
      </c>
      <c r="B1221" s="26" t="s">
        <v>155</v>
      </c>
      <c r="C1221" s="14" t="n">
        <f aca="false">IF(A1221="","",IFERROR(VLOOKUP(A1221,'Recert Status'!$A$8:$C$400,3,FALSE()),""))</f>
        <v>46387</v>
      </c>
      <c r="D1221" s="18" t="s">
        <v>447</v>
      </c>
      <c r="E1221" s="26" t="n">
        <v>29675</v>
      </c>
      <c r="F1221" s="27" t="n">
        <v>1</v>
      </c>
      <c r="G1221" s="28" t="n">
        <v>45987</v>
      </c>
      <c r="H1221" s="28" t="n">
        <v>45987</v>
      </c>
      <c r="I1221" s="18" t="s">
        <v>683</v>
      </c>
      <c r="J1221" s="26" t="s">
        <v>406</v>
      </c>
      <c r="K1221" s="18" t="s">
        <v>446</v>
      </c>
      <c r="L1221" s="27" t="n">
        <v>1</v>
      </c>
      <c r="M1221" s="35" t="s">
        <v>386</v>
      </c>
      <c r="N1221" s="18" t="s">
        <v>387</v>
      </c>
      <c r="O1221" s="27" t="n">
        <v>1</v>
      </c>
      <c r="P1221" s="15" t="n">
        <f aca="false">IF(A1221="","",IF(O1221&lt;&gt;"",O1221,IF(L1221&lt;&gt;"",L1221,F1221)))</f>
        <v>1</v>
      </c>
    </row>
    <row r="1222" customFormat="false" ht="15" hidden="false" customHeight="true" outlineLevel="0" collapsed="false">
      <c r="A1222" s="30" t="s">
        <v>154</v>
      </c>
      <c r="B1222" s="30" t="s">
        <v>155</v>
      </c>
      <c r="C1222" s="21" t="n">
        <f aca="false">IF(A1222="","",IFERROR(VLOOKUP(A1222,'Recert Status'!$A$8:$C$400,3,FALSE()),""))</f>
        <v>46387</v>
      </c>
      <c r="D1222" s="31" t="s">
        <v>1297</v>
      </c>
      <c r="E1222" s="30" t="s">
        <v>389</v>
      </c>
      <c r="F1222" s="32" t="n">
        <v>1.5</v>
      </c>
      <c r="G1222" s="33" t="n">
        <v>46011</v>
      </c>
      <c r="H1222" s="33" t="n">
        <v>46011</v>
      </c>
      <c r="I1222" s="31" t="s">
        <v>1298</v>
      </c>
      <c r="J1222" s="30" t="s">
        <v>389</v>
      </c>
      <c r="K1222" s="31" t="s">
        <v>451</v>
      </c>
      <c r="L1222" s="32" t="n">
        <v>1.5</v>
      </c>
      <c r="M1222" s="35" t="s">
        <v>386</v>
      </c>
      <c r="N1222" s="31" t="s">
        <v>387</v>
      </c>
      <c r="O1222" s="32" t="n">
        <v>1.5</v>
      </c>
      <c r="P1222" s="15" t="n">
        <f aca="false">IF(A1222="","",IF(O1222&lt;&gt;"",O1222,IF(L1222&lt;&gt;"",L1222,F1222)))</f>
        <v>1.5</v>
      </c>
    </row>
    <row r="1223" customFormat="false" ht="15" hidden="false" customHeight="true" outlineLevel="0" collapsed="false">
      <c r="A1223" s="26" t="s">
        <v>154</v>
      </c>
      <c r="B1223" s="26" t="s">
        <v>155</v>
      </c>
      <c r="C1223" s="14" t="n">
        <f aca="false">IF(A1223="","",IFERROR(VLOOKUP(A1223,'Recert Status'!$A$8:$C$400,3,FALSE()),""))</f>
        <v>46387</v>
      </c>
      <c r="D1223" s="18" t="s">
        <v>1297</v>
      </c>
      <c r="E1223" s="26" t="s">
        <v>389</v>
      </c>
      <c r="F1223" s="27" t="n">
        <v>1.5</v>
      </c>
      <c r="G1223" s="28" t="n">
        <v>46011</v>
      </c>
      <c r="H1223" s="28" t="n">
        <v>46011</v>
      </c>
      <c r="I1223" s="18" t="s">
        <v>1298</v>
      </c>
      <c r="J1223" s="26" t="s">
        <v>389</v>
      </c>
      <c r="K1223" s="18" t="s">
        <v>451</v>
      </c>
      <c r="L1223" s="27" t="n">
        <v>1.5</v>
      </c>
      <c r="M1223" s="35" t="s">
        <v>386</v>
      </c>
      <c r="N1223" s="18" t="s">
        <v>387</v>
      </c>
      <c r="O1223" s="27" t="n">
        <v>1.5</v>
      </c>
      <c r="P1223" s="15" t="n">
        <f aca="false">IF(A1223="","",IF(O1223&lt;&gt;"",O1223,IF(L1223&lt;&gt;"",L1223,F1223)))</f>
        <v>1.5</v>
      </c>
    </row>
    <row r="1224" customFormat="false" ht="15" hidden="false" customHeight="true" outlineLevel="0" collapsed="false">
      <c r="A1224" s="30" t="s">
        <v>154</v>
      </c>
      <c r="B1224" s="30" t="s">
        <v>155</v>
      </c>
      <c r="C1224" s="21" t="n">
        <f aca="false">IF(A1224="","",IFERROR(VLOOKUP(A1224,'Recert Status'!$A$8:$C$400,3,FALSE()),""))</f>
        <v>46387</v>
      </c>
      <c r="D1224" s="31" t="s">
        <v>787</v>
      </c>
      <c r="E1224" s="30" t="n">
        <v>29784</v>
      </c>
      <c r="F1224" s="32" t="n">
        <v>1.5</v>
      </c>
      <c r="G1224" s="33" t="n">
        <v>46011</v>
      </c>
      <c r="H1224" s="33" t="n">
        <v>46011</v>
      </c>
      <c r="I1224" s="31" t="s">
        <v>1299</v>
      </c>
      <c r="J1224" s="30" t="s">
        <v>435</v>
      </c>
      <c r="K1224" s="31" t="s">
        <v>468</v>
      </c>
      <c r="L1224" s="32" t="n">
        <v>1.5</v>
      </c>
      <c r="M1224" s="35" t="s">
        <v>386</v>
      </c>
      <c r="N1224" s="31" t="s">
        <v>387</v>
      </c>
      <c r="O1224" s="32" t="n">
        <v>1.5</v>
      </c>
      <c r="P1224" s="15" t="n">
        <f aca="false">IF(A1224="","",IF(O1224&lt;&gt;"",O1224,IF(L1224&lt;&gt;"",L1224,F1224)))</f>
        <v>1.5</v>
      </c>
    </row>
    <row r="1225" customFormat="false" ht="15" hidden="false" customHeight="true" outlineLevel="0" collapsed="false">
      <c r="A1225" s="26" t="s">
        <v>154</v>
      </c>
      <c r="B1225" s="26" t="s">
        <v>155</v>
      </c>
      <c r="C1225" s="14" t="n">
        <f aca="false">IF(A1225="","",IFERROR(VLOOKUP(A1225,'Recert Status'!$A$8:$C$400,3,FALSE()),""))</f>
        <v>46387</v>
      </c>
      <c r="D1225" s="18" t="s">
        <v>387</v>
      </c>
      <c r="E1225" s="26" t="s">
        <v>389</v>
      </c>
      <c r="F1225" s="27" t="n">
        <v>1</v>
      </c>
      <c r="G1225" s="28" t="n">
        <v>46230</v>
      </c>
      <c r="H1225" s="28" t="n">
        <v>46230</v>
      </c>
      <c r="I1225" s="18" t="s">
        <v>1224</v>
      </c>
      <c r="J1225" s="26" t="s">
        <v>389</v>
      </c>
      <c r="K1225" s="18" t="s">
        <v>451</v>
      </c>
      <c r="L1225" s="27" t="n">
        <v>1</v>
      </c>
      <c r="M1225" s="35" t="s">
        <v>386</v>
      </c>
      <c r="N1225" s="18" t="s">
        <v>387</v>
      </c>
      <c r="O1225" s="27" t="n">
        <v>1</v>
      </c>
      <c r="P1225" s="15" t="n">
        <f aca="false">IF(A1225="","",IF(O1225&lt;&gt;"",O1225,IF(L1225&lt;&gt;"",L1225,F1225)))</f>
        <v>1</v>
      </c>
    </row>
    <row r="1226" customFormat="false" ht="15" hidden="false" customHeight="true" outlineLevel="0" collapsed="false">
      <c r="A1226" s="30" t="s">
        <v>154</v>
      </c>
      <c r="B1226" s="30" t="s">
        <v>155</v>
      </c>
      <c r="C1226" s="21" t="n">
        <f aca="false">IF(A1226="","",IFERROR(VLOOKUP(A1226,'Recert Status'!$A$8:$C$400,3,FALSE()),""))</f>
        <v>46387</v>
      </c>
      <c r="D1226" s="31" t="s">
        <v>1300</v>
      </c>
      <c r="E1226" s="30" t="s">
        <v>452</v>
      </c>
      <c r="F1226" s="32" t="n">
        <v>1.5</v>
      </c>
      <c r="G1226" s="33" t="n">
        <v>46011</v>
      </c>
      <c r="H1226" s="33" t="n">
        <v>46011</v>
      </c>
      <c r="I1226" s="31" t="s">
        <v>1301</v>
      </c>
      <c r="J1226" s="30" t="s">
        <v>452</v>
      </c>
      <c r="K1226" s="31" t="s">
        <v>385</v>
      </c>
      <c r="L1226" s="32" t="n">
        <v>1.5</v>
      </c>
      <c r="M1226" s="36" t="s">
        <v>396</v>
      </c>
      <c r="N1226" s="31" t="s">
        <v>397</v>
      </c>
      <c r="O1226" s="32" t="n">
        <v>1.5</v>
      </c>
      <c r="P1226" s="15" t="n">
        <f aca="false">IF(A1226="","",IF(O1226&lt;&gt;"",O1226,IF(L1226&lt;&gt;"",L1226,F1226)))</f>
        <v>1.5</v>
      </c>
    </row>
    <row r="1227" customFormat="false" ht="15" hidden="false" customHeight="true" outlineLevel="0" collapsed="false">
      <c r="A1227" s="26" t="s">
        <v>154</v>
      </c>
      <c r="B1227" s="26" t="s">
        <v>155</v>
      </c>
      <c r="C1227" s="14" t="n">
        <f aca="false">IF(A1227="","",IFERROR(VLOOKUP(A1227,'Recert Status'!$A$8:$C$400,3,FALSE()),""))</f>
        <v>46387</v>
      </c>
      <c r="D1227" s="18" t="s">
        <v>1302</v>
      </c>
      <c r="E1227" s="26" t="s">
        <v>452</v>
      </c>
      <c r="F1227" s="27" t="n">
        <v>1</v>
      </c>
      <c r="G1227" s="28" t="n">
        <v>46017</v>
      </c>
      <c r="H1227" s="28" t="n">
        <v>46017</v>
      </c>
      <c r="I1227" s="18" t="s">
        <v>1303</v>
      </c>
      <c r="J1227" s="26" t="s">
        <v>452</v>
      </c>
      <c r="K1227" s="18" t="s">
        <v>385</v>
      </c>
      <c r="L1227" s="27" t="n">
        <v>1</v>
      </c>
      <c r="M1227" s="36" t="s">
        <v>396</v>
      </c>
      <c r="N1227" s="18" t="s">
        <v>397</v>
      </c>
      <c r="O1227" s="27" t="n">
        <v>1</v>
      </c>
      <c r="P1227" s="15" t="n">
        <f aca="false">IF(A1227="","",IF(O1227&lt;&gt;"",O1227,IF(L1227&lt;&gt;"",L1227,F1227)))</f>
        <v>1</v>
      </c>
    </row>
    <row r="1228" customFormat="false" ht="15" hidden="false" customHeight="true" outlineLevel="0" collapsed="false">
      <c r="A1228" s="30" t="s">
        <v>154</v>
      </c>
      <c r="B1228" s="30" t="s">
        <v>155</v>
      </c>
      <c r="C1228" s="21" t="n">
        <f aca="false">IF(A1228="","",IFERROR(VLOOKUP(A1228,'Recert Status'!$A$8:$C$400,3,FALSE()),""))</f>
        <v>46387</v>
      </c>
      <c r="D1228" s="31" t="s">
        <v>397</v>
      </c>
      <c r="E1228" s="30" t="s">
        <v>452</v>
      </c>
      <c r="F1228" s="32" t="n">
        <v>1</v>
      </c>
      <c r="G1228" s="33" t="n">
        <v>46245</v>
      </c>
      <c r="H1228" s="33" t="n">
        <v>46245</v>
      </c>
      <c r="I1228" s="31" t="s">
        <v>605</v>
      </c>
      <c r="J1228" s="30" t="s">
        <v>452</v>
      </c>
      <c r="K1228" s="31" t="s">
        <v>385</v>
      </c>
      <c r="L1228" s="32" t="n">
        <v>1</v>
      </c>
      <c r="M1228" s="36" t="s">
        <v>396</v>
      </c>
      <c r="N1228" s="31" t="s">
        <v>397</v>
      </c>
      <c r="O1228" s="32" t="n">
        <v>1</v>
      </c>
      <c r="P1228" s="15" t="n">
        <f aca="false">IF(A1228="","",IF(O1228&lt;&gt;"",O1228,IF(L1228&lt;&gt;"",L1228,F1228)))</f>
        <v>1</v>
      </c>
    </row>
    <row r="1229" customFormat="false" ht="15" hidden="false" customHeight="true" outlineLevel="0" collapsed="false">
      <c r="A1229" s="26" t="s">
        <v>154</v>
      </c>
      <c r="B1229" s="26" t="s">
        <v>155</v>
      </c>
      <c r="C1229" s="14" t="n">
        <f aca="false">IF(A1229="","",IFERROR(VLOOKUP(A1229,'Recert Status'!$A$8:$C$400,3,FALSE()),""))</f>
        <v>46387</v>
      </c>
      <c r="D1229" s="18" t="s">
        <v>397</v>
      </c>
      <c r="E1229" s="26" t="s">
        <v>452</v>
      </c>
      <c r="F1229" s="27" t="n">
        <v>1</v>
      </c>
      <c r="G1229" s="28" t="n">
        <v>46292</v>
      </c>
      <c r="H1229" s="28" t="n">
        <v>46292</v>
      </c>
      <c r="I1229" s="18" t="s">
        <v>1233</v>
      </c>
      <c r="J1229" s="26" t="s">
        <v>452</v>
      </c>
      <c r="K1229" s="18" t="s">
        <v>385</v>
      </c>
      <c r="L1229" s="27" t="n">
        <v>1</v>
      </c>
      <c r="M1229" s="36" t="s">
        <v>396</v>
      </c>
      <c r="N1229" s="18" t="s">
        <v>397</v>
      </c>
      <c r="O1229" s="27" t="n">
        <v>1</v>
      </c>
      <c r="P1229" s="15" t="n">
        <f aca="false">IF(A1229="","",IF(O1229&lt;&gt;"",O1229,IF(L1229&lt;&gt;"",L1229,F1229)))</f>
        <v>1</v>
      </c>
    </row>
    <row r="1230" customFormat="false" ht="15" hidden="false" customHeight="true" outlineLevel="0" collapsed="false">
      <c r="A1230" s="30" t="s">
        <v>154</v>
      </c>
      <c r="B1230" s="30" t="s">
        <v>155</v>
      </c>
      <c r="C1230" s="21" t="n">
        <f aca="false">IF(A1230="","",IFERROR(VLOOKUP(A1230,'Recert Status'!$A$8:$C$400,3,FALSE()),""))</f>
        <v>46387</v>
      </c>
      <c r="D1230" s="31" t="s">
        <v>955</v>
      </c>
      <c r="E1230" s="30" t="s">
        <v>399</v>
      </c>
      <c r="F1230" s="32" t="n">
        <v>1</v>
      </c>
      <c r="G1230" s="33" t="n">
        <v>45972</v>
      </c>
      <c r="H1230" s="33" t="n">
        <v>45972</v>
      </c>
      <c r="I1230" s="31" t="s">
        <v>956</v>
      </c>
      <c r="J1230" s="30" t="s">
        <v>399</v>
      </c>
      <c r="K1230" s="31" t="s">
        <v>401</v>
      </c>
      <c r="L1230" s="32" t="n">
        <v>1</v>
      </c>
      <c r="M1230" s="37" t="s">
        <v>402</v>
      </c>
      <c r="N1230" s="31" t="s">
        <v>403</v>
      </c>
      <c r="O1230" s="32" t="n">
        <v>1</v>
      </c>
      <c r="P1230" s="15" t="n">
        <f aca="false">IF(A1230="","",IF(O1230&lt;&gt;"",O1230,IF(L1230&lt;&gt;"",L1230,F1230)))</f>
        <v>1</v>
      </c>
    </row>
    <row r="1231" customFormat="false" ht="15" hidden="false" customHeight="true" outlineLevel="0" collapsed="false">
      <c r="A1231" s="26" t="s">
        <v>154</v>
      </c>
      <c r="B1231" s="26" t="s">
        <v>155</v>
      </c>
      <c r="C1231" s="14" t="n">
        <f aca="false">IF(A1231="","",IFERROR(VLOOKUP(A1231,'Recert Status'!$A$8:$C$400,3,FALSE()),""))</f>
        <v>46387</v>
      </c>
      <c r="D1231" s="18" t="s">
        <v>415</v>
      </c>
      <c r="E1231" s="26" t="s">
        <v>416</v>
      </c>
      <c r="F1231" s="27" t="n">
        <v>2</v>
      </c>
      <c r="G1231" s="28" t="n">
        <v>45860</v>
      </c>
      <c r="H1231" s="28" t="n">
        <v>45860</v>
      </c>
      <c r="I1231" s="18" t="s">
        <v>721</v>
      </c>
      <c r="J1231" s="26" t="s">
        <v>416</v>
      </c>
      <c r="K1231" s="18" t="s">
        <v>418</v>
      </c>
      <c r="L1231" s="27" t="n">
        <v>2</v>
      </c>
      <c r="M1231" s="39" t="s">
        <v>413</v>
      </c>
      <c r="N1231" s="18" t="s">
        <v>414</v>
      </c>
      <c r="O1231" s="27" t="n">
        <v>2</v>
      </c>
      <c r="P1231" s="15" t="n">
        <f aca="false">IF(A1231="","",IF(O1231&lt;&gt;"",O1231,IF(L1231&lt;&gt;"",L1231,F1231)))</f>
        <v>2</v>
      </c>
    </row>
    <row r="1232" customFormat="false" ht="15" hidden="false" customHeight="true" outlineLevel="0" collapsed="false">
      <c r="A1232" s="30" t="s">
        <v>154</v>
      </c>
      <c r="B1232" s="30" t="s">
        <v>155</v>
      </c>
      <c r="C1232" s="21" t="n">
        <f aca="false">IF(A1232="","",IFERROR(VLOOKUP(A1232,'Recert Status'!$A$8:$C$400,3,FALSE()),""))</f>
        <v>46387</v>
      </c>
      <c r="D1232" s="31" t="s">
        <v>457</v>
      </c>
      <c r="E1232" s="30" t="s">
        <v>416</v>
      </c>
      <c r="F1232" s="32" t="n">
        <v>2</v>
      </c>
      <c r="G1232" s="33" t="n">
        <v>45861</v>
      </c>
      <c r="H1232" s="33" t="n">
        <v>45861</v>
      </c>
      <c r="I1232" s="31" t="s">
        <v>921</v>
      </c>
      <c r="J1232" s="30" t="s">
        <v>416</v>
      </c>
      <c r="K1232" s="31" t="s">
        <v>418</v>
      </c>
      <c r="L1232" s="32" t="n">
        <v>2</v>
      </c>
      <c r="M1232" s="39" t="s">
        <v>413</v>
      </c>
      <c r="N1232" s="31" t="s">
        <v>414</v>
      </c>
      <c r="O1232" s="32" t="n">
        <v>2</v>
      </c>
      <c r="P1232" s="15" t="n">
        <f aca="false">IF(A1232="","",IF(O1232&lt;&gt;"",O1232,IF(L1232&lt;&gt;"",L1232,F1232)))</f>
        <v>2</v>
      </c>
    </row>
    <row r="1233" customFormat="false" ht="15" hidden="false" customHeight="true" outlineLevel="0" collapsed="false">
      <c r="A1233" s="26" t="s">
        <v>154</v>
      </c>
      <c r="B1233" s="26" t="s">
        <v>155</v>
      </c>
      <c r="C1233" s="14" t="n">
        <f aca="false">IF(A1233="","",IFERROR(VLOOKUP(A1233,'Recert Status'!$A$8:$C$400,3,FALSE()),""))</f>
        <v>46387</v>
      </c>
      <c r="D1233" s="18" t="s">
        <v>582</v>
      </c>
      <c r="E1233" s="26" t="s">
        <v>416</v>
      </c>
      <c r="F1233" s="27" t="n">
        <v>2</v>
      </c>
      <c r="G1233" s="28" t="n">
        <v>45861</v>
      </c>
      <c r="H1233" s="28" t="n">
        <v>45861</v>
      </c>
      <c r="I1233" s="18" t="s">
        <v>583</v>
      </c>
      <c r="J1233" s="26" t="s">
        <v>416</v>
      </c>
      <c r="K1233" s="18" t="s">
        <v>418</v>
      </c>
      <c r="L1233" s="27" t="n">
        <v>2</v>
      </c>
      <c r="M1233" s="39" t="s">
        <v>413</v>
      </c>
      <c r="N1233" s="18" t="s">
        <v>414</v>
      </c>
      <c r="O1233" s="27" t="n">
        <v>2</v>
      </c>
      <c r="P1233" s="15" t="n">
        <f aca="false">IF(A1233="","",IF(O1233&lt;&gt;"",O1233,IF(L1233&lt;&gt;"",L1233,F1233)))</f>
        <v>2</v>
      </c>
    </row>
    <row r="1234" customFormat="false" ht="15" hidden="false" customHeight="true" outlineLevel="0" collapsed="false">
      <c r="A1234" s="30" t="s">
        <v>154</v>
      </c>
      <c r="B1234" s="30" t="s">
        <v>155</v>
      </c>
      <c r="C1234" s="21" t="n">
        <f aca="false">IF(A1234="","",IFERROR(VLOOKUP(A1234,'Recert Status'!$A$8:$C$400,3,FALSE()),""))</f>
        <v>46387</v>
      </c>
      <c r="D1234" s="31" t="s">
        <v>905</v>
      </c>
      <c r="E1234" s="30" t="s">
        <v>416</v>
      </c>
      <c r="F1234" s="32" t="n">
        <v>1</v>
      </c>
      <c r="G1234" s="33" t="n">
        <v>45935</v>
      </c>
      <c r="H1234" s="33" t="n">
        <v>45935</v>
      </c>
      <c r="I1234" s="31" t="s">
        <v>906</v>
      </c>
      <c r="J1234" s="30" t="s">
        <v>416</v>
      </c>
      <c r="K1234" s="31" t="s">
        <v>418</v>
      </c>
      <c r="L1234" s="32" t="n">
        <v>1</v>
      </c>
      <c r="M1234" s="39" t="s">
        <v>413</v>
      </c>
      <c r="N1234" s="31" t="s">
        <v>414</v>
      </c>
      <c r="O1234" s="32" t="n">
        <v>1</v>
      </c>
      <c r="P1234" s="15" t="n">
        <f aca="false">IF(A1234="","",IF(O1234&lt;&gt;"",O1234,IF(L1234&lt;&gt;"",L1234,F1234)))</f>
        <v>1</v>
      </c>
    </row>
    <row r="1235" customFormat="false" ht="15" hidden="false" customHeight="true" outlineLevel="0" collapsed="false">
      <c r="A1235" s="26" t="s">
        <v>154</v>
      </c>
      <c r="B1235" s="26" t="s">
        <v>155</v>
      </c>
      <c r="C1235" s="14" t="n">
        <f aca="false">IF(A1235="","",IFERROR(VLOOKUP(A1235,'Recert Status'!$A$8:$C$400,3,FALSE()),""))</f>
        <v>46387</v>
      </c>
      <c r="D1235" s="18" t="s">
        <v>488</v>
      </c>
      <c r="E1235" s="26" t="s">
        <v>416</v>
      </c>
      <c r="F1235" s="27" t="n">
        <v>1</v>
      </c>
      <c r="G1235" s="28" t="n">
        <v>46125</v>
      </c>
      <c r="H1235" s="28" t="n">
        <v>46125</v>
      </c>
      <c r="I1235" s="18" t="s">
        <v>608</v>
      </c>
      <c r="J1235" s="26" t="s">
        <v>416</v>
      </c>
      <c r="K1235" s="18" t="s">
        <v>490</v>
      </c>
      <c r="L1235" s="27" t="n">
        <v>1</v>
      </c>
      <c r="M1235" s="39" t="s">
        <v>413</v>
      </c>
      <c r="N1235" s="18" t="s">
        <v>414</v>
      </c>
      <c r="O1235" s="27" t="n">
        <v>1</v>
      </c>
      <c r="P1235" s="15" t="n">
        <f aca="false">IF(A1235="","",IF(O1235&lt;&gt;"",O1235,IF(L1235&lt;&gt;"",L1235,F1235)))</f>
        <v>1</v>
      </c>
    </row>
    <row r="1236" customFormat="false" ht="15" hidden="false" customHeight="true" outlineLevel="0" collapsed="false">
      <c r="A1236" s="30" t="s">
        <v>154</v>
      </c>
      <c r="B1236" s="30" t="s">
        <v>155</v>
      </c>
      <c r="C1236" s="21" t="n">
        <f aca="false">IF(A1236="","",IFERROR(VLOOKUP(A1236,'Recert Status'!$A$8:$C$400,3,FALSE()),""))</f>
        <v>46387</v>
      </c>
      <c r="D1236" s="31" t="s">
        <v>414</v>
      </c>
      <c r="E1236" s="30" t="s">
        <v>416</v>
      </c>
      <c r="F1236" s="32" t="n">
        <v>2</v>
      </c>
      <c r="G1236" s="33" t="n">
        <v>46218</v>
      </c>
      <c r="H1236" s="33" t="n">
        <v>46218</v>
      </c>
      <c r="I1236" s="31" t="s">
        <v>535</v>
      </c>
      <c r="J1236" s="30" t="s">
        <v>416</v>
      </c>
      <c r="K1236" s="31" t="s">
        <v>418</v>
      </c>
      <c r="L1236" s="32" t="n">
        <v>2</v>
      </c>
      <c r="M1236" s="39" t="s">
        <v>413</v>
      </c>
      <c r="N1236" s="31" t="s">
        <v>414</v>
      </c>
      <c r="O1236" s="32" t="n">
        <v>2</v>
      </c>
      <c r="P1236" s="15" t="n">
        <f aca="false">IF(A1236="","",IF(O1236&lt;&gt;"",O1236,IF(L1236&lt;&gt;"",L1236,F1236)))</f>
        <v>2</v>
      </c>
    </row>
    <row r="1237" customFormat="false" ht="15" hidden="false" customHeight="true" outlineLevel="0" collapsed="false">
      <c r="A1237" s="26" t="s">
        <v>154</v>
      </c>
      <c r="B1237" s="26" t="s">
        <v>155</v>
      </c>
      <c r="C1237" s="14" t="n">
        <f aca="false">IF(A1237="","",IFERROR(VLOOKUP(A1237,'Recert Status'!$A$8:$C$400,3,FALSE()),""))</f>
        <v>46387</v>
      </c>
      <c r="D1237" s="18" t="s">
        <v>414</v>
      </c>
      <c r="E1237" s="26" t="s">
        <v>416</v>
      </c>
      <c r="F1237" s="27" t="n">
        <v>2</v>
      </c>
      <c r="G1237" s="28" t="n">
        <v>46219</v>
      </c>
      <c r="H1237" s="28" t="n">
        <v>46219</v>
      </c>
      <c r="I1237" s="18" t="s">
        <v>567</v>
      </c>
      <c r="J1237" s="26" t="s">
        <v>416</v>
      </c>
      <c r="K1237" s="18" t="s">
        <v>418</v>
      </c>
      <c r="L1237" s="27" t="n">
        <v>2</v>
      </c>
      <c r="M1237" s="39" t="s">
        <v>413</v>
      </c>
      <c r="N1237" s="18" t="s">
        <v>414</v>
      </c>
      <c r="O1237" s="27" t="n">
        <v>2</v>
      </c>
      <c r="P1237" s="15" t="n">
        <f aca="false">IF(A1237="","",IF(O1237&lt;&gt;"",O1237,IF(L1237&lt;&gt;"",L1237,F1237)))</f>
        <v>2</v>
      </c>
    </row>
    <row r="1238" customFormat="false" ht="15" hidden="false" customHeight="true" outlineLevel="0" collapsed="false">
      <c r="A1238" s="30" t="s">
        <v>156</v>
      </c>
      <c r="B1238" s="30" t="s">
        <v>157</v>
      </c>
      <c r="C1238" s="21" t="n">
        <f aca="false">IF(A1238="","",IFERROR(VLOOKUP(A1238,'Recert Status'!$A$8:$C$400,3,FALSE()),""))</f>
        <v>46387</v>
      </c>
      <c r="D1238" s="31" t="s">
        <v>541</v>
      </c>
      <c r="E1238" s="30" t="s">
        <v>542</v>
      </c>
      <c r="F1238" s="32" t="n">
        <v>1</v>
      </c>
      <c r="G1238" s="33" t="n">
        <v>45811</v>
      </c>
      <c r="H1238" s="33" t="n">
        <v>45811</v>
      </c>
      <c r="I1238" s="31" t="s">
        <v>543</v>
      </c>
      <c r="J1238" s="30" t="s">
        <v>542</v>
      </c>
      <c r="K1238" s="31" t="s">
        <v>422</v>
      </c>
      <c r="L1238" s="32" t="n">
        <v>1</v>
      </c>
      <c r="M1238" s="40" t="s">
        <v>423</v>
      </c>
      <c r="N1238" s="31" t="s">
        <v>424</v>
      </c>
      <c r="O1238" s="32" t="n">
        <v>1</v>
      </c>
      <c r="P1238" s="15" t="n">
        <f aca="false">IF(A1238="","",IF(O1238&lt;&gt;"",O1238,IF(L1238&lt;&gt;"",L1238,F1238)))</f>
        <v>1</v>
      </c>
    </row>
    <row r="1239" customFormat="false" ht="15" hidden="false" customHeight="true" outlineLevel="0" collapsed="false">
      <c r="A1239" s="26" t="s">
        <v>156</v>
      </c>
      <c r="B1239" s="26" t="s">
        <v>157</v>
      </c>
      <c r="C1239" s="14" t="n">
        <f aca="false">IF(A1239="","",IFERROR(VLOOKUP(A1239,'Recert Status'!$A$8:$C$400,3,FALSE()),""))</f>
        <v>46387</v>
      </c>
      <c r="D1239" s="18" t="s">
        <v>1229</v>
      </c>
      <c r="E1239" s="26" t="n">
        <v>57433</v>
      </c>
      <c r="F1239" s="27" t="n">
        <v>1</v>
      </c>
      <c r="G1239" s="28" t="n">
        <v>45946</v>
      </c>
      <c r="H1239" s="28" t="n">
        <v>45946</v>
      </c>
      <c r="I1239" s="18" t="s">
        <v>1230</v>
      </c>
      <c r="J1239" s="26" t="s">
        <v>421</v>
      </c>
      <c r="K1239" s="18" t="s">
        <v>422</v>
      </c>
      <c r="L1239" s="27" t="n">
        <v>1</v>
      </c>
      <c r="M1239" s="40" t="s">
        <v>423</v>
      </c>
      <c r="N1239" s="18" t="s">
        <v>424</v>
      </c>
      <c r="O1239" s="27" t="n">
        <v>1</v>
      </c>
      <c r="P1239" s="15" t="n">
        <f aca="false">IF(A1239="","",IF(O1239&lt;&gt;"",O1239,IF(L1239&lt;&gt;"",L1239,F1239)))</f>
        <v>1</v>
      </c>
    </row>
    <row r="1240" customFormat="false" ht="15" hidden="false" customHeight="true" outlineLevel="0" collapsed="false">
      <c r="A1240" s="30" t="s">
        <v>156</v>
      </c>
      <c r="B1240" s="30" t="s">
        <v>157</v>
      </c>
      <c r="C1240" s="21" t="n">
        <f aca="false">IF(A1240="","",IFERROR(VLOOKUP(A1240,'Recert Status'!$A$8:$C$400,3,FALSE()),""))</f>
        <v>46387</v>
      </c>
      <c r="D1240" s="31" t="s">
        <v>548</v>
      </c>
      <c r="E1240" s="30" t="s">
        <v>426</v>
      </c>
      <c r="F1240" s="32" t="n">
        <v>2</v>
      </c>
      <c r="G1240" s="33" t="n">
        <v>45979</v>
      </c>
      <c r="H1240" s="33" t="n">
        <v>45979</v>
      </c>
      <c r="I1240" s="31" t="s">
        <v>549</v>
      </c>
      <c r="J1240" s="30" t="s">
        <v>426</v>
      </c>
      <c r="K1240" s="31" t="s">
        <v>428</v>
      </c>
      <c r="L1240" s="32" t="n">
        <v>2</v>
      </c>
      <c r="M1240" s="41" t="s">
        <v>429</v>
      </c>
      <c r="N1240" s="31" t="s">
        <v>430</v>
      </c>
      <c r="O1240" s="32" t="n">
        <v>2</v>
      </c>
      <c r="P1240" s="15" t="n">
        <f aca="false">IF(A1240="","",IF(O1240&lt;&gt;"",O1240,IF(L1240&lt;&gt;"",L1240,F1240)))</f>
        <v>2</v>
      </c>
    </row>
    <row r="1241" customFormat="false" ht="15" hidden="false" customHeight="true" outlineLevel="0" collapsed="false">
      <c r="A1241" s="26" t="s">
        <v>156</v>
      </c>
      <c r="B1241" s="26" t="s">
        <v>157</v>
      </c>
      <c r="C1241" s="14" t="n">
        <f aca="false">IF(A1241="","",IFERROR(VLOOKUP(A1241,'Recert Status'!$A$8:$C$400,3,FALSE()),""))</f>
        <v>46387</v>
      </c>
      <c r="D1241" s="18" t="s">
        <v>1316</v>
      </c>
      <c r="E1241" s="26" t="s">
        <v>372</v>
      </c>
      <c r="F1241" s="27" t="n">
        <v>0.5</v>
      </c>
      <c r="G1241" s="28" t="n">
        <v>45775</v>
      </c>
      <c r="H1241" s="28" t="n">
        <v>45775</v>
      </c>
      <c r="I1241" s="18" t="s">
        <v>1317</v>
      </c>
      <c r="J1241" s="26" t="s">
        <v>372</v>
      </c>
      <c r="K1241" s="18" t="s">
        <v>374</v>
      </c>
      <c r="L1241" s="27" t="n">
        <v>0.5</v>
      </c>
      <c r="M1241" s="34" t="s">
        <v>375</v>
      </c>
      <c r="N1241" s="18" t="s">
        <v>376</v>
      </c>
      <c r="O1241" s="27" t="n">
        <v>0.5</v>
      </c>
      <c r="P1241" s="15" t="n">
        <f aca="false">IF(A1241="","",IF(O1241&lt;&gt;"",O1241,IF(L1241&lt;&gt;"",L1241,F1241)))</f>
        <v>0.5</v>
      </c>
    </row>
    <row r="1242" customFormat="false" ht="15" hidden="false" customHeight="true" outlineLevel="0" collapsed="false">
      <c r="A1242" s="30" t="s">
        <v>156</v>
      </c>
      <c r="B1242" s="30" t="s">
        <v>157</v>
      </c>
      <c r="C1242" s="21" t="n">
        <f aca="false">IF(A1242="","",IFERROR(VLOOKUP(A1242,'Recert Status'!$A$8:$C$400,3,FALSE()),""))</f>
        <v>46387</v>
      </c>
      <c r="D1242" s="31" t="s">
        <v>1318</v>
      </c>
      <c r="E1242" s="30" t="n">
        <v>29675</v>
      </c>
      <c r="F1242" s="32" t="n">
        <v>8</v>
      </c>
      <c r="G1242" s="33" t="n">
        <v>45873</v>
      </c>
      <c r="H1242" s="33" t="n">
        <v>45873</v>
      </c>
      <c r="I1242" s="31" t="s">
        <v>1319</v>
      </c>
      <c r="J1242" s="30" t="s">
        <v>406</v>
      </c>
      <c r="K1242" s="31" t="s">
        <v>1320</v>
      </c>
      <c r="L1242" s="32" t="n">
        <v>8</v>
      </c>
      <c r="M1242" s="35" t="s">
        <v>386</v>
      </c>
      <c r="N1242" s="31" t="s">
        <v>514</v>
      </c>
      <c r="O1242" s="32" t="n">
        <v>8</v>
      </c>
      <c r="P1242" s="15" t="n">
        <f aca="false">IF(A1242="","",IF(O1242&lt;&gt;"",O1242,IF(L1242&lt;&gt;"",L1242,F1242)))</f>
        <v>8</v>
      </c>
    </row>
    <row r="1243" customFormat="false" ht="15" hidden="false" customHeight="true" outlineLevel="0" collapsed="false">
      <c r="A1243" s="26" t="s">
        <v>156</v>
      </c>
      <c r="B1243" s="26" t="s">
        <v>157</v>
      </c>
      <c r="C1243" s="14" t="n">
        <f aca="false">IF(A1243="","",IFERROR(VLOOKUP(A1243,'Recert Status'!$A$8:$C$400,3,FALSE()),""))</f>
        <v>46387</v>
      </c>
      <c r="D1243" s="18" t="s">
        <v>382</v>
      </c>
      <c r="E1243" s="26" t="n">
        <v>35513</v>
      </c>
      <c r="F1243" s="27" t="n">
        <v>2</v>
      </c>
      <c r="G1243" s="28" t="n">
        <v>45883</v>
      </c>
      <c r="H1243" s="28" t="n">
        <v>45883</v>
      </c>
      <c r="I1243" s="18" t="s">
        <v>553</v>
      </c>
      <c r="J1243" s="26" t="s">
        <v>384</v>
      </c>
      <c r="K1243" s="18" t="s">
        <v>385</v>
      </c>
      <c r="L1243" s="27" t="n">
        <v>2</v>
      </c>
      <c r="M1243" s="35" t="s">
        <v>386</v>
      </c>
      <c r="N1243" s="18" t="s">
        <v>387</v>
      </c>
      <c r="O1243" s="27" t="n">
        <v>2</v>
      </c>
      <c r="P1243" s="15" t="n">
        <f aca="false">IF(A1243="","",IF(O1243&lt;&gt;"",O1243,IF(L1243&lt;&gt;"",L1243,F1243)))</f>
        <v>2</v>
      </c>
    </row>
    <row r="1244" customFormat="false" ht="15" hidden="false" customHeight="true" outlineLevel="0" collapsed="false">
      <c r="A1244" s="30" t="s">
        <v>156</v>
      </c>
      <c r="B1244" s="30" t="s">
        <v>157</v>
      </c>
      <c r="C1244" s="21" t="n">
        <f aca="false">IF(A1244="","",IFERROR(VLOOKUP(A1244,'Recert Status'!$A$8:$C$400,3,FALSE()),""))</f>
        <v>46387</v>
      </c>
      <c r="D1244" s="31" t="s">
        <v>804</v>
      </c>
      <c r="E1244" s="30" t="s">
        <v>389</v>
      </c>
      <c r="F1244" s="32" t="n">
        <v>1</v>
      </c>
      <c r="G1244" s="33" t="n">
        <v>46039</v>
      </c>
      <c r="H1244" s="33" t="n">
        <v>46039</v>
      </c>
      <c r="I1244" s="31" t="s">
        <v>805</v>
      </c>
      <c r="J1244" s="30" t="s">
        <v>389</v>
      </c>
      <c r="K1244" s="31" t="s">
        <v>451</v>
      </c>
      <c r="L1244" s="32" t="n">
        <v>1</v>
      </c>
      <c r="M1244" s="35" t="s">
        <v>386</v>
      </c>
      <c r="N1244" s="31" t="s">
        <v>387</v>
      </c>
      <c r="O1244" s="32" t="n">
        <v>1</v>
      </c>
      <c r="P1244" s="15" t="n">
        <f aca="false">IF(A1244="","",IF(O1244&lt;&gt;"",O1244,IF(L1244&lt;&gt;"",L1244,F1244)))</f>
        <v>1</v>
      </c>
    </row>
    <row r="1245" customFormat="false" ht="15" hidden="false" customHeight="true" outlineLevel="0" collapsed="false">
      <c r="A1245" s="26" t="s">
        <v>156</v>
      </c>
      <c r="B1245" s="26" t="s">
        <v>157</v>
      </c>
      <c r="C1245" s="14" t="n">
        <f aca="false">IF(A1245="","",IFERROR(VLOOKUP(A1245,'Recert Status'!$A$8:$C$400,3,FALSE()),""))</f>
        <v>46387</v>
      </c>
      <c r="D1245" s="18" t="s">
        <v>806</v>
      </c>
      <c r="E1245" s="26" t="s">
        <v>452</v>
      </c>
      <c r="F1245" s="27" t="n">
        <v>1</v>
      </c>
      <c r="G1245" s="28" t="n">
        <v>46039</v>
      </c>
      <c r="H1245" s="28" t="n">
        <v>46039</v>
      </c>
      <c r="I1245" s="18" t="s">
        <v>807</v>
      </c>
      <c r="J1245" s="26" t="s">
        <v>452</v>
      </c>
      <c r="K1245" s="18" t="s">
        <v>808</v>
      </c>
      <c r="L1245" s="27" t="n">
        <v>1</v>
      </c>
      <c r="M1245" s="36" t="s">
        <v>396</v>
      </c>
      <c r="N1245" s="18" t="s">
        <v>397</v>
      </c>
      <c r="O1245" s="27" t="n">
        <v>1</v>
      </c>
      <c r="P1245" s="15" t="n">
        <f aca="false">IF(A1245="","",IF(O1245&lt;&gt;"",O1245,IF(L1245&lt;&gt;"",L1245,F1245)))</f>
        <v>1</v>
      </c>
    </row>
    <row r="1246" customFormat="false" ht="15" hidden="false" customHeight="true" outlineLevel="0" collapsed="false">
      <c r="A1246" s="30" t="s">
        <v>156</v>
      </c>
      <c r="B1246" s="30" t="s">
        <v>157</v>
      </c>
      <c r="C1246" s="21" t="n">
        <f aca="false">IF(A1246="","",IFERROR(VLOOKUP(A1246,'Recert Status'!$A$8:$C$400,3,FALSE()),""))</f>
        <v>46387</v>
      </c>
      <c r="D1246" s="31" t="s">
        <v>397</v>
      </c>
      <c r="E1246" s="30" t="s">
        <v>452</v>
      </c>
      <c r="F1246" s="32" t="n">
        <v>1</v>
      </c>
      <c r="G1246" s="33" t="n">
        <v>46246</v>
      </c>
      <c r="H1246" s="33" t="n">
        <v>46246</v>
      </c>
      <c r="I1246" s="31" t="s">
        <v>478</v>
      </c>
      <c r="J1246" s="30" t="s">
        <v>452</v>
      </c>
      <c r="K1246" s="31" t="s">
        <v>385</v>
      </c>
      <c r="L1246" s="32" t="n">
        <v>1</v>
      </c>
      <c r="M1246" s="36" t="s">
        <v>396</v>
      </c>
      <c r="N1246" s="31" t="s">
        <v>397</v>
      </c>
      <c r="O1246" s="32" t="n">
        <v>1</v>
      </c>
      <c r="P1246" s="15" t="n">
        <f aca="false">IF(A1246="","",IF(O1246&lt;&gt;"",O1246,IF(L1246&lt;&gt;"",L1246,F1246)))</f>
        <v>1</v>
      </c>
    </row>
    <row r="1247" customFormat="false" ht="15" hidden="false" customHeight="true" outlineLevel="0" collapsed="false">
      <c r="A1247" s="26" t="s">
        <v>156</v>
      </c>
      <c r="B1247" s="26" t="s">
        <v>157</v>
      </c>
      <c r="C1247" s="14" t="n">
        <f aca="false">IF(A1247="","",IFERROR(VLOOKUP(A1247,'Recert Status'!$A$8:$C$400,3,FALSE()),""))</f>
        <v>46387</v>
      </c>
      <c r="D1247" s="18" t="s">
        <v>397</v>
      </c>
      <c r="E1247" s="26" t="s">
        <v>452</v>
      </c>
      <c r="F1247" s="27" t="n">
        <v>1</v>
      </c>
      <c r="G1247" s="28" t="n">
        <v>46292</v>
      </c>
      <c r="H1247" s="28" t="n">
        <v>46292</v>
      </c>
      <c r="I1247" s="18" t="s">
        <v>1233</v>
      </c>
      <c r="J1247" s="26" t="s">
        <v>452</v>
      </c>
      <c r="K1247" s="18" t="s">
        <v>385</v>
      </c>
      <c r="L1247" s="27" t="n">
        <v>1</v>
      </c>
      <c r="M1247" s="36" t="s">
        <v>396</v>
      </c>
      <c r="N1247" s="18" t="s">
        <v>397</v>
      </c>
      <c r="O1247" s="27" t="n">
        <v>1</v>
      </c>
      <c r="P1247" s="15" t="n">
        <f aca="false">IF(A1247="","",IF(O1247&lt;&gt;"",O1247,IF(L1247&lt;&gt;"",L1247,F1247)))</f>
        <v>1</v>
      </c>
    </row>
    <row r="1248" customFormat="false" ht="15" hidden="false" customHeight="true" outlineLevel="0" collapsed="false">
      <c r="A1248" s="30" t="s">
        <v>156</v>
      </c>
      <c r="B1248" s="30" t="s">
        <v>157</v>
      </c>
      <c r="C1248" s="21" t="n">
        <f aca="false">IF(A1248="","",IFERROR(VLOOKUP(A1248,'Recert Status'!$A$8:$C$400,3,FALSE()),""))</f>
        <v>46387</v>
      </c>
      <c r="D1248" s="31" t="s">
        <v>798</v>
      </c>
      <c r="E1248" s="30" t="s">
        <v>416</v>
      </c>
      <c r="F1248" s="32" t="n">
        <v>1</v>
      </c>
      <c r="G1248" s="33" t="n">
        <v>45710</v>
      </c>
      <c r="H1248" s="33" t="n">
        <v>45710</v>
      </c>
      <c r="I1248" s="31" t="s">
        <v>799</v>
      </c>
      <c r="J1248" s="30" t="s">
        <v>416</v>
      </c>
      <c r="K1248" s="31" t="s">
        <v>490</v>
      </c>
      <c r="L1248" s="32" t="n">
        <v>1</v>
      </c>
      <c r="M1248" s="39" t="s">
        <v>413</v>
      </c>
      <c r="N1248" s="31" t="s">
        <v>414</v>
      </c>
      <c r="O1248" s="32" t="n">
        <v>1</v>
      </c>
      <c r="P1248" s="15" t="n">
        <f aca="false">IF(A1248="","",IF(O1248&lt;&gt;"",O1248,IF(L1248&lt;&gt;"",L1248,F1248)))</f>
        <v>1</v>
      </c>
    </row>
    <row r="1249" customFormat="false" ht="15" hidden="false" customHeight="true" outlineLevel="0" collapsed="false">
      <c r="A1249" s="26" t="s">
        <v>156</v>
      </c>
      <c r="B1249" s="26" t="s">
        <v>157</v>
      </c>
      <c r="C1249" s="14" t="n">
        <f aca="false">IF(A1249="","",IFERROR(VLOOKUP(A1249,'Recert Status'!$A$8:$C$400,3,FALSE()),""))</f>
        <v>46387</v>
      </c>
      <c r="D1249" s="18" t="s">
        <v>457</v>
      </c>
      <c r="E1249" s="26" t="s">
        <v>416</v>
      </c>
      <c r="F1249" s="27" t="n">
        <v>2</v>
      </c>
      <c r="G1249" s="28" t="n">
        <v>45859</v>
      </c>
      <c r="H1249" s="28" t="n">
        <v>45859</v>
      </c>
      <c r="I1249" s="18" t="s">
        <v>780</v>
      </c>
      <c r="J1249" s="26" t="s">
        <v>416</v>
      </c>
      <c r="K1249" s="18" t="s">
        <v>781</v>
      </c>
      <c r="L1249" s="27" t="n">
        <v>2</v>
      </c>
      <c r="M1249" s="39" t="s">
        <v>413</v>
      </c>
      <c r="N1249" s="18" t="s">
        <v>414</v>
      </c>
      <c r="O1249" s="27" t="n">
        <v>2</v>
      </c>
      <c r="P1249" s="15" t="n">
        <f aca="false">IF(A1249="","",IF(O1249&lt;&gt;"",O1249,IF(L1249&lt;&gt;"",L1249,F1249)))</f>
        <v>2</v>
      </c>
    </row>
    <row r="1250" customFormat="false" ht="15" hidden="false" customHeight="true" outlineLevel="0" collapsed="false">
      <c r="A1250" s="30" t="s">
        <v>156</v>
      </c>
      <c r="B1250" s="30" t="s">
        <v>157</v>
      </c>
      <c r="C1250" s="21" t="n">
        <f aca="false">IF(A1250="","",IFERROR(VLOOKUP(A1250,'Recert Status'!$A$8:$C$400,3,FALSE()),""))</f>
        <v>46387</v>
      </c>
      <c r="D1250" s="31" t="s">
        <v>488</v>
      </c>
      <c r="E1250" s="30" t="s">
        <v>416</v>
      </c>
      <c r="F1250" s="32" t="n">
        <v>1</v>
      </c>
      <c r="G1250" s="33" t="n">
        <v>46132</v>
      </c>
      <c r="H1250" s="33" t="n">
        <v>46132</v>
      </c>
      <c r="I1250" s="31" t="s">
        <v>609</v>
      </c>
      <c r="J1250" s="30" t="s">
        <v>416</v>
      </c>
      <c r="K1250" s="31" t="s">
        <v>490</v>
      </c>
      <c r="L1250" s="32" t="n">
        <v>1</v>
      </c>
      <c r="M1250" s="39" t="s">
        <v>413</v>
      </c>
      <c r="N1250" s="31" t="s">
        <v>414</v>
      </c>
      <c r="O1250" s="32" t="n">
        <v>1</v>
      </c>
      <c r="P1250" s="15" t="n">
        <f aca="false">IF(A1250="","",IF(O1250&lt;&gt;"",O1250,IF(L1250&lt;&gt;"",L1250,F1250)))</f>
        <v>1</v>
      </c>
    </row>
    <row r="1251" customFormat="false" ht="15" hidden="false" customHeight="true" outlineLevel="0" collapsed="false">
      <c r="A1251" s="26" t="s">
        <v>156</v>
      </c>
      <c r="B1251" s="26" t="s">
        <v>157</v>
      </c>
      <c r="C1251" s="14" t="n">
        <f aca="false">IF(A1251="","",IFERROR(VLOOKUP(A1251,'Recert Status'!$A$8:$C$400,3,FALSE()),""))</f>
        <v>46387</v>
      </c>
      <c r="D1251" s="18" t="s">
        <v>414</v>
      </c>
      <c r="E1251" s="26" t="s">
        <v>416</v>
      </c>
      <c r="F1251" s="27" t="n">
        <v>2</v>
      </c>
      <c r="G1251" s="28" t="n">
        <v>46219</v>
      </c>
      <c r="H1251" s="28" t="n">
        <v>46219</v>
      </c>
      <c r="I1251" s="18" t="s">
        <v>567</v>
      </c>
      <c r="J1251" s="26" t="s">
        <v>416</v>
      </c>
      <c r="K1251" s="18" t="s">
        <v>418</v>
      </c>
      <c r="L1251" s="27" t="n">
        <v>2</v>
      </c>
      <c r="M1251" s="39" t="s">
        <v>413</v>
      </c>
      <c r="N1251" s="18" t="s">
        <v>414</v>
      </c>
      <c r="O1251" s="27" t="n">
        <v>2</v>
      </c>
      <c r="P1251" s="15" t="n">
        <f aca="false">IF(A1251="","",IF(O1251&lt;&gt;"",O1251,IF(L1251&lt;&gt;"",L1251,F1251)))</f>
        <v>2</v>
      </c>
    </row>
    <row r="1252" customFormat="false" ht="15" hidden="false" customHeight="true" outlineLevel="0" collapsed="false">
      <c r="A1252" s="30" t="s">
        <v>158</v>
      </c>
      <c r="B1252" s="30" t="s">
        <v>159</v>
      </c>
      <c r="C1252" s="21" t="n">
        <f aca="false">IF(A1252="","",IFERROR(VLOOKUP(A1252,'Recert Status'!$A$8:$C$400,3,FALSE()),""))</f>
        <v>46387</v>
      </c>
      <c r="D1252" s="31" t="s">
        <v>1306</v>
      </c>
      <c r="E1252" s="30" t="s">
        <v>363</v>
      </c>
      <c r="F1252" s="32" t="n">
        <v>2</v>
      </c>
      <c r="G1252" s="33" t="n">
        <v>45745</v>
      </c>
      <c r="H1252" s="33" t="n">
        <v>45745</v>
      </c>
      <c r="I1252" s="31" t="s">
        <v>1307</v>
      </c>
      <c r="J1252" s="30" t="s">
        <v>363</v>
      </c>
      <c r="K1252" s="31" t="s">
        <v>370</v>
      </c>
      <c r="L1252" s="32" t="n">
        <v>2</v>
      </c>
      <c r="M1252" s="29" t="s">
        <v>366</v>
      </c>
      <c r="N1252" s="31" t="s">
        <v>367</v>
      </c>
      <c r="O1252" s="32" t="n">
        <v>2</v>
      </c>
      <c r="P1252" s="15" t="n">
        <f aca="false">IF(A1252="","",IF(O1252&lt;&gt;"",O1252,IF(L1252&lt;&gt;"",L1252,F1252)))</f>
        <v>2</v>
      </c>
    </row>
    <row r="1253" customFormat="false" ht="15" hidden="false" customHeight="true" outlineLevel="0" collapsed="false">
      <c r="A1253" s="26" t="s">
        <v>158</v>
      </c>
      <c r="B1253" s="26" t="s">
        <v>159</v>
      </c>
      <c r="C1253" s="14" t="n">
        <f aca="false">IF(A1253="","",IFERROR(VLOOKUP(A1253,'Recert Status'!$A$8:$C$400,3,FALSE()),""))</f>
        <v>46387</v>
      </c>
      <c r="D1253" s="18" t="s">
        <v>1281</v>
      </c>
      <c r="E1253" s="26" t="s">
        <v>363</v>
      </c>
      <c r="F1253" s="27" t="n">
        <v>1</v>
      </c>
      <c r="G1253" s="28" t="n">
        <v>45912</v>
      </c>
      <c r="H1253" s="28" t="n">
        <v>45912</v>
      </c>
      <c r="I1253" s="18" t="s">
        <v>1282</v>
      </c>
      <c r="J1253" s="26" t="s">
        <v>363</v>
      </c>
      <c r="K1253" s="18" t="s">
        <v>813</v>
      </c>
      <c r="L1253" s="27" t="n">
        <v>1</v>
      </c>
      <c r="M1253" s="29" t="s">
        <v>366</v>
      </c>
      <c r="N1253" s="18" t="s">
        <v>367</v>
      </c>
      <c r="O1253" s="27" t="n">
        <v>1</v>
      </c>
      <c r="P1253" s="15" t="n">
        <f aca="false">IF(A1253="","",IF(O1253&lt;&gt;"",O1253,IF(L1253&lt;&gt;"",L1253,F1253)))</f>
        <v>1</v>
      </c>
    </row>
    <row r="1254" customFormat="false" ht="15" hidden="false" customHeight="true" outlineLevel="0" collapsed="false">
      <c r="A1254" s="30" t="s">
        <v>158</v>
      </c>
      <c r="B1254" s="30" t="s">
        <v>159</v>
      </c>
      <c r="C1254" s="21" t="n">
        <f aca="false">IF(A1254="","",IFERROR(VLOOKUP(A1254,'Recert Status'!$A$8:$C$400,3,FALSE()),""))</f>
        <v>46387</v>
      </c>
      <c r="D1254" s="31" t="s">
        <v>362</v>
      </c>
      <c r="E1254" s="30" t="n">
        <v>57404</v>
      </c>
      <c r="F1254" s="32" t="n">
        <v>2</v>
      </c>
      <c r="G1254" s="33" t="n">
        <v>45966</v>
      </c>
      <c r="H1254" s="33" t="n">
        <v>45966</v>
      </c>
      <c r="I1254" s="31" t="s">
        <v>948</v>
      </c>
      <c r="J1254" s="30" t="s">
        <v>728</v>
      </c>
      <c r="K1254" s="31" t="s">
        <v>365</v>
      </c>
      <c r="L1254" s="32" t="n">
        <v>1</v>
      </c>
      <c r="M1254" s="29" t="s">
        <v>366</v>
      </c>
      <c r="N1254" s="31" t="s">
        <v>367</v>
      </c>
      <c r="O1254" s="32" t="n">
        <v>1</v>
      </c>
      <c r="P1254" s="15" t="n">
        <f aca="false">IF(A1254="","",IF(O1254&lt;&gt;"",O1254,IF(L1254&lt;&gt;"",L1254,F1254)))</f>
        <v>1</v>
      </c>
    </row>
    <row r="1255" customFormat="false" ht="15" hidden="false" customHeight="true" outlineLevel="0" collapsed="false">
      <c r="A1255" s="26" t="s">
        <v>158</v>
      </c>
      <c r="B1255" s="26" t="s">
        <v>159</v>
      </c>
      <c r="C1255" s="14" t="n">
        <f aca="false">IF(A1255="","",IFERROR(VLOOKUP(A1255,'Recert Status'!$A$8:$C$400,3,FALSE()),""))</f>
        <v>46387</v>
      </c>
      <c r="D1255" s="18" t="s">
        <v>1321</v>
      </c>
      <c r="E1255" s="26" t="s">
        <v>363</v>
      </c>
      <c r="F1255" s="27" t="n">
        <v>1</v>
      </c>
      <c r="G1255" s="28" t="n">
        <v>46196</v>
      </c>
      <c r="H1255" s="28" t="n">
        <v>46196</v>
      </c>
      <c r="I1255" s="18" t="s">
        <v>1322</v>
      </c>
      <c r="J1255" s="26" t="s">
        <v>363</v>
      </c>
      <c r="K1255" s="18" t="s">
        <v>365</v>
      </c>
      <c r="L1255" s="27" t="n">
        <v>1</v>
      </c>
      <c r="M1255" s="29" t="s">
        <v>366</v>
      </c>
      <c r="N1255" s="18" t="s">
        <v>367</v>
      </c>
      <c r="O1255" s="27" t="n">
        <v>1</v>
      </c>
      <c r="P1255" s="15" t="n">
        <f aca="false">IF(A1255="","",IF(O1255&lt;&gt;"",O1255,IF(L1255&lt;&gt;"",L1255,F1255)))</f>
        <v>1</v>
      </c>
    </row>
    <row r="1256" customFormat="false" ht="15" hidden="false" customHeight="true" outlineLevel="0" collapsed="false">
      <c r="A1256" s="30" t="s">
        <v>158</v>
      </c>
      <c r="B1256" s="30" t="s">
        <v>159</v>
      </c>
      <c r="C1256" s="21" t="n">
        <f aca="false">IF(A1256="","",IFERROR(VLOOKUP(A1256,'Recert Status'!$A$8:$C$400,3,FALSE()),""))</f>
        <v>46387</v>
      </c>
      <c r="D1256" s="31" t="s">
        <v>1308</v>
      </c>
      <c r="E1256" s="30" t="s">
        <v>426</v>
      </c>
      <c r="F1256" s="32" t="n">
        <v>2</v>
      </c>
      <c r="G1256" s="33" t="n">
        <v>45745</v>
      </c>
      <c r="H1256" s="33" t="n">
        <v>45745</v>
      </c>
      <c r="I1256" s="31" t="s">
        <v>1309</v>
      </c>
      <c r="J1256" s="30" t="s">
        <v>426</v>
      </c>
      <c r="K1256" s="31" t="s">
        <v>428</v>
      </c>
      <c r="L1256" s="32" t="n">
        <v>2</v>
      </c>
      <c r="M1256" s="41" t="s">
        <v>429</v>
      </c>
      <c r="N1256" s="31" t="s">
        <v>430</v>
      </c>
      <c r="O1256" s="32" t="n">
        <v>2</v>
      </c>
      <c r="P1256" s="15" t="n">
        <f aca="false">IF(A1256="","",IF(O1256&lt;&gt;"",O1256,IF(L1256&lt;&gt;"",L1256,F1256)))</f>
        <v>2</v>
      </c>
    </row>
    <row r="1257" customFormat="false" ht="15" hidden="false" customHeight="true" outlineLevel="0" collapsed="false">
      <c r="A1257" s="26" t="s">
        <v>158</v>
      </c>
      <c r="B1257" s="26" t="s">
        <v>159</v>
      </c>
      <c r="C1257" s="14" t="n">
        <f aca="false">IF(A1257="","",IFERROR(VLOOKUP(A1257,'Recert Status'!$A$8:$C$400,3,FALSE()),""))</f>
        <v>46387</v>
      </c>
      <c r="D1257" s="18" t="s">
        <v>1283</v>
      </c>
      <c r="E1257" s="26" t="s">
        <v>426</v>
      </c>
      <c r="F1257" s="27" t="n">
        <v>1</v>
      </c>
      <c r="G1257" s="28" t="n">
        <v>45912</v>
      </c>
      <c r="H1257" s="28" t="n">
        <v>45912</v>
      </c>
      <c r="I1257" s="18" t="s">
        <v>1284</v>
      </c>
      <c r="J1257" s="26" t="s">
        <v>426</v>
      </c>
      <c r="K1257" s="18" t="s">
        <v>526</v>
      </c>
      <c r="L1257" s="27" t="n">
        <v>1</v>
      </c>
      <c r="M1257" s="41" t="s">
        <v>429</v>
      </c>
      <c r="N1257" s="18" t="s">
        <v>430</v>
      </c>
      <c r="O1257" s="27" t="n">
        <v>1</v>
      </c>
      <c r="P1257" s="15" t="n">
        <f aca="false">IF(A1257="","",IF(O1257&lt;&gt;"",O1257,IF(L1257&lt;&gt;"",L1257,F1257)))</f>
        <v>1</v>
      </c>
    </row>
    <row r="1258" customFormat="false" ht="15" hidden="false" customHeight="true" outlineLevel="0" collapsed="false">
      <c r="A1258" s="30" t="s">
        <v>158</v>
      </c>
      <c r="B1258" s="30" t="s">
        <v>159</v>
      </c>
      <c r="C1258" s="21" t="n">
        <f aca="false">IF(A1258="","",IFERROR(VLOOKUP(A1258,'Recert Status'!$A$8:$C$400,3,FALSE()),""))</f>
        <v>46387</v>
      </c>
      <c r="D1258" s="31" t="s">
        <v>1285</v>
      </c>
      <c r="E1258" s="30" t="n">
        <v>29740</v>
      </c>
      <c r="F1258" s="32" t="n">
        <v>2</v>
      </c>
      <c r="G1258" s="33" t="n">
        <v>45993</v>
      </c>
      <c r="H1258" s="33" t="n">
        <v>45993</v>
      </c>
      <c r="I1258" s="31" t="s">
        <v>1286</v>
      </c>
      <c r="J1258" s="30" t="s">
        <v>394</v>
      </c>
      <c r="K1258" s="31" t="s">
        <v>428</v>
      </c>
      <c r="L1258" s="32" t="n">
        <v>2</v>
      </c>
      <c r="M1258" s="41" t="s">
        <v>429</v>
      </c>
      <c r="N1258" s="31" t="s">
        <v>430</v>
      </c>
      <c r="O1258" s="32" t="n">
        <v>2</v>
      </c>
      <c r="P1258" s="15" t="n">
        <f aca="false">IF(A1258="","",IF(O1258&lt;&gt;"",O1258,IF(L1258&lt;&gt;"",L1258,F1258)))</f>
        <v>2</v>
      </c>
    </row>
    <row r="1259" customFormat="false" ht="15" hidden="false" customHeight="true" outlineLevel="0" collapsed="false">
      <c r="A1259" s="26" t="s">
        <v>158</v>
      </c>
      <c r="B1259" s="26" t="s">
        <v>159</v>
      </c>
      <c r="C1259" s="14" t="n">
        <f aca="false">IF(A1259="","",IFERROR(VLOOKUP(A1259,'Recert Status'!$A$8:$C$400,3,FALSE()),""))</f>
        <v>46387</v>
      </c>
      <c r="D1259" s="18" t="s">
        <v>1323</v>
      </c>
      <c r="E1259" s="26" t="s">
        <v>426</v>
      </c>
      <c r="F1259" s="27" t="n">
        <v>2</v>
      </c>
      <c r="G1259" s="28" t="n">
        <v>46209</v>
      </c>
      <c r="H1259" s="28" t="n">
        <v>46209</v>
      </c>
      <c r="I1259" s="18" t="s">
        <v>1324</v>
      </c>
      <c r="J1259" s="26" t="s">
        <v>426</v>
      </c>
      <c r="K1259" s="18" t="s">
        <v>428</v>
      </c>
      <c r="L1259" s="27" t="n">
        <v>2</v>
      </c>
      <c r="M1259" s="41" t="s">
        <v>429</v>
      </c>
      <c r="N1259" s="18" t="s">
        <v>430</v>
      </c>
      <c r="O1259" s="27" t="n">
        <v>2</v>
      </c>
      <c r="P1259" s="15" t="n">
        <f aca="false">IF(A1259="","",IF(O1259&lt;&gt;"",O1259,IF(L1259&lt;&gt;"",L1259,F1259)))</f>
        <v>2</v>
      </c>
    </row>
    <row r="1260" customFormat="false" ht="15" hidden="false" customHeight="true" outlineLevel="0" collapsed="false">
      <c r="A1260" s="30" t="s">
        <v>158</v>
      </c>
      <c r="B1260" s="30" t="s">
        <v>159</v>
      </c>
      <c r="C1260" s="21" t="n">
        <f aca="false">IF(A1260="","",IFERROR(VLOOKUP(A1260,'Recert Status'!$A$8:$C$400,3,FALSE()),""))</f>
        <v>46387</v>
      </c>
      <c r="D1260" s="31" t="s">
        <v>377</v>
      </c>
      <c r="E1260" s="30" t="s">
        <v>372</v>
      </c>
      <c r="F1260" s="32" t="n">
        <v>1</v>
      </c>
      <c r="G1260" s="33" t="n">
        <v>45660</v>
      </c>
      <c r="H1260" s="33" t="n">
        <v>45660</v>
      </c>
      <c r="I1260" s="31" t="s">
        <v>1325</v>
      </c>
      <c r="J1260" s="30" t="s">
        <v>372</v>
      </c>
      <c r="K1260" s="31" t="s">
        <v>374</v>
      </c>
      <c r="L1260" s="32" t="n">
        <v>1</v>
      </c>
      <c r="M1260" s="34" t="s">
        <v>375</v>
      </c>
      <c r="N1260" s="31" t="s">
        <v>376</v>
      </c>
      <c r="O1260" s="32" t="n">
        <v>1</v>
      </c>
      <c r="P1260" s="15" t="n">
        <f aca="false">IF(A1260="","",IF(O1260&lt;&gt;"",O1260,IF(L1260&lt;&gt;"",L1260,F1260)))</f>
        <v>1</v>
      </c>
    </row>
    <row r="1261" customFormat="false" ht="15" hidden="false" customHeight="true" outlineLevel="0" collapsed="false">
      <c r="A1261" s="26" t="s">
        <v>158</v>
      </c>
      <c r="B1261" s="26" t="s">
        <v>159</v>
      </c>
      <c r="C1261" s="14" t="n">
        <f aca="false">IF(A1261="","",IFERROR(VLOOKUP(A1261,'Recert Status'!$A$8:$C$400,3,FALSE()),""))</f>
        <v>46387</v>
      </c>
      <c r="D1261" s="18" t="s">
        <v>732</v>
      </c>
      <c r="E1261" s="26" t="s">
        <v>372</v>
      </c>
      <c r="F1261" s="27" t="n">
        <v>1</v>
      </c>
      <c r="G1261" s="28" t="n">
        <v>45750</v>
      </c>
      <c r="H1261" s="28" t="n">
        <v>45750</v>
      </c>
      <c r="I1261" s="18" t="s">
        <v>1326</v>
      </c>
      <c r="J1261" s="26" t="s">
        <v>372</v>
      </c>
      <c r="K1261" s="18" t="s">
        <v>1327</v>
      </c>
      <c r="L1261" s="27" t="n">
        <v>1</v>
      </c>
      <c r="M1261" s="34" t="s">
        <v>375</v>
      </c>
      <c r="N1261" s="18" t="s">
        <v>376</v>
      </c>
      <c r="O1261" s="27" t="n">
        <v>1</v>
      </c>
      <c r="P1261" s="15" t="n">
        <f aca="false">IF(A1261="","",IF(O1261&lt;&gt;"",O1261,IF(L1261&lt;&gt;"",L1261,F1261)))</f>
        <v>1</v>
      </c>
    </row>
    <row r="1262" customFormat="false" ht="15" hidden="false" customHeight="true" outlineLevel="0" collapsed="false">
      <c r="A1262" s="30" t="s">
        <v>158</v>
      </c>
      <c r="B1262" s="30" t="s">
        <v>159</v>
      </c>
      <c r="C1262" s="21" t="n">
        <f aca="false">IF(A1262="","",IFERROR(VLOOKUP(A1262,'Recert Status'!$A$8:$C$400,3,FALSE()),""))</f>
        <v>46387</v>
      </c>
      <c r="D1262" s="31" t="s">
        <v>816</v>
      </c>
      <c r="E1262" s="30" t="s">
        <v>817</v>
      </c>
      <c r="F1262" s="32" t="n">
        <v>2</v>
      </c>
      <c r="G1262" s="33" t="n">
        <v>45882</v>
      </c>
      <c r="H1262" s="33" t="n">
        <v>45882</v>
      </c>
      <c r="I1262" s="31" t="s">
        <v>818</v>
      </c>
      <c r="J1262" s="30" t="s">
        <v>817</v>
      </c>
      <c r="K1262" s="31" t="s">
        <v>819</v>
      </c>
      <c r="L1262" s="32" t="n">
        <v>2</v>
      </c>
      <c r="M1262" s="35" t="s">
        <v>386</v>
      </c>
      <c r="N1262" s="31" t="s">
        <v>387</v>
      </c>
      <c r="O1262" s="32" t="n">
        <v>2</v>
      </c>
      <c r="P1262" s="15" t="n">
        <f aca="false">IF(A1262="","",IF(O1262&lt;&gt;"",O1262,IF(L1262&lt;&gt;"",L1262,F1262)))</f>
        <v>2</v>
      </c>
    </row>
    <row r="1263" customFormat="false" ht="15" hidden="false" customHeight="true" outlineLevel="0" collapsed="false">
      <c r="A1263" s="26" t="s">
        <v>158</v>
      </c>
      <c r="B1263" s="26" t="s">
        <v>159</v>
      </c>
      <c r="C1263" s="14" t="n">
        <f aca="false">IF(A1263="","",IFERROR(VLOOKUP(A1263,'Recert Status'!$A$8:$C$400,3,FALSE()),""))</f>
        <v>46387</v>
      </c>
      <c r="D1263" s="18" t="s">
        <v>1088</v>
      </c>
      <c r="E1263" s="26" t="n">
        <v>29740</v>
      </c>
      <c r="F1263" s="27" t="n">
        <v>1</v>
      </c>
      <c r="G1263" s="28" t="n">
        <v>45987</v>
      </c>
      <c r="H1263" s="28" t="n">
        <v>45987</v>
      </c>
      <c r="I1263" s="18" t="s">
        <v>1089</v>
      </c>
      <c r="J1263" s="26" t="s">
        <v>394</v>
      </c>
      <c r="K1263" s="18" t="s">
        <v>468</v>
      </c>
      <c r="L1263" s="27" t="n">
        <v>1</v>
      </c>
      <c r="M1263" s="35" t="s">
        <v>386</v>
      </c>
      <c r="N1263" s="18" t="s">
        <v>387</v>
      </c>
      <c r="O1263" s="27" t="n">
        <v>1</v>
      </c>
      <c r="P1263" s="15" t="n">
        <f aca="false">IF(A1263="","",IF(O1263&lt;&gt;"",O1263,IF(L1263&lt;&gt;"",L1263,F1263)))</f>
        <v>1</v>
      </c>
    </row>
    <row r="1264" customFormat="false" ht="15" hidden="false" customHeight="true" outlineLevel="0" collapsed="false">
      <c r="A1264" s="30" t="s">
        <v>158</v>
      </c>
      <c r="B1264" s="30" t="s">
        <v>159</v>
      </c>
      <c r="C1264" s="21" t="n">
        <f aca="false">IF(A1264="","",IFERROR(VLOOKUP(A1264,'Recert Status'!$A$8:$C$400,3,FALSE()),""))</f>
        <v>46387</v>
      </c>
      <c r="D1264" s="31" t="s">
        <v>474</v>
      </c>
      <c r="E1264" s="30" t="n">
        <v>29675</v>
      </c>
      <c r="F1264" s="32" t="n">
        <v>3</v>
      </c>
      <c r="G1264" s="33" t="n">
        <v>46083</v>
      </c>
      <c r="H1264" s="33" t="n">
        <v>46083</v>
      </c>
      <c r="I1264" s="31" t="s">
        <v>1209</v>
      </c>
      <c r="J1264" s="30" t="s">
        <v>406</v>
      </c>
      <c r="K1264" s="31" t="s">
        <v>391</v>
      </c>
      <c r="L1264" s="32" t="n">
        <v>3</v>
      </c>
      <c r="M1264" s="35" t="s">
        <v>386</v>
      </c>
      <c r="N1264" s="31" t="s">
        <v>387</v>
      </c>
      <c r="O1264" s="32" t="n">
        <v>3</v>
      </c>
      <c r="P1264" s="15" t="n">
        <f aca="false">IF(A1264="","",IF(O1264&lt;&gt;"",O1264,IF(L1264&lt;&gt;"",L1264,F1264)))</f>
        <v>3</v>
      </c>
    </row>
    <row r="1265" customFormat="false" ht="15" hidden="false" customHeight="true" outlineLevel="0" collapsed="false">
      <c r="A1265" s="26" t="s">
        <v>158</v>
      </c>
      <c r="B1265" s="26" t="s">
        <v>159</v>
      </c>
      <c r="C1265" s="14" t="n">
        <f aca="false">IF(A1265="","",IFERROR(VLOOKUP(A1265,'Recert Status'!$A$8:$C$400,3,FALSE()),""))</f>
        <v>46387</v>
      </c>
      <c r="D1265" s="18" t="s">
        <v>474</v>
      </c>
      <c r="E1265" s="26" t="s">
        <v>389</v>
      </c>
      <c r="F1265" s="27" t="n">
        <v>1</v>
      </c>
      <c r="G1265" s="28" t="n">
        <v>46204</v>
      </c>
      <c r="H1265" s="28" t="n">
        <v>46204</v>
      </c>
      <c r="I1265" s="18" t="s">
        <v>475</v>
      </c>
      <c r="J1265" s="26" t="s">
        <v>389</v>
      </c>
      <c r="K1265" s="18" t="s">
        <v>476</v>
      </c>
      <c r="L1265" s="27" t="n">
        <v>1</v>
      </c>
      <c r="M1265" s="35" t="s">
        <v>386</v>
      </c>
      <c r="N1265" s="18" t="s">
        <v>387</v>
      </c>
      <c r="O1265" s="27" t="n">
        <v>1</v>
      </c>
      <c r="P1265" s="15" t="n">
        <f aca="false">IF(A1265="","",IF(O1265&lt;&gt;"",O1265,IF(L1265&lt;&gt;"",L1265,F1265)))</f>
        <v>1</v>
      </c>
    </row>
    <row r="1266" customFormat="false" ht="15" hidden="false" customHeight="true" outlineLevel="0" collapsed="false">
      <c r="A1266" s="30" t="s">
        <v>158</v>
      </c>
      <c r="B1266" s="30" t="s">
        <v>159</v>
      </c>
      <c r="C1266" s="21" t="n">
        <f aca="false">IF(A1266="","",IFERROR(VLOOKUP(A1266,'Recert Status'!$A$8:$C$400,3,FALSE()),""))</f>
        <v>46387</v>
      </c>
      <c r="D1266" s="31" t="s">
        <v>1328</v>
      </c>
      <c r="E1266" s="30" t="s">
        <v>389</v>
      </c>
      <c r="F1266" s="32" t="n">
        <v>1</v>
      </c>
      <c r="G1266" s="33" t="n">
        <v>46211</v>
      </c>
      <c r="H1266" s="33" t="n">
        <v>46211</v>
      </c>
      <c r="I1266" s="31" t="s">
        <v>1329</v>
      </c>
      <c r="J1266" s="30" t="s">
        <v>389</v>
      </c>
      <c r="K1266" s="31" t="s">
        <v>845</v>
      </c>
      <c r="L1266" s="32" t="n">
        <v>1</v>
      </c>
      <c r="M1266" s="35" t="s">
        <v>386</v>
      </c>
      <c r="N1266" s="31" t="s">
        <v>387</v>
      </c>
      <c r="O1266" s="32" t="n">
        <v>1</v>
      </c>
      <c r="P1266" s="15" t="n">
        <f aca="false">IF(A1266="","",IF(O1266&lt;&gt;"",O1266,IF(L1266&lt;&gt;"",L1266,F1266)))</f>
        <v>1</v>
      </c>
    </row>
    <row r="1267" customFormat="false" ht="15" hidden="false" customHeight="true" outlineLevel="0" collapsed="false">
      <c r="A1267" s="26" t="s">
        <v>158</v>
      </c>
      <c r="B1267" s="26" t="s">
        <v>159</v>
      </c>
      <c r="C1267" s="14" t="n">
        <f aca="false">IF(A1267="","",IFERROR(VLOOKUP(A1267,'Recert Status'!$A$8:$C$400,3,FALSE()),""))</f>
        <v>46387</v>
      </c>
      <c r="D1267" s="18" t="s">
        <v>387</v>
      </c>
      <c r="E1267" s="26" t="s">
        <v>389</v>
      </c>
      <c r="F1267" s="27" t="n">
        <v>1</v>
      </c>
      <c r="G1267" s="28" t="n">
        <v>46230</v>
      </c>
      <c r="H1267" s="28" t="n">
        <v>46230</v>
      </c>
      <c r="I1267" s="18" t="s">
        <v>1224</v>
      </c>
      <c r="J1267" s="26" t="s">
        <v>389</v>
      </c>
      <c r="K1267" s="18" t="s">
        <v>451</v>
      </c>
      <c r="L1267" s="27" t="n">
        <v>1</v>
      </c>
      <c r="M1267" s="35" t="s">
        <v>386</v>
      </c>
      <c r="N1267" s="18" t="s">
        <v>387</v>
      </c>
      <c r="O1267" s="27" t="n">
        <v>1</v>
      </c>
      <c r="P1267" s="15" t="n">
        <f aca="false">IF(A1267="","",IF(O1267&lt;&gt;"",O1267,IF(L1267&lt;&gt;"",L1267,F1267)))</f>
        <v>1</v>
      </c>
    </row>
    <row r="1268" customFormat="false" ht="15" hidden="false" customHeight="true" outlineLevel="0" collapsed="false">
      <c r="A1268" s="30" t="s">
        <v>158</v>
      </c>
      <c r="B1268" s="30" t="s">
        <v>159</v>
      </c>
      <c r="C1268" s="21" t="n">
        <f aca="false">IF(A1268="","",IFERROR(VLOOKUP(A1268,'Recert Status'!$A$8:$C$400,3,FALSE()),""))</f>
        <v>46387</v>
      </c>
      <c r="D1268" s="31" t="s">
        <v>560</v>
      </c>
      <c r="E1268" s="30" t="n">
        <v>35513</v>
      </c>
      <c r="F1268" s="32" t="n">
        <v>1</v>
      </c>
      <c r="G1268" s="33" t="n">
        <v>46147</v>
      </c>
      <c r="H1268" s="33" t="n">
        <v>46147</v>
      </c>
      <c r="I1268" s="31" t="s">
        <v>1330</v>
      </c>
      <c r="J1268" s="30" t="s">
        <v>384</v>
      </c>
      <c r="K1268" s="31" t="s">
        <v>385</v>
      </c>
      <c r="L1268" s="32" t="n">
        <v>1</v>
      </c>
      <c r="M1268" s="36" t="s">
        <v>396</v>
      </c>
      <c r="N1268" s="31" t="s">
        <v>397</v>
      </c>
      <c r="O1268" s="32" t="n">
        <v>1</v>
      </c>
      <c r="P1268" s="15" t="n">
        <f aca="false">IF(A1268="","",IF(O1268&lt;&gt;"",O1268,IF(L1268&lt;&gt;"",L1268,F1268)))</f>
        <v>1</v>
      </c>
    </row>
    <row r="1269" customFormat="false" ht="15" hidden="false" customHeight="true" outlineLevel="0" collapsed="false">
      <c r="A1269" s="26" t="s">
        <v>158</v>
      </c>
      <c r="B1269" s="26" t="s">
        <v>159</v>
      </c>
      <c r="C1269" s="14" t="n">
        <f aca="false">IF(A1269="","",IFERROR(VLOOKUP(A1269,'Recert Status'!$A$8:$C$400,3,FALSE()),""))</f>
        <v>46387</v>
      </c>
      <c r="D1269" s="18" t="s">
        <v>1331</v>
      </c>
      <c r="E1269" s="26" t="s">
        <v>452</v>
      </c>
      <c r="F1269" s="27" t="n">
        <v>1</v>
      </c>
      <c r="G1269" s="28" t="n">
        <v>46210</v>
      </c>
      <c r="H1269" s="28" t="n">
        <v>46210</v>
      </c>
      <c r="I1269" s="18" t="s">
        <v>1332</v>
      </c>
      <c r="J1269" s="26" t="s">
        <v>452</v>
      </c>
      <c r="K1269" s="18" t="s">
        <v>385</v>
      </c>
      <c r="L1269" s="27" t="n">
        <v>1</v>
      </c>
      <c r="M1269" s="36" t="s">
        <v>396</v>
      </c>
      <c r="N1269" s="18" t="s">
        <v>397</v>
      </c>
      <c r="O1269" s="27" t="n">
        <v>1</v>
      </c>
      <c r="P1269" s="15" t="n">
        <f aca="false">IF(A1269="","",IF(O1269&lt;&gt;"",O1269,IF(L1269&lt;&gt;"",L1269,F1269)))</f>
        <v>1</v>
      </c>
    </row>
    <row r="1270" customFormat="false" ht="15" hidden="false" customHeight="true" outlineLevel="0" collapsed="false">
      <c r="A1270" s="30" t="s">
        <v>158</v>
      </c>
      <c r="B1270" s="30" t="s">
        <v>159</v>
      </c>
      <c r="C1270" s="21" t="n">
        <f aca="false">IF(A1270="","",IFERROR(VLOOKUP(A1270,'Recert Status'!$A$8:$C$400,3,FALSE()),""))</f>
        <v>46387</v>
      </c>
      <c r="D1270" s="31" t="s">
        <v>397</v>
      </c>
      <c r="E1270" s="30" t="s">
        <v>452</v>
      </c>
      <c r="F1270" s="32" t="n">
        <v>1</v>
      </c>
      <c r="G1270" s="33" t="n">
        <v>46245</v>
      </c>
      <c r="H1270" s="33" t="n">
        <v>46245</v>
      </c>
      <c r="I1270" s="31" t="s">
        <v>605</v>
      </c>
      <c r="J1270" s="30" t="s">
        <v>452</v>
      </c>
      <c r="K1270" s="31" t="s">
        <v>385</v>
      </c>
      <c r="L1270" s="32" t="n">
        <v>1</v>
      </c>
      <c r="M1270" s="36" t="s">
        <v>396</v>
      </c>
      <c r="N1270" s="31" t="s">
        <v>397</v>
      </c>
      <c r="O1270" s="32" t="n">
        <v>1</v>
      </c>
      <c r="P1270" s="15" t="n">
        <f aca="false">IF(A1270="","",IF(O1270&lt;&gt;"",O1270,IF(L1270&lt;&gt;"",L1270,F1270)))</f>
        <v>1</v>
      </c>
    </row>
    <row r="1271" customFormat="false" ht="15" hidden="false" customHeight="true" outlineLevel="0" collapsed="false">
      <c r="A1271" s="26" t="s">
        <v>158</v>
      </c>
      <c r="B1271" s="26" t="s">
        <v>159</v>
      </c>
      <c r="C1271" s="14" t="n">
        <f aca="false">IF(A1271="","",IFERROR(VLOOKUP(A1271,'Recert Status'!$A$8:$C$400,3,FALSE()),""))</f>
        <v>46387</v>
      </c>
      <c r="D1271" s="18" t="s">
        <v>870</v>
      </c>
      <c r="E1271" s="26" t="s">
        <v>399</v>
      </c>
      <c r="F1271" s="27" t="n">
        <v>1</v>
      </c>
      <c r="G1271" s="28" t="n">
        <v>45660</v>
      </c>
      <c r="H1271" s="28" t="n">
        <v>45660</v>
      </c>
      <c r="I1271" s="18" t="s">
        <v>1325</v>
      </c>
      <c r="J1271" s="26" t="s">
        <v>399</v>
      </c>
      <c r="K1271" s="18" t="s">
        <v>401</v>
      </c>
      <c r="L1271" s="27" t="n">
        <v>1</v>
      </c>
      <c r="M1271" s="37" t="s">
        <v>402</v>
      </c>
      <c r="N1271" s="18" t="s">
        <v>403</v>
      </c>
      <c r="O1271" s="27" t="n">
        <v>1</v>
      </c>
      <c r="P1271" s="15" t="n">
        <f aca="false">IF(A1271="","",IF(O1271&lt;&gt;"",O1271,IF(L1271&lt;&gt;"",L1271,F1271)))</f>
        <v>1</v>
      </c>
    </row>
    <row r="1272" customFormat="false" ht="15" hidden="false" customHeight="true" outlineLevel="0" collapsed="false">
      <c r="A1272" s="30" t="s">
        <v>158</v>
      </c>
      <c r="B1272" s="30" t="s">
        <v>159</v>
      </c>
      <c r="C1272" s="21" t="n">
        <f aca="false">IF(A1272="","",IFERROR(VLOOKUP(A1272,'Recert Status'!$A$8:$C$400,3,FALSE()),""))</f>
        <v>46387</v>
      </c>
      <c r="D1272" s="31" t="s">
        <v>404</v>
      </c>
      <c r="E1272" s="30" t="n">
        <v>29740</v>
      </c>
      <c r="F1272" s="32" t="n">
        <v>1</v>
      </c>
      <c r="G1272" s="33" t="n">
        <v>45660</v>
      </c>
      <c r="H1272" s="33" t="n">
        <v>45660</v>
      </c>
      <c r="I1272" s="31" t="s">
        <v>1325</v>
      </c>
      <c r="J1272" s="30" t="s">
        <v>394</v>
      </c>
      <c r="K1272" s="31" t="s">
        <v>407</v>
      </c>
      <c r="L1272" s="32" t="n">
        <v>1</v>
      </c>
      <c r="M1272" s="38" t="s">
        <v>408</v>
      </c>
      <c r="N1272" s="31" t="s">
        <v>409</v>
      </c>
      <c r="O1272" s="32" t="n">
        <v>1</v>
      </c>
      <c r="P1272" s="15" t="n">
        <f aca="false">IF(A1272="","",IF(O1272&lt;&gt;"",O1272,IF(L1272&lt;&gt;"",L1272,F1272)))</f>
        <v>1</v>
      </c>
    </row>
    <row r="1273" customFormat="false" ht="15" hidden="false" customHeight="true" outlineLevel="0" collapsed="false">
      <c r="A1273" s="26" t="s">
        <v>158</v>
      </c>
      <c r="B1273" s="26" t="s">
        <v>159</v>
      </c>
      <c r="C1273" s="14" t="n">
        <f aca="false">IF(A1273="","",IFERROR(VLOOKUP(A1273,'Recert Status'!$A$8:$C$400,3,FALSE()),""))</f>
        <v>46387</v>
      </c>
      <c r="D1273" s="18" t="s">
        <v>1333</v>
      </c>
      <c r="E1273" s="26" t="s">
        <v>416</v>
      </c>
      <c r="F1273" s="27" t="n">
        <v>0.5</v>
      </c>
      <c r="G1273" s="28" t="n">
        <v>45861</v>
      </c>
      <c r="H1273" s="28" t="n">
        <v>45861</v>
      </c>
      <c r="I1273" s="18" t="s">
        <v>1334</v>
      </c>
      <c r="J1273" s="26" t="s">
        <v>416</v>
      </c>
      <c r="K1273" s="18" t="s">
        <v>456</v>
      </c>
      <c r="L1273" s="27" t="n">
        <v>0.5</v>
      </c>
      <c r="M1273" s="39" t="s">
        <v>413</v>
      </c>
      <c r="N1273" s="18" t="s">
        <v>414</v>
      </c>
      <c r="O1273" s="27" t="n">
        <v>0.5</v>
      </c>
      <c r="P1273" s="15" t="n">
        <f aca="false">IF(A1273="","",IF(O1273&lt;&gt;"",O1273,IF(L1273&lt;&gt;"",L1273,F1273)))</f>
        <v>0.5</v>
      </c>
    </row>
    <row r="1274" customFormat="false" ht="15" hidden="false" customHeight="true" outlineLevel="0" collapsed="false">
      <c r="A1274" s="30" t="s">
        <v>158</v>
      </c>
      <c r="B1274" s="30" t="s">
        <v>159</v>
      </c>
      <c r="C1274" s="21" t="n">
        <f aca="false">IF(A1274="","",IFERROR(VLOOKUP(A1274,'Recert Status'!$A$8:$C$400,3,FALSE()),""))</f>
        <v>46387</v>
      </c>
      <c r="D1274" s="31" t="s">
        <v>457</v>
      </c>
      <c r="E1274" s="30" t="s">
        <v>416</v>
      </c>
      <c r="F1274" s="32" t="n">
        <v>2</v>
      </c>
      <c r="G1274" s="33" t="n">
        <v>45861</v>
      </c>
      <c r="H1274" s="33" t="n">
        <v>45861</v>
      </c>
      <c r="I1274" s="31" t="s">
        <v>921</v>
      </c>
      <c r="J1274" s="30" t="s">
        <v>416</v>
      </c>
      <c r="K1274" s="31" t="s">
        <v>418</v>
      </c>
      <c r="L1274" s="32" t="n">
        <v>2</v>
      </c>
      <c r="M1274" s="39" t="s">
        <v>413</v>
      </c>
      <c r="N1274" s="31" t="s">
        <v>414</v>
      </c>
      <c r="O1274" s="32" t="n">
        <v>2</v>
      </c>
      <c r="P1274" s="15" t="n">
        <f aca="false">IF(A1274="","",IF(O1274&lt;&gt;"",O1274,IF(L1274&lt;&gt;"",L1274,F1274)))</f>
        <v>2</v>
      </c>
    </row>
    <row r="1275" customFormat="false" ht="15" hidden="false" customHeight="true" outlineLevel="0" collapsed="false">
      <c r="A1275" s="26" t="s">
        <v>158</v>
      </c>
      <c r="B1275" s="26" t="s">
        <v>159</v>
      </c>
      <c r="C1275" s="14" t="n">
        <f aca="false">IF(A1275="","",IFERROR(VLOOKUP(A1275,'Recert Status'!$A$8:$C$400,3,FALSE()),""))</f>
        <v>46387</v>
      </c>
      <c r="D1275" s="18" t="s">
        <v>1206</v>
      </c>
      <c r="E1275" s="26" t="s">
        <v>416</v>
      </c>
      <c r="F1275" s="27" t="n">
        <v>4</v>
      </c>
      <c r="G1275" s="28" t="n">
        <v>45964</v>
      </c>
      <c r="H1275" s="28" t="n">
        <v>45964</v>
      </c>
      <c r="I1275" s="18" t="s">
        <v>1207</v>
      </c>
      <c r="J1275" s="26" t="s">
        <v>416</v>
      </c>
      <c r="K1275" s="18" t="s">
        <v>485</v>
      </c>
      <c r="L1275" s="27" t="n">
        <v>4</v>
      </c>
      <c r="M1275" s="39" t="s">
        <v>413</v>
      </c>
      <c r="N1275" s="18" t="s">
        <v>414</v>
      </c>
      <c r="O1275" s="27" t="n">
        <v>4</v>
      </c>
      <c r="P1275" s="15" t="n">
        <f aca="false">IF(A1275="","",IF(O1275&lt;&gt;"",O1275,IF(L1275&lt;&gt;"",L1275,F1275)))</f>
        <v>4</v>
      </c>
    </row>
    <row r="1276" customFormat="false" ht="15" hidden="false" customHeight="true" outlineLevel="0" collapsed="false">
      <c r="A1276" s="30" t="s">
        <v>158</v>
      </c>
      <c r="B1276" s="30" t="s">
        <v>159</v>
      </c>
      <c r="C1276" s="21" t="n">
        <f aca="false">IF(A1276="","",IFERROR(VLOOKUP(A1276,'Recert Status'!$A$8:$C$400,3,FALSE()),""))</f>
        <v>46387</v>
      </c>
      <c r="D1276" s="31" t="s">
        <v>414</v>
      </c>
      <c r="E1276" s="30" t="s">
        <v>416</v>
      </c>
      <c r="F1276" s="32" t="n">
        <v>2</v>
      </c>
      <c r="G1276" s="33" t="n">
        <v>46218</v>
      </c>
      <c r="H1276" s="33" t="n">
        <v>46218</v>
      </c>
      <c r="I1276" s="31" t="s">
        <v>535</v>
      </c>
      <c r="J1276" s="30" t="s">
        <v>416</v>
      </c>
      <c r="K1276" s="31" t="s">
        <v>418</v>
      </c>
      <c r="L1276" s="32" t="n">
        <v>2</v>
      </c>
      <c r="M1276" s="39" t="s">
        <v>413</v>
      </c>
      <c r="N1276" s="31" t="s">
        <v>414</v>
      </c>
      <c r="O1276" s="32" t="n">
        <v>2</v>
      </c>
      <c r="P1276" s="15" t="n">
        <f aca="false">IF(A1276="","",IF(O1276&lt;&gt;"",O1276,IF(L1276&lt;&gt;"",L1276,F1276)))</f>
        <v>2</v>
      </c>
    </row>
    <row r="1277" customFormat="false" ht="15" hidden="false" customHeight="true" outlineLevel="0" collapsed="false">
      <c r="A1277" s="26" t="s">
        <v>160</v>
      </c>
      <c r="B1277" s="26"/>
      <c r="C1277" s="14" t="n">
        <f aca="false">IF(A1277="","",IFERROR(VLOOKUP(A1277,'Recert Status'!$A$8:$C$400,3,FALSE()),""))</f>
        <v>0</v>
      </c>
      <c r="D1277" s="18" t="s">
        <v>496</v>
      </c>
      <c r="E1277" s="26" t="s">
        <v>542</v>
      </c>
      <c r="F1277" s="27" t="n">
        <v>4</v>
      </c>
      <c r="G1277" s="28" t="n">
        <v>45961</v>
      </c>
      <c r="H1277" s="28" t="n">
        <v>45961</v>
      </c>
      <c r="I1277" s="18" t="s">
        <v>587</v>
      </c>
      <c r="J1277" s="26" t="s">
        <v>542</v>
      </c>
      <c r="K1277" s="18" t="s">
        <v>422</v>
      </c>
      <c r="L1277" s="27" t="n">
        <v>4</v>
      </c>
      <c r="M1277" s="40" t="s">
        <v>423</v>
      </c>
      <c r="N1277" s="18" t="s">
        <v>424</v>
      </c>
      <c r="O1277" s="27" t="n">
        <v>4</v>
      </c>
      <c r="P1277" s="15" t="n">
        <f aca="false">IF(A1277="","",IF(O1277&lt;&gt;"",O1277,IF(L1277&lt;&gt;"",L1277,F1277)))</f>
        <v>4</v>
      </c>
    </row>
    <row r="1278" customFormat="false" ht="15" hidden="false" customHeight="true" outlineLevel="0" collapsed="false">
      <c r="A1278" s="30" t="s">
        <v>160</v>
      </c>
      <c r="B1278" s="30"/>
      <c r="C1278" s="21" t="n">
        <f aca="false">IF(A1278="","",IFERROR(VLOOKUP(A1278,'Recert Status'!$A$8:$C$400,3,FALSE()),""))</f>
        <v>0</v>
      </c>
      <c r="D1278" s="31" t="s">
        <v>597</v>
      </c>
      <c r="E1278" s="30" t="n">
        <v>29735</v>
      </c>
      <c r="F1278" s="32" t="n">
        <v>4</v>
      </c>
      <c r="G1278" s="33" t="n">
        <v>45961</v>
      </c>
      <c r="H1278" s="33" t="n">
        <v>45961</v>
      </c>
      <c r="I1278" s="31" t="s">
        <v>598</v>
      </c>
      <c r="J1278" s="30" t="s">
        <v>599</v>
      </c>
      <c r="K1278" s="31" t="s">
        <v>600</v>
      </c>
      <c r="L1278" s="32" t="n">
        <v>4</v>
      </c>
      <c r="M1278" s="36" t="s">
        <v>396</v>
      </c>
      <c r="N1278" s="31" t="s">
        <v>397</v>
      </c>
      <c r="O1278" s="32" t="n">
        <v>4</v>
      </c>
      <c r="P1278" s="15" t="n">
        <f aca="false">IF(A1278="","",IF(O1278&lt;&gt;"",O1278,IF(L1278&lt;&gt;"",L1278,F1278)))</f>
        <v>4</v>
      </c>
    </row>
    <row r="1279" customFormat="false" ht="15" hidden="false" customHeight="true" outlineLevel="0" collapsed="false">
      <c r="A1279" s="26" t="s">
        <v>161</v>
      </c>
      <c r="B1279" s="26"/>
      <c r="C1279" s="14" t="n">
        <f aca="false">IF(A1279="","",IFERROR(VLOOKUP(A1279,'Recert Status'!$A$8:$C$400,3,FALSE()),""))</f>
        <v>0</v>
      </c>
      <c r="D1279" s="18" t="s">
        <v>759</v>
      </c>
      <c r="E1279" s="26" t="s">
        <v>426</v>
      </c>
      <c r="F1279" s="27" t="n">
        <v>9</v>
      </c>
      <c r="G1279" s="28" t="n">
        <v>45955</v>
      </c>
      <c r="H1279" s="28" t="n">
        <v>45955</v>
      </c>
      <c r="I1279" s="18" t="s">
        <v>761</v>
      </c>
      <c r="J1279" s="26" t="s">
        <v>426</v>
      </c>
      <c r="K1279" s="18" t="s">
        <v>526</v>
      </c>
      <c r="L1279" s="27" t="n">
        <v>1</v>
      </c>
      <c r="M1279" s="41" t="s">
        <v>429</v>
      </c>
      <c r="N1279" s="18" t="s">
        <v>430</v>
      </c>
      <c r="O1279" s="27" t="n">
        <v>1</v>
      </c>
      <c r="P1279" s="15" t="n">
        <f aca="false">IF(A1279="","",IF(O1279&lt;&gt;"",O1279,IF(L1279&lt;&gt;"",L1279,F1279)))</f>
        <v>1</v>
      </c>
    </row>
    <row r="1280" customFormat="false" ht="15" hidden="false" customHeight="true" outlineLevel="0" collapsed="false">
      <c r="A1280" s="30" t="s">
        <v>161</v>
      </c>
      <c r="B1280" s="30"/>
      <c r="C1280" s="21" t="n">
        <f aca="false">IF(A1280="","",IFERROR(VLOOKUP(A1280,'Recert Status'!$A$8:$C$400,3,FALSE()),""))</f>
        <v>0</v>
      </c>
      <c r="D1280" s="31" t="s">
        <v>1335</v>
      </c>
      <c r="E1280" s="30" t="s">
        <v>426</v>
      </c>
      <c r="F1280" s="32" t="n">
        <v>2</v>
      </c>
      <c r="G1280" s="33" t="n">
        <v>46076</v>
      </c>
      <c r="H1280" s="33" t="n">
        <v>46076</v>
      </c>
      <c r="I1280" s="31" t="s">
        <v>1336</v>
      </c>
      <c r="J1280" s="30" t="s">
        <v>426</v>
      </c>
      <c r="K1280" s="31" t="s">
        <v>428</v>
      </c>
      <c r="L1280" s="32" t="n">
        <v>2</v>
      </c>
      <c r="M1280" s="41" t="s">
        <v>429</v>
      </c>
      <c r="N1280" s="31" t="s">
        <v>430</v>
      </c>
      <c r="O1280" s="32" t="n">
        <v>2</v>
      </c>
      <c r="P1280" s="15" t="n">
        <f aca="false">IF(A1280="","",IF(O1280&lt;&gt;"",O1280,IF(L1280&lt;&gt;"",L1280,F1280)))</f>
        <v>2</v>
      </c>
    </row>
    <row r="1281" customFormat="false" ht="15" hidden="false" customHeight="true" outlineLevel="0" collapsed="false">
      <c r="A1281" s="26" t="s">
        <v>161</v>
      </c>
      <c r="B1281" s="26"/>
      <c r="C1281" s="14" t="n">
        <f aca="false">IF(A1281="","",IFERROR(VLOOKUP(A1281,'Recert Status'!$A$8:$C$400,3,FALSE()),""))</f>
        <v>0</v>
      </c>
      <c r="D1281" s="18" t="s">
        <v>682</v>
      </c>
      <c r="E1281" s="26" t="n">
        <v>29675</v>
      </c>
      <c r="F1281" s="27" t="n">
        <v>1</v>
      </c>
      <c r="G1281" s="28" t="n">
        <v>45986</v>
      </c>
      <c r="H1281" s="28" t="n">
        <v>45986</v>
      </c>
      <c r="I1281" s="18" t="s">
        <v>793</v>
      </c>
      <c r="J1281" s="26" t="s">
        <v>406</v>
      </c>
      <c r="K1281" s="18" t="s">
        <v>446</v>
      </c>
      <c r="L1281" s="27" t="n">
        <v>1</v>
      </c>
      <c r="M1281" s="35" t="s">
        <v>386</v>
      </c>
      <c r="N1281" s="18" t="s">
        <v>387</v>
      </c>
      <c r="O1281" s="27" t="n">
        <v>1</v>
      </c>
      <c r="P1281" s="15" t="n">
        <f aca="false">IF(A1281="","",IF(O1281&lt;&gt;"",O1281,IF(L1281&lt;&gt;"",L1281,F1281)))</f>
        <v>1</v>
      </c>
    </row>
    <row r="1282" customFormat="false" ht="15" hidden="false" customHeight="true" outlineLevel="0" collapsed="false">
      <c r="A1282" s="30" t="s">
        <v>161</v>
      </c>
      <c r="B1282" s="30"/>
      <c r="C1282" s="21" t="n">
        <f aca="false">IF(A1282="","",IFERROR(VLOOKUP(A1282,'Recert Status'!$A$8:$C$400,3,FALSE()),""))</f>
        <v>0</v>
      </c>
      <c r="D1282" s="31" t="s">
        <v>1337</v>
      </c>
      <c r="E1282" s="30" t="s">
        <v>389</v>
      </c>
      <c r="F1282" s="32" t="n">
        <v>1</v>
      </c>
      <c r="G1282" s="33" t="n">
        <v>46064</v>
      </c>
      <c r="H1282" s="33" t="n">
        <v>46064</v>
      </c>
      <c r="I1282" s="31" t="s">
        <v>1338</v>
      </c>
      <c r="J1282" s="30" t="s">
        <v>389</v>
      </c>
      <c r="K1282" s="31" t="s">
        <v>791</v>
      </c>
      <c r="L1282" s="32" t="n">
        <v>1</v>
      </c>
      <c r="M1282" s="35" t="s">
        <v>386</v>
      </c>
      <c r="N1282" s="31" t="s">
        <v>387</v>
      </c>
      <c r="O1282" s="32" t="n">
        <v>1</v>
      </c>
      <c r="P1282" s="15" t="n">
        <f aca="false">IF(A1282="","",IF(O1282&lt;&gt;"",O1282,IF(L1282&lt;&gt;"",L1282,F1282)))</f>
        <v>1</v>
      </c>
    </row>
    <row r="1283" customFormat="false" ht="15" hidden="false" customHeight="true" outlineLevel="0" collapsed="false">
      <c r="A1283" s="26" t="s">
        <v>161</v>
      </c>
      <c r="B1283" s="26"/>
      <c r="C1283" s="14" t="n">
        <f aca="false">IF(A1283="","",IFERROR(VLOOKUP(A1283,'Recert Status'!$A$8:$C$400,3,FALSE()),""))</f>
        <v>0</v>
      </c>
      <c r="D1283" s="18" t="s">
        <v>397</v>
      </c>
      <c r="E1283" s="26" t="s">
        <v>452</v>
      </c>
      <c r="F1283" s="27" t="n">
        <v>1</v>
      </c>
      <c r="G1283" s="28" t="n">
        <v>46244</v>
      </c>
      <c r="H1283" s="28" t="n">
        <v>46244</v>
      </c>
      <c r="I1283" s="18" t="s">
        <v>577</v>
      </c>
      <c r="J1283" s="26" t="s">
        <v>452</v>
      </c>
      <c r="K1283" s="18" t="s">
        <v>385</v>
      </c>
      <c r="L1283" s="27" t="n">
        <v>1</v>
      </c>
      <c r="M1283" s="36" t="s">
        <v>396</v>
      </c>
      <c r="N1283" s="18" t="s">
        <v>397</v>
      </c>
      <c r="O1283" s="27" t="n">
        <v>1</v>
      </c>
      <c r="P1283" s="15" t="n">
        <f aca="false">IF(A1283="","",IF(O1283&lt;&gt;"",O1283,IF(L1283&lt;&gt;"",L1283,F1283)))</f>
        <v>1</v>
      </c>
    </row>
    <row r="1284" customFormat="false" ht="15" hidden="false" customHeight="true" outlineLevel="0" collapsed="false">
      <c r="A1284" s="30" t="s">
        <v>161</v>
      </c>
      <c r="B1284" s="30"/>
      <c r="C1284" s="21" t="n">
        <f aca="false">IF(A1284="","",IFERROR(VLOOKUP(A1284,'Recert Status'!$A$8:$C$400,3,FALSE()),""))</f>
        <v>0</v>
      </c>
      <c r="D1284" s="31" t="s">
        <v>457</v>
      </c>
      <c r="E1284" s="30" t="s">
        <v>416</v>
      </c>
      <c r="F1284" s="32" t="n">
        <v>2</v>
      </c>
      <c r="G1284" s="33" t="n">
        <v>45860</v>
      </c>
      <c r="H1284" s="33" t="n">
        <v>45860</v>
      </c>
      <c r="I1284" s="31" t="s">
        <v>533</v>
      </c>
      <c r="J1284" s="30" t="s">
        <v>416</v>
      </c>
      <c r="K1284" s="31" t="s">
        <v>523</v>
      </c>
      <c r="L1284" s="32" t="n">
        <v>2</v>
      </c>
      <c r="M1284" s="39" t="s">
        <v>413</v>
      </c>
      <c r="N1284" s="31" t="s">
        <v>414</v>
      </c>
      <c r="O1284" s="32" t="n">
        <v>2</v>
      </c>
      <c r="P1284" s="15" t="n">
        <f aca="false">IF(A1284="","",IF(O1284&lt;&gt;"",O1284,IF(L1284&lt;&gt;"",L1284,F1284)))</f>
        <v>2</v>
      </c>
    </row>
    <row r="1285" customFormat="false" ht="15" hidden="false" customHeight="true" outlineLevel="0" collapsed="false">
      <c r="A1285" s="26" t="s">
        <v>161</v>
      </c>
      <c r="B1285" s="26"/>
      <c r="C1285" s="14" t="n">
        <f aca="false">IF(A1285="","",IFERROR(VLOOKUP(A1285,'Recert Status'!$A$8:$C$400,3,FALSE()),""))</f>
        <v>0</v>
      </c>
      <c r="D1285" s="18" t="s">
        <v>582</v>
      </c>
      <c r="E1285" s="26" t="s">
        <v>416</v>
      </c>
      <c r="F1285" s="27" t="n">
        <v>2</v>
      </c>
      <c r="G1285" s="28" t="n">
        <v>45861</v>
      </c>
      <c r="H1285" s="28" t="n">
        <v>45861</v>
      </c>
      <c r="I1285" s="18" t="s">
        <v>583</v>
      </c>
      <c r="J1285" s="26" t="s">
        <v>416</v>
      </c>
      <c r="K1285" s="18" t="s">
        <v>418</v>
      </c>
      <c r="L1285" s="27" t="n">
        <v>2</v>
      </c>
      <c r="M1285" s="39" t="s">
        <v>413</v>
      </c>
      <c r="N1285" s="18" t="s">
        <v>414</v>
      </c>
      <c r="O1285" s="27" t="n">
        <v>2</v>
      </c>
      <c r="P1285" s="15" t="n">
        <f aca="false">IF(A1285="","",IF(O1285&lt;&gt;"",O1285,IF(L1285&lt;&gt;"",L1285,F1285)))</f>
        <v>2</v>
      </c>
    </row>
    <row r="1286" customFormat="false" ht="15" hidden="false" customHeight="true" outlineLevel="0" collapsed="false">
      <c r="A1286" s="30" t="s">
        <v>161</v>
      </c>
      <c r="B1286" s="30"/>
      <c r="C1286" s="21" t="n">
        <f aca="false">IF(A1286="","",IFERROR(VLOOKUP(A1286,'Recert Status'!$A$8:$C$400,3,FALSE()),""))</f>
        <v>0</v>
      </c>
      <c r="D1286" s="31" t="s">
        <v>414</v>
      </c>
      <c r="E1286" s="30" t="s">
        <v>416</v>
      </c>
      <c r="F1286" s="32" t="n">
        <v>2</v>
      </c>
      <c r="G1286" s="33" t="n">
        <v>46217</v>
      </c>
      <c r="H1286" s="33" t="n">
        <v>46217</v>
      </c>
      <c r="I1286" s="31" t="s">
        <v>460</v>
      </c>
      <c r="J1286" s="30" t="s">
        <v>416</v>
      </c>
      <c r="K1286" s="31" t="s">
        <v>418</v>
      </c>
      <c r="L1286" s="32" t="n">
        <v>2</v>
      </c>
      <c r="M1286" s="39" t="s">
        <v>413</v>
      </c>
      <c r="N1286" s="31" t="s">
        <v>414</v>
      </c>
      <c r="O1286" s="32" t="n">
        <v>2</v>
      </c>
      <c r="P1286" s="15" t="n">
        <f aca="false">IF(A1286="","",IF(O1286&lt;&gt;"",O1286,IF(L1286&lt;&gt;"",L1286,F1286)))</f>
        <v>2</v>
      </c>
    </row>
    <row r="1287" customFormat="false" ht="15" hidden="false" customHeight="true" outlineLevel="0" collapsed="false">
      <c r="A1287" s="26" t="s">
        <v>162</v>
      </c>
      <c r="B1287" s="26" t="s">
        <v>163</v>
      </c>
      <c r="C1287" s="14" t="n">
        <f aca="false">IF(A1287="","",IFERROR(VLOOKUP(A1287,'Recert Status'!$A$8:$C$400,3,FALSE()),""))</f>
        <v>46752</v>
      </c>
      <c r="D1287" s="18" t="s">
        <v>1161</v>
      </c>
      <c r="E1287" s="26" t="s">
        <v>363</v>
      </c>
      <c r="F1287" s="27" t="n">
        <v>1</v>
      </c>
      <c r="G1287" s="28" t="n">
        <v>45761</v>
      </c>
      <c r="H1287" s="28" t="n">
        <v>45761</v>
      </c>
      <c r="I1287" s="18" t="s">
        <v>1162</v>
      </c>
      <c r="J1287" s="26" t="s">
        <v>363</v>
      </c>
      <c r="K1287" s="18" t="s">
        <v>1036</v>
      </c>
      <c r="L1287" s="27" t="n">
        <v>1</v>
      </c>
      <c r="M1287" s="29" t="s">
        <v>366</v>
      </c>
      <c r="N1287" s="18" t="s">
        <v>367</v>
      </c>
      <c r="O1287" s="27" t="n">
        <v>1</v>
      </c>
      <c r="P1287" s="15" t="n">
        <f aca="false">IF(A1287="","",IF(O1287&lt;&gt;"",O1287,IF(L1287&lt;&gt;"",L1287,F1287)))</f>
        <v>1</v>
      </c>
    </row>
    <row r="1288" customFormat="false" ht="15" hidden="false" customHeight="true" outlineLevel="0" collapsed="false">
      <c r="A1288" s="30" t="s">
        <v>162</v>
      </c>
      <c r="B1288" s="30" t="s">
        <v>163</v>
      </c>
      <c r="C1288" s="21" t="n">
        <f aca="false">IF(A1288="","",IFERROR(VLOOKUP(A1288,'Recert Status'!$A$8:$C$400,3,FALSE()),""))</f>
        <v>46752</v>
      </c>
      <c r="D1288" s="31" t="s">
        <v>1339</v>
      </c>
      <c r="E1288" s="30" t="s">
        <v>363</v>
      </c>
      <c r="F1288" s="32" t="n">
        <v>0.5</v>
      </c>
      <c r="G1288" s="33" t="n">
        <v>45794</v>
      </c>
      <c r="H1288" s="33" t="n">
        <v>45794</v>
      </c>
      <c r="I1288" s="31" t="s">
        <v>1340</v>
      </c>
      <c r="J1288" s="30" t="s">
        <v>363</v>
      </c>
      <c r="K1288" s="31" t="s">
        <v>365</v>
      </c>
      <c r="L1288" s="32" t="n">
        <v>0.5</v>
      </c>
      <c r="M1288" s="29" t="s">
        <v>366</v>
      </c>
      <c r="N1288" s="31" t="s">
        <v>367</v>
      </c>
      <c r="O1288" s="32" t="n">
        <v>0.5</v>
      </c>
      <c r="P1288" s="15" t="n">
        <f aca="false">IF(A1288="","",IF(O1288&lt;&gt;"",O1288,IF(L1288&lt;&gt;"",L1288,F1288)))</f>
        <v>0.5</v>
      </c>
    </row>
    <row r="1289" customFormat="false" ht="15" hidden="false" customHeight="true" outlineLevel="0" collapsed="false">
      <c r="A1289" s="26" t="s">
        <v>162</v>
      </c>
      <c r="B1289" s="26" t="s">
        <v>163</v>
      </c>
      <c r="C1289" s="14" t="n">
        <f aca="false">IF(A1289="","",IFERROR(VLOOKUP(A1289,'Recert Status'!$A$8:$C$400,3,FALSE()),""))</f>
        <v>46752</v>
      </c>
      <c r="D1289" s="18" t="s">
        <v>1341</v>
      </c>
      <c r="E1289" s="26" t="s">
        <v>363</v>
      </c>
      <c r="F1289" s="27" t="n">
        <v>1</v>
      </c>
      <c r="G1289" s="28" t="n">
        <v>45912</v>
      </c>
      <c r="H1289" s="28" t="n">
        <v>45912</v>
      </c>
      <c r="I1289" s="18" t="s">
        <v>1342</v>
      </c>
      <c r="J1289" s="26" t="s">
        <v>363</v>
      </c>
      <c r="K1289" s="18" t="s">
        <v>495</v>
      </c>
      <c r="L1289" s="27" t="n">
        <v>1</v>
      </c>
      <c r="M1289" s="29" t="s">
        <v>366</v>
      </c>
      <c r="N1289" s="18" t="s">
        <v>367</v>
      </c>
      <c r="O1289" s="27" t="n">
        <v>1</v>
      </c>
      <c r="P1289" s="15" t="n">
        <f aca="false">IF(A1289="","",IF(O1289&lt;&gt;"",O1289,IF(L1289&lt;&gt;"",L1289,F1289)))</f>
        <v>1</v>
      </c>
    </row>
    <row r="1290" customFormat="false" ht="15" hidden="false" customHeight="true" outlineLevel="0" collapsed="false">
      <c r="A1290" s="30" t="s">
        <v>162</v>
      </c>
      <c r="B1290" s="30" t="s">
        <v>163</v>
      </c>
      <c r="C1290" s="21" t="n">
        <f aca="false">IF(A1290="","",IFERROR(VLOOKUP(A1290,'Recert Status'!$A$8:$C$400,3,FALSE()),""))</f>
        <v>46752</v>
      </c>
      <c r="D1290" s="31" t="s">
        <v>362</v>
      </c>
      <c r="E1290" s="30" t="n">
        <v>57394</v>
      </c>
      <c r="F1290" s="32" t="n">
        <v>3</v>
      </c>
      <c r="G1290" s="33" t="n">
        <v>45971</v>
      </c>
      <c r="H1290" s="33" t="n">
        <v>45971</v>
      </c>
      <c r="I1290" s="31" t="s">
        <v>922</v>
      </c>
      <c r="J1290" s="30" t="s">
        <v>503</v>
      </c>
      <c r="K1290" s="31" t="s">
        <v>365</v>
      </c>
      <c r="L1290" s="32" t="n">
        <v>1.5</v>
      </c>
      <c r="M1290" s="29" t="s">
        <v>366</v>
      </c>
      <c r="N1290" s="31" t="s">
        <v>923</v>
      </c>
      <c r="O1290" s="32" t="n">
        <v>3</v>
      </c>
      <c r="P1290" s="15" t="n">
        <f aca="false">IF(A1290="","",IF(O1290&lt;&gt;"",O1290,IF(L1290&lt;&gt;"",L1290,F1290)))</f>
        <v>3</v>
      </c>
    </row>
    <row r="1291" customFormat="false" ht="15" hidden="false" customHeight="true" outlineLevel="0" collapsed="false">
      <c r="A1291" s="26" t="s">
        <v>162</v>
      </c>
      <c r="B1291" s="26" t="s">
        <v>163</v>
      </c>
      <c r="C1291" s="14" t="n">
        <f aca="false">IF(A1291="","",IFERROR(VLOOKUP(A1291,'Recert Status'!$A$8:$C$400,3,FALSE()),""))</f>
        <v>46752</v>
      </c>
      <c r="D1291" s="18" t="s">
        <v>1165</v>
      </c>
      <c r="E1291" s="26" t="s">
        <v>426</v>
      </c>
      <c r="F1291" s="27" t="n">
        <v>1</v>
      </c>
      <c r="G1291" s="28" t="n">
        <v>45761</v>
      </c>
      <c r="H1291" s="28" t="n">
        <v>45761</v>
      </c>
      <c r="I1291" s="18" t="s">
        <v>1166</v>
      </c>
      <c r="J1291" s="26" t="s">
        <v>426</v>
      </c>
      <c r="K1291" s="18" t="s">
        <v>526</v>
      </c>
      <c r="L1291" s="27" t="n">
        <v>1</v>
      </c>
      <c r="M1291" s="41" t="s">
        <v>429</v>
      </c>
      <c r="N1291" s="18" t="s">
        <v>430</v>
      </c>
      <c r="O1291" s="27" t="n">
        <v>1</v>
      </c>
      <c r="P1291" s="15" t="n">
        <f aca="false">IF(A1291="","",IF(O1291&lt;&gt;"",O1291,IF(L1291&lt;&gt;"",L1291,F1291)))</f>
        <v>1</v>
      </c>
    </row>
    <row r="1292" customFormat="false" ht="15" hidden="false" customHeight="true" outlineLevel="0" collapsed="false">
      <c r="A1292" s="30" t="s">
        <v>162</v>
      </c>
      <c r="B1292" s="30" t="s">
        <v>163</v>
      </c>
      <c r="C1292" s="21" t="n">
        <f aca="false">IF(A1292="","",IFERROR(VLOOKUP(A1292,'Recert Status'!$A$8:$C$400,3,FALSE()),""))</f>
        <v>46752</v>
      </c>
      <c r="D1292" s="31" t="s">
        <v>962</v>
      </c>
      <c r="E1292" s="30" t="s">
        <v>426</v>
      </c>
      <c r="F1292" s="32" t="n">
        <v>1</v>
      </c>
      <c r="G1292" s="33" t="n">
        <v>45912</v>
      </c>
      <c r="H1292" s="33" t="n">
        <v>45912</v>
      </c>
      <c r="I1292" s="31" t="s">
        <v>1343</v>
      </c>
      <c r="J1292" s="30" t="s">
        <v>426</v>
      </c>
      <c r="K1292" s="31" t="s">
        <v>428</v>
      </c>
      <c r="L1292" s="32" t="n">
        <v>1</v>
      </c>
      <c r="M1292" s="41" t="s">
        <v>429</v>
      </c>
      <c r="N1292" s="31" t="s">
        <v>430</v>
      </c>
      <c r="O1292" s="32" t="n">
        <v>1</v>
      </c>
      <c r="P1292" s="15" t="n">
        <f aca="false">IF(A1292="","",IF(O1292&lt;&gt;"",O1292,IF(L1292&lt;&gt;"",L1292,F1292)))</f>
        <v>1</v>
      </c>
    </row>
    <row r="1293" customFormat="false" ht="15" hidden="false" customHeight="true" outlineLevel="0" collapsed="false">
      <c r="A1293" s="26" t="s">
        <v>162</v>
      </c>
      <c r="B1293" s="26" t="s">
        <v>163</v>
      </c>
      <c r="C1293" s="14" t="n">
        <f aca="false">IF(A1293="","",IFERROR(VLOOKUP(A1293,'Recert Status'!$A$8:$C$400,3,FALSE()),""))</f>
        <v>46752</v>
      </c>
      <c r="D1293" s="18" t="s">
        <v>884</v>
      </c>
      <c r="E1293" s="26" t="s">
        <v>426</v>
      </c>
      <c r="F1293" s="27" t="n">
        <v>2</v>
      </c>
      <c r="G1293" s="28" t="n">
        <v>45929</v>
      </c>
      <c r="H1293" s="28" t="n">
        <v>45929</v>
      </c>
      <c r="I1293" s="18" t="s">
        <v>885</v>
      </c>
      <c r="J1293" s="26" t="s">
        <v>426</v>
      </c>
      <c r="K1293" s="18" t="s">
        <v>428</v>
      </c>
      <c r="L1293" s="27" t="n">
        <v>2</v>
      </c>
      <c r="M1293" s="41" t="s">
        <v>429</v>
      </c>
      <c r="N1293" s="18" t="s">
        <v>430</v>
      </c>
      <c r="O1293" s="27" t="n">
        <v>2</v>
      </c>
      <c r="P1293" s="15" t="n">
        <f aca="false">IF(A1293="","",IF(O1293&lt;&gt;"",O1293,IF(L1293&lt;&gt;"",L1293,F1293)))</f>
        <v>2</v>
      </c>
    </row>
    <row r="1294" customFormat="false" ht="15" hidden="false" customHeight="true" outlineLevel="0" collapsed="false">
      <c r="A1294" s="30" t="s">
        <v>162</v>
      </c>
      <c r="B1294" s="30" t="s">
        <v>163</v>
      </c>
      <c r="C1294" s="21" t="n">
        <f aca="false">IF(A1294="","",IFERROR(VLOOKUP(A1294,'Recert Status'!$A$8:$C$400,3,FALSE()),""))</f>
        <v>46752</v>
      </c>
      <c r="D1294" s="31" t="s">
        <v>362</v>
      </c>
      <c r="E1294" s="30" t="n">
        <v>57394</v>
      </c>
      <c r="F1294" s="32" t="n">
        <v>3</v>
      </c>
      <c r="G1294" s="33" t="n">
        <v>45971</v>
      </c>
      <c r="H1294" s="33" t="n">
        <v>45971</v>
      </c>
      <c r="I1294" s="31" t="s">
        <v>922</v>
      </c>
      <c r="J1294" s="30" t="s">
        <v>503</v>
      </c>
      <c r="K1294" s="31" t="s">
        <v>365</v>
      </c>
      <c r="L1294" s="32" t="n">
        <v>1.5</v>
      </c>
      <c r="M1294" s="41" t="s">
        <v>429</v>
      </c>
      <c r="N1294" s="31" t="s">
        <v>923</v>
      </c>
      <c r="O1294" s="32" t="n">
        <v>3</v>
      </c>
      <c r="P1294" s="15" t="n">
        <f aca="false">IF(A1294="","",IF(O1294&lt;&gt;"",O1294,IF(L1294&lt;&gt;"",L1294,F1294)))</f>
        <v>3</v>
      </c>
    </row>
    <row r="1295" customFormat="false" ht="15" hidden="false" customHeight="true" outlineLevel="0" collapsed="false">
      <c r="A1295" s="26" t="s">
        <v>162</v>
      </c>
      <c r="B1295" s="26" t="s">
        <v>163</v>
      </c>
      <c r="C1295" s="14" t="n">
        <f aca="false">IF(A1295="","",IFERROR(VLOOKUP(A1295,'Recert Status'!$A$8:$C$400,3,FALSE()),""))</f>
        <v>46752</v>
      </c>
      <c r="D1295" s="18" t="s">
        <v>377</v>
      </c>
      <c r="E1295" s="26" t="s">
        <v>372</v>
      </c>
      <c r="F1295" s="27" t="n">
        <v>1</v>
      </c>
      <c r="G1295" s="28" t="n">
        <v>46008</v>
      </c>
      <c r="H1295" s="28" t="n">
        <v>46008</v>
      </c>
      <c r="I1295" s="18" t="s">
        <v>1344</v>
      </c>
      <c r="J1295" s="26" t="s">
        <v>372</v>
      </c>
      <c r="K1295" s="18" t="s">
        <v>374</v>
      </c>
      <c r="L1295" s="27" t="n">
        <v>1</v>
      </c>
      <c r="M1295" s="34" t="s">
        <v>375</v>
      </c>
      <c r="N1295" s="18" t="s">
        <v>376</v>
      </c>
      <c r="O1295" s="27" t="n">
        <v>1</v>
      </c>
      <c r="P1295" s="15" t="n">
        <f aca="false">IF(A1295="","",IF(O1295&lt;&gt;"",O1295,IF(L1295&lt;&gt;"",L1295,F1295)))</f>
        <v>1</v>
      </c>
    </row>
    <row r="1296" customFormat="false" ht="15" hidden="false" customHeight="true" outlineLevel="0" collapsed="false">
      <c r="A1296" s="30" t="s">
        <v>162</v>
      </c>
      <c r="B1296" s="30" t="s">
        <v>163</v>
      </c>
      <c r="C1296" s="21" t="n">
        <f aca="false">IF(A1296="","",IFERROR(VLOOKUP(A1296,'Recert Status'!$A$8:$C$400,3,FALSE()),""))</f>
        <v>46752</v>
      </c>
      <c r="D1296" s="31" t="s">
        <v>1168</v>
      </c>
      <c r="E1296" s="30" t="s">
        <v>389</v>
      </c>
      <c r="F1296" s="32" t="n">
        <v>2</v>
      </c>
      <c r="G1296" s="33" t="n">
        <v>45761</v>
      </c>
      <c r="H1296" s="33" t="n">
        <v>45761</v>
      </c>
      <c r="I1296" s="31" t="s">
        <v>1169</v>
      </c>
      <c r="J1296" s="30" t="s">
        <v>389</v>
      </c>
      <c r="K1296" s="31" t="s">
        <v>1170</v>
      </c>
      <c r="L1296" s="32" t="n">
        <v>2</v>
      </c>
      <c r="M1296" s="35" t="s">
        <v>386</v>
      </c>
      <c r="N1296" s="31" t="s">
        <v>387</v>
      </c>
      <c r="O1296" s="32" t="n">
        <v>2</v>
      </c>
      <c r="P1296" s="15" t="n">
        <f aca="false">IF(A1296="","",IF(O1296&lt;&gt;"",O1296,IF(L1296&lt;&gt;"",L1296,F1296)))</f>
        <v>2</v>
      </c>
    </row>
    <row r="1297" customFormat="false" ht="15" hidden="false" customHeight="true" outlineLevel="0" collapsed="false">
      <c r="A1297" s="26" t="s">
        <v>162</v>
      </c>
      <c r="B1297" s="26" t="s">
        <v>163</v>
      </c>
      <c r="C1297" s="14" t="n">
        <f aca="false">IF(A1297="","",IFERROR(VLOOKUP(A1297,'Recert Status'!$A$8:$C$400,3,FALSE()),""))</f>
        <v>46752</v>
      </c>
      <c r="D1297" s="18" t="s">
        <v>447</v>
      </c>
      <c r="E1297" s="26" t="n">
        <v>29675</v>
      </c>
      <c r="F1297" s="27" t="n">
        <v>1</v>
      </c>
      <c r="G1297" s="28" t="n">
        <v>45986</v>
      </c>
      <c r="H1297" s="28" t="n">
        <v>45986</v>
      </c>
      <c r="I1297" s="18" t="s">
        <v>448</v>
      </c>
      <c r="J1297" s="26" t="s">
        <v>406</v>
      </c>
      <c r="K1297" s="18" t="s">
        <v>446</v>
      </c>
      <c r="L1297" s="27" t="n">
        <v>1</v>
      </c>
      <c r="M1297" s="35" t="s">
        <v>386</v>
      </c>
      <c r="N1297" s="18" t="s">
        <v>387</v>
      </c>
      <c r="O1297" s="27" t="n">
        <v>1</v>
      </c>
      <c r="P1297" s="15" t="n">
        <f aca="false">IF(A1297="","",IF(O1297&lt;&gt;"",O1297,IF(L1297&lt;&gt;"",L1297,F1297)))</f>
        <v>1</v>
      </c>
    </row>
    <row r="1298" customFormat="false" ht="15" hidden="false" customHeight="true" outlineLevel="0" collapsed="false">
      <c r="A1298" s="30" t="s">
        <v>162</v>
      </c>
      <c r="B1298" s="30" t="s">
        <v>163</v>
      </c>
      <c r="C1298" s="21" t="n">
        <f aca="false">IF(A1298="","",IFERROR(VLOOKUP(A1298,'Recert Status'!$A$8:$C$400,3,FALSE()),""))</f>
        <v>46752</v>
      </c>
      <c r="D1298" s="31" t="s">
        <v>387</v>
      </c>
      <c r="E1298" s="30" t="s">
        <v>389</v>
      </c>
      <c r="F1298" s="32" t="n">
        <v>0.5</v>
      </c>
      <c r="G1298" s="33" t="n">
        <v>46211</v>
      </c>
      <c r="H1298" s="33" t="n">
        <v>46211</v>
      </c>
      <c r="I1298" s="31" t="s">
        <v>1171</v>
      </c>
      <c r="J1298" s="30" t="s">
        <v>389</v>
      </c>
      <c r="K1298" s="31" t="s">
        <v>395</v>
      </c>
      <c r="L1298" s="32" t="n">
        <v>0.5</v>
      </c>
      <c r="M1298" s="35" t="s">
        <v>386</v>
      </c>
      <c r="N1298" s="31" t="s">
        <v>387</v>
      </c>
      <c r="O1298" s="32" t="n">
        <v>0.5</v>
      </c>
      <c r="P1298" s="15" t="n">
        <f aca="false">IF(A1298="","",IF(O1298&lt;&gt;"",O1298,IF(L1298&lt;&gt;"",L1298,F1298)))</f>
        <v>0.5</v>
      </c>
    </row>
    <row r="1299" customFormat="false" ht="15" hidden="false" customHeight="true" outlineLevel="0" collapsed="false">
      <c r="A1299" s="26" t="s">
        <v>162</v>
      </c>
      <c r="B1299" s="26" t="s">
        <v>163</v>
      </c>
      <c r="C1299" s="14" t="n">
        <f aca="false">IF(A1299="","",IFERROR(VLOOKUP(A1299,'Recert Status'!$A$8:$C$400,3,FALSE()),""))</f>
        <v>46752</v>
      </c>
      <c r="D1299" s="18" t="s">
        <v>387</v>
      </c>
      <c r="E1299" s="26" t="s">
        <v>389</v>
      </c>
      <c r="F1299" s="27" t="n">
        <v>1</v>
      </c>
      <c r="G1299" s="28" t="n">
        <v>46232</v>
      </c>
      <c r="H1299" s="28" t="n">
        <v>46232</v>
      </c>
      <c r="I1299" s="18" t="s">
        <v>1063</v>
      </c>
      <c r="J1299" s="26" t="s">
        <v>389</v>
      </c>
      <c r="K1299" s="18" t="s">
        <v>451</v>
      </c>
      <c r="L1299" s="27" t="n">
        <v>1</v>
      </c>
      <c r="M1299" s="35" t="s">
        <v>386</v>
      </c>
      <c r="N1299" s="18" t="s">
        <v>387</v>
      </c>
      <c r="O1299" s="27" t="n">
        <v>1</v>
      </c>
      <c r="P1299" s="15" t="n">
        <f aca="false">IF(A1299="","",IF(O1299&lt;&gt;"",O1299,IF(L1299&lt;&gt;"",L1299,F1299)))</f>
        <v>1</v>
      </c>
    </row>
    <row r="1300" customFormat="false" ht="15" hidden="false" customHeight="true" outlineLevel="0" collapsed="false">
      <c r="A1300" s="30" t="s">
        <v>162</v>
      </c>
      <c r="B1300" s="30" t="s">
        <v>163</v>
      </c>
      <c r="C1300" s="21" t="n">
        <f aca="false">IF(A1300="","",IFERROR(VLOOKUP(A1300,'Recert Status'!$A$8:$C$400,3,FALSE()),""))</f>
        <v>46752</v>
      </c>
      <c r="D1300" s="31" t="s">
        <v>379</v>
      </c>
      <c r="E1300" s="30" t="s">
        <v>452</v>
      </c>
      <c r="F1300" s="32" t="n">
        <v>1.5</v>
      </c>
      <c r="G1300" s="33" t="n">
        <v>46143</v>
      </c>
      <c r="H1300" s="33" t="n">
        <v>46143</v>
      </c>
      <c r="I1300" s="31" t="s">
        <v>1345</v>
      </c>
      <c r="J1300" s="30" t="s">
        <v>452</v>
      </c>
      <c r="K1300" s="31" t="s">
        <v>385</v>
      </c>
      <c r="L1300" s="32" t="n">
        <v>1.5</v>
      </c>
      <c r="M1300" s="36" t="s">
        <v>396</v>
      </c>
      <c r="N1300" s="31" t="s">
        <v>397</v>
      </c>
      <c r="O1300" s="32" t="n">
        <v>1.5</v>
      </c>
      <c r="P1300" s="15" t="n">
        <f aca="false">IF(A1300="","",IF(O1300&lt;&gt;"",O1300,IF(L1300&lt;&gt;"",L1300,F1300)))</f>
        <v>1.5</v>
      </c>
    </row>
    <row r="1301" customFormat="false" ht="15" hidden="false" customHeight="true" outlineLevel="0" collapsed="false">
      <c r="A1301" s="26" t="s">
        <v>162</v>
      </c>
      <c r="B1301" s="26" t="s">
        <v>163</v>
      </c>
      <c r="C1301" s="14" t="n">
        <f aca="false">IF(A1301="","",IFERROR(VLOOKUP(A1301,'Recert Status'!$A$8:$C$400,3,FALSE()),""))</f>
        <v>46752</v>
      </c>
      <c r="D1301" s="18" t="s">
        <v>1346</v>
      </c>
      <c r="E1301" s="26" t="n">
        <v>57394</v>
      </c>
      <c r="F1301" s="27" t="n">
        <v>1</v>
      </c>
      <c r="G1301" s="28" t="n">
        <v>45971</v>
      </c>
      <c r="H1301" s="28" t="n">
        <v>45971</v>
      </c>
      <c r="I1301" s="18" t="s">
        <v>1347</v>
      </c>
      <c r="J1301" s="26" t="s">
        <v>503</v>
      </c>
      <c r="K1301" s="18" t="s">
        <v>407</v>
      </c>
      <c r="L1301" s="27" t="n">
        <v>1</v>
      </c>
      <c r="M1301" s="38" t="s">
        <v>408</v>
      </c>
      <c r="N1301" s="18" t="s">
        <v>409</v>
      </c>
      <c r="O1301" s="27" t="n">
        <v>1</v>
      </c>
      <c r="P1301" s="15" t="n">
        <f aca="false">IF(A1301="","",IF(O1301&lt;&gt;"",O1301,IF(L1301&lt;&gt;"",L1301,F1301)))</f>
        <v>1</v>
      </c>
    </row>
    <row r="1302" customFormat="false" ht="15" hidden="false" customHeight="true" outlineLevel="0" collapsed="false">
      <c r="A1302" s="30" t="s">
        <v>162</v>
      </c>
      <c r="B1302" s="30" t="s">
        <v>163</v>
      </c>
      <c r="C1302" s="21" t="n">
        <f aca="false">IF(A1302="","",IFERROR(VLOOKUP(A1302,'Recert Status'!$A$8:$C$400,3,FALSE()),""))</f>
        <v>46752</v>
      </c>
      <c r="D1302" s="31" t="s">
        <v>672</v>
      </c>
      <c r="E1302" s="30" t="s">
        <v>416</v>
      </c>
      <c r="F1302" s="32" t="n">
        <v>1</v>
      </c>
      <c r="G1302" s="33" t="n">
        <v>45824</v>
      </c>
      <c r="H1302" s="33" t="n">
        <v>45824</v>
      </c>
      <c r="I1302" s="31" t="s">
        <v>1172</v>
      </c>
      <c r="J1302" s="30" t="s">
        <v>416</v>
      </c>
      <c r="K1302" s="31" t="s">
        <v>418</v>
      </c>
      <c r="L1302" s="32" t="n">
        <v>1</v>
      </c>
      <c r="M1302" s="39" t="s">
        <v>413</v>
      </c>
      <c r="N1302" s="31" t="s">
        <v>414</v>
      </c>
      <c r="O1302" s="32" t="n">
        <v>1</v>
      </c>
      <c r="P1302" s="15" t="n">
        <f aca="false">IF(A1302="","",IF(O1302&lt;&gt;"",O1302,IF(L1302&lt;&gt;"",L1302,F1302)))</f>
        <v>1</v>
      </c>
    </row>
    <row r="1303" customFormat="false" ht="15" hidden="false" customHeight="true" outlineLevel="0" collapsed="false">
      <c r="A1303" s="26" t="s">
        <v>162</v>
      </c>
      <c r="B1303" s="26" t="s">
        <v>163</v>
      </c>
      <c r="C1303" s="14" t="n">
        <f aca="false">IF(A1303="","",IFERROR(VLOOKUP(A1303,'Recert Status'!$A$8:$C$400,3,FALSE()),""))</f>
        <v>46752</v>
      </c>
      <c r="D1303" s="18" t="s">
        <v>705</v>
      </c>
      <c r="E1303" s="26" t="s">
        <v>416</v>
      </c>
      <c r="F1303" s="27" t="n">
        <v>0.5</v>
      </c>
      <c r="G1303" s="28" t="n">
        <v>45854</v>
      </c>
      <c r="H1303" s="28" t="n">
        <v>45854</v>
      </c>
      <c r="I1303" s="18" t="s">
        <v>1173</v>
      </c>
      <c r="J1303" s="26" t="s">
        <v>416</v>
      </c>
      <c r="K1303" s="18" t="s">
        <v>412</v>
      </c>
      <c r="L1303" s="27" t="n">
        <v>0.5</v>
      </c>
      <c r="M1303" s="39" t="s">
        <v>413</v>
      </c>
      <c r="N1303" s="18" t="s">
        <v>414</v>
      </c>
      <c r="O1303" s="27" t="n">
        <v>0.5</v>
      </c>
      <c r="P1303" s="15" t="n">
        <f aca="false">IF(A1303="","",IF(O1303&lt;&gt;"",O1303,IF(L1303&lt;&gt;"",L1303,F1303)))</f>
        <v>0.5</v>
      </c>
    </row>
    <row r="1304" customFormat="false" ht="15" hidden="false" customHeight="true" outlineLevel="0" collapsed="false">
      <c r="A1304" s="30" t="s">
        <v>162</v>
      </c>
      <c r="B1304" s="30" t="s">
        <v>163</v>
      </c>
      <c r="C1304" s="21" t="n">
        <f aca="false">IF(A1304="","",IFERROR(VLOOKUP(A1304,'Recert Status'!$A$8:$C$400,3,FALSE()),""))</f>
        <v>46752</v>
      </c>
      <c r="D1304" s="31" t="s">
        <v>457</v>
      </c>
      <c r="E1304" s="30" t="s">
        <v>416</v>
      </c>
      <c r="F1304" s="32" t="n">
        <v>2</v>
      </c>
      <c r="G1304" s="33" t="n">
        <v>45860</v>
      </c>
      <c r="H1304" s="33" t="n">
        <v>45860</v>
      </c>
      <c r="I1304" s="31" t="s">
        <v>720</v>
      </c>
      <c r="J1304" s="30" t="s">
        <v>416</v>
      </c>
      <c r="K1304" s="31" t="s">
        <v>459</v>
      </c>
      <c r="L1304" s="32" t="n">
        <v>2</v>
      </c>
      <c r="M1304" s="39" t="s">
        <v>413</v>
      </c>
      <c r="N1304" s="31" t="s">
        <v>414</v>
      </c>
      <c r="O1304" s="32" t="n">
        <v>2</v>
      </c>
      <c r="P1304" s="15" t="n">
        <f aca="false">IF(A1304="","",IF(O1304&lt;&gt;"",O1304,IF(L1304&lt;&gt;"",L1304,F1304)))</f>
        <v>2</v>
      </c>
    </row>
    <row r="1305" customFormat="false" ht="15" hidden="false" customHeight="true" outlineLevel="0" collapsed="false">
      <c r="A1305" s="26" t="s">
        <v>162</v>
      </c>
      <c r="B1305" s="26" t="s">
        <v>163</v>
      </c>
      <c r="C1305" s="14" t="n">
        <f aca="false">IF(A1305="","",IFERROR(VLOOKUP(A1305,'Recert Status'!$A$8:$C$400,3,FALSE()),""))</f>
        <v>46752</v>
      </c>
      <c r="D1305" s="18" t="s">
        <v>488</v>
      </c>
      <c r="E1305" s="26" t="s">
        <v>416</v>
      </c>
      <c r="F1305" s="27" t="n">
        <v>1</v>
      </c>
      <c r="G1305" s="28" t="n">
        <v>46127</v>
      </c>
      <c r="H1305" s="28" t="n">
        <v>46127</v>
      </c>
      <c r="I1305" s="18" t="s">
        <v>534</v>
      </c>
      <c r="J1305" s="26" t="s">
        <v>416</v>
      </c>
      <c r="K1305" s="18" t="s">
        <v>490</v>
      </c>
      <c r="L1305" s="27" t="n">
        <v>1</v>
      </c>
      <c r="M1305" s="39" t="s">
        <v>413</v>
      </c>
      <c r="N1305" s="18" t="s">
        <v>414</v>
      </c>
      <c r="O1305" s="27" t="n">
        <v>1</v>
      </c>
      <c r="P1305" s="15" t="n">
        <f aca="false">IF(A1305="","",IF(O1305&lt;&gt;"",O1305,IF(L1305&lt;&gt;"",L1305,F1305)))</f>
        <v>1</v>
      </c>
    </row>
    <row r="1306" customFormat="false" ht="15" hidden="false" customHeight="true" outlineLevel="0" collapsed="false">
      <c r="A1306" s="30" t="s">
        <v>162</v>
      </c>
      <c r="B1306" s="30" t="s">
        <v>163</v>
      </c>
      <c r="C1306" s="21" t="n">
        <f aca="false">IF(A1306="","",IFERROR(VLOOKUP(A1306,'Recert Status'!$A$8:$C$400,3,FALSE()),""))</f>
        <v>46752</v>
      </c>
      <c r="D1306" s="31" t="s">
        <v>414</v>
      </c>
      <c r="E1306" s="30" t="s">
        <v>416</v>
      </c>
      <c r="F1306" s="32" t="n">
        <v>2</v>
      </c>
      <c r="G1306" s="33" t="n">
        <v>46218</v>
      </c>
      <c r="H1306" s="33" t="n">
        <v>46218</v>
      </c>
      <c r="I1306" s="31" t="s">
        <v>535</v>
      </c>
      <c r="J1306" s="30" t="s">
        <v>416</v>
      </c>
      <c r="K1306" s="31" t="s">
        <v>418</v>
      </c>
      <c r="L1306" s="32" t="n">
        <v>2</v>
      </c>
      <c r="M1306" s="39" t="s">
        <v>413</v>
      </c>
      <c r="N1306" s="31" t="s">
        <v>414</v>
      </c>
      <c r="O1306" s="32" t="n">
        <v>2</v>
      </c>
      <c r="P1306" s="15" t="n">
        <f aca="false">IF(A1306="","",IF(O1306&lt;&gt;"",O1306,IF(L1306&lt;&gt;"",L1306,F1306)))</f>
        <v>2</v>
      </c>
    </row>
    <row r="1307" customFormat="false" ht="15" hidden="false" customHeight="true" outlineLevel="0" collapsed="false">
      <c r="A1307" s="26" t="s">
        <v>164</v>
      </c>
      <c r="B1307" s="26" t="s">
        <v>165</v>
      </c>
      <c r="C1307" s="14" t="n">
        <f aca="false">IF(A1307="","",IFERROR(VLOOKUP(A1307,'Recert Status'!$A$8:$C$400,3,FALSE()),""))</f>
        <v>46387</v>
      </c>
      <c r="D1307" s="18" t="s">
        <v>362</v>
      </c>
      <c r="E1307" s="26" t="s">
        <v>363</v>
      </c>
      <c r="F1307" s="27" t="n">
        <v>1</v>
      </c>
      <c r="G1307" s="28" t="n">
        <v>45832</v>
      </c>
      <c r="H1307" s="28" t="n">
        <v>45832</v>
      </c>
      <c r="I1307" s="18" t="s">
        <v>461</v>
      </c>
      <c r="J1307" s="26" t="s">
        <v>363</v>
      </c>
      <c r="K1307" s="18" t="s">
        <v>365</v>
      </c>
      <c r="L1307" s="27" t="n">
        <v>1</v>
      </c>
      <c r="M1307" s="29" t="s">
        <v>366</v>
      </c>
      <c r="N1307" s="18" t="s">
        <v>367</v>
      </c>
      <c r="O1307" s="27" t="n">
        <v>1</v>
      </c>
      <c r="P1307" s="15" t="n">
        <f aca="false">IF(A1307="","",IF(O1307&lt;&gt;"",O1307,IF(L1307&lt;&gt;"",L1307,F1307)))</f>
        <v>1</v>
      </c>
    </row>
    <row r="1308" customFormat="false" ht="15" hidden="false" customHeight="true" outlineLevel="0" collapsed="false">
      <c r="A1308" s="30" t="s">
        <v>164</v>
      </c>
      <c r="B1308" s="30" t="s">
        <v>165</v>
      </c>
      <c r="C1308" s="21" t="n">
        <f aca="false">IF(A1308="","",IFERROR(VLOOKUP(A1308,'Recert Status'!$A$8:$C$400,3,FALSE()),""))</f>
        <v>46387</v>
      </c>
      <c r="D1308" s="31" t="s">
        <v>732</v>
      </c>
      <c r="E1308" s="30" t="n">
        <v>29740</v>
      </c>
      <c r="F1308" s="32" t="n">
        <v>1</v>
      </c>
      <c r="G1308" s="33" t="n">
        <v>46174</v>
      </c>
      <c r="H1308" s="33" t="n">
        <v>46174</v>
      </c>
      <c r="I1308" s="31" t="s">
        <v>1129</v>
      </c>
      <c r="J1308" s="30" t="s">
        <v>394</v>
      </c>
      <c r="K1308" s="31" t="s">
        <v>1130</v>
      </c>
      <c r="L1308" s="32" t="n">
        <v>1</v>
      </c>
      <c r="M1308" s="34" t="s">
        <v>375</v>
      </c>
      <c r="N1308" s="31" t="s">
        <v>514</v>
      </c>
      <c r="O1308" s="32" t="n">
        <v>1</v>
      </c>
      <c r="P1308" s="15" t="n">
        <f aca="false">IF(A1308="","",IF(O1308&lt;&gt;"",O1308,IF(L1308&lt;&gt;"",L1308,F1308)))</f>
        <v>1</v>
      </c>
    </row>
    <row r="1309" customFormat="false" ht="15" hidden="false" customHeight="true" outlineLevel="0" collapsed="false">
      <c r="A1309" s="26" t="s">
        <v>164</v>
      </c>
      <c r="B1309" s="26" t="s">
        <v>165</v>
      </c>
      <c r="C1309" s="14" t="n">
        <f aca="false">IF(A1309="","",IFERROR(VLOOKUP(A1309,'Recert Status'!$A$8:$C$400,3,FALSE()),""))</f>
        <v>46387</v>
      </c>
      <c r="D1309" s="18" t="s">
        <v>466</v>
      </c>
      <c r="E1309" s="26" t="n">
        <v>29784</v>
      </c>
      <c r="F1309" s="27" t="n">
        <v>0.5</v>
      </c>
      <c r="G1309" s="28" t="n">
        <v>45691</v>
      </c>
      <c r="H1309" s="28" t="n">
        <v>45691</v>
      </c>
      <c r="I1309" s="18" t="s">
        <v>467</v>
      </c>
      <c r="J1309" s="26" t="s">
        <v>435</v>
      </c>
      <c r="K1309" s="18" t="s">
        <v>468</v>
      </c>
      <c r="L1309" s="27" t="n">
        <v>0.5</v>
      </c>
      <c r="M1309" s="35" t="s">
        <v>386</v>
      </c>
      <c r="N1309" s="18" t="s">
        <v>387</v>
      </c>
      <c r="O1309" s="27" t="n">
        <v>0.5</v>
      </c>
      <c r="P1309" s="15" t="n">
        <f aca="false">IF(A1309="","",IF(O1309&lt;&gt;"",O1309,IF(L1309&lt;&gt;"",L1309,F1309)))</f>
        <v>0.5</v>
      </c>
    </row>
    <row r="1310" customFormat="false" ht="15" hidden="false" customHeight="true" outlineLevel="0" collapsed="false">
      <c r="A1310" s="30" t="s">
        <v>164</v>
      </c>
      <c r="B1310" s="30" t="s">
        <v>165</v>
      </c>
      <c r="C1310" s="21" t="n">
        <f aca="false">IF(A1310="","",IFERROR(VLOOKUP(A1310,'Recert Status'!$A$8:$C$400,3,FALSE()),""))</f>
        <v>46387</v>
      </c>
      <c r="D1310" s="31" t="s">
        <v>469</v>
      </c>
      <c r="E1310" s="30" t="n">
        <v>29737</v>
      </c>
      <c r="F1310" s="32" t="n">
        <v>0.5</v>
      </c>
      <c r="G1310" s="33" t="n">
        <v>45841</v>
      </c>
      <c r="H1310" s="33" t="n">
        <v>45841</v>
      </c>
      <c r="I1310" s="31" t="s">
        <v>470</v>
      </c>
      <c r="J1310" s="30" t="s">
        <v>411</v>
      </c>
      <c r="K1310" s="31" t="s">
        <v>412</v>
      </c>
      <c r="L1310" s="32" t="n">
        <v>0.5</v>
      </c>
      <c r="M1310" s="35" t="s">
        <v>386</v>
      </c>
      <c r="N1310" s="31" t="s">
        <v>387</v>
      </c>
      <c r="O1310" s="32" t="n">
        <v>0.5</v>
      </c>
      <c r="P1310" s="15" t="n">
        <f aca="false">IF(A1310="","",IF(O1310&lt;&gt;"",O1310,IF(L1310&lt;&gt;"",L1310,F1310)))</f>
        <v>0.5</v>
      </c>
    </row>
    <row r="1311" customFormat="false" ht="15" hidden="false" customHeight="true" outlineLevel="0" collapsed="false">
      <c r="A1311" s="26" t="s">
        <v>164</v>
      </c>
      <c r="B1311" s="26" t="s">
        <v>165</v>
      </c>
      <c r="C1311" s="14" t="n">
        <f aca="false">IF(A1311="","",IFERROR(VLOOKUP(A1311,'Recert Status'!$A$8:$C$400,3,FALSE()),""))</f>
        <v>46387</v>
      </c>
      <c r="D1311" s="18" t="s">
        <v>382</v>
      </c>
      <c r="E1311" s="26" t="n">
        <v>35513</v>
      </c>
      <c r="F1311" s="27" t="n">
        <v>2</v>
      </c>
      <c r="G1311" s="28" t="n">
        <v>45883</v>
      </c>
      <c r="H1311" s="28" t="n">
        <v>45883</v>
      </c>
      <c r="I1311" s="18" t="s">
        <v>383</v>
      </c>
      <c r="J1311" s="26" t="s">
        <v>384</v>
      </c>
      <c r="K1311" s="18" t="s">
        <v>385</v>
      </c>
      <c r="L1311" s="27" t="n">
        <v>2</v>
      </c>
      <c r="M1311" s="35" t="s">
        <v>386</v>
      </c>
      <c r="N1311" s="18" t="s">
        <v>387</v>
      </c>
      <c r="O1311" s="27" t="n">
        <v>2</v>
      </c>
      <c r="P1311" s="15" t="n">
        <f aca="false">IF(A1311="","",IF(O1311&lt;&gt;"",O1311,IF(L1311&lt;&gt;"",L1311,F1311)))</f>
        <v>2</v>
      </c>
    </row>
    <row r="1312" customFormat="false" ht="15" hidden="false" customHeight="true" outlineLevel="0" collapsed="false">
      <c r="A1312" s="30" t="s">
        <v>164</v>
      </c>
      <c r="B1312" s="30" t="s">
        <v>165</v>
      </c>
      <c r="C1312" s="21" t="n">
        <f aca="false">IF(A1312="","",IFERROR(VLOOKUP(A1312,'Recert Status'!$A$8:$C$400,3,FALSE()),""))</f>
        <v>46387</v>
      </c>
      <c r="D1312" s="31" t="s">
        <v>591</v>
      </c>
      <c r="E1312" s="30" t="n">
        <v>57435</v>
      </c>
      <c r="F1312" s="32" t="n">
        <v>0.5</v>
      </c>
      <c r="G1312" s="33" t="n">
        <v>45985</v>
      </c>
      <c r="H1312" s="33" t="n">
        <v>45985</v>
      </c>
      <c r="I1312" s="31" t="s">
        <v>592</v>
      </c>
      <c r="J1312" s="30" t="s">
        <v>593</v>
      </c>
      <c r="K1312" s="31" t="s">
        <v>446</v>
      </c>
      <c r="L1312" s="32" t="n">
        <v>0.5</v>
      </c>
      <c r="M1312" s="35" t="s">
        <v>386</v>
      </c>
      <c r="N1312" s="31" t="s">
        <v>387</v>
      </c>
      <c r="O1312" s="32" t="n">
        <v>0.5</v>
      </c>
      <c r="P1312" s="15" t="n">
        <f aca="false">IF(A1312="","",IF(O1312&lt;&gt;"",O1312,IF(L1312&lt;&gt;"",L1312,F1312)))</f>
        <v>0.5</v>
      </c>
    </row>
    <row r="1313" customFormat="false" ht="15" hidden="false" customHeight="true" outlineLevel="0" collapsed="false">
      <c r="A1313" s="26" t="s">
        <v>164</v>
      </c>
      <c r="B1313" s="26" t="s">
        <v>165</v>
      </c>
      <c r="C1313" s="14" t="n">
        <f aca="false">IF(A1313="","",IFERROR(VLOOKUP(A1313,'Recert Status'!$A$8:$C$400,3,FALSE()),""))</f>
        <v>46387</v>
      </c>
      <c r="D1313" s="18" t="s">
        <v>387</v>
      </c>
      <c r="E1313" s="26" t="s">
        <v>389</v>
      </c>
      <c r="F1313" s="27" t="n">
        <v>1</v>
      </c>
      <c r="G1313" s="28" t="n">
        <v>45985</v>
      </c>
      <c r="H1313" s="28" t="n">
        <v>45985</v>
      </c>
      <c r="I1313" s="18" t="s">
        <v>1061</v>
      </c>
      <c r="J1313" s="26" t="s">
        <v>389</v>
      </c>
      <c r="K1313" s="18" t="s">
        <v>451</v>
      </c>
      <c r="L1313" s="27" t="n">
        <v>1</v>
      </c>
      <c r="M1313" s="35" t="s">
        <v>386</v>
      </c>
      <c r="N1313" s="18" t="s">
        <v>387</v>
      </c>
      <c r="O1313" s="27" t="n">
        <v>1</v>
      </c>
      <c r="P1313" s="15" t="n">
        <f aca="false">IF(A1313="","",IF(O1313&lt;&gt;"",O1313,IF(L1313&lt;&gt;"",L1313,F1313)))</f>
        <v>1</v>
      </c>
    </row>
    <row r="1314" customFormat="false" ht="15" hidden="false" customHeight="true" outlineLevel="0" collapsed="false">
      <c r="A1314" s="30" t="s">
        <v>164</v>
      </c>
      <c r="B1314" s="30" t="s">
        <v>165</v>
      </c>
      <c r="C1314" s="21" t="n">
        <f aca="false">IF(A1314="","",IFERROR(VLOOKUP(A1314,'Recert Status'!$A$8:$C$400,3,FALSE()),""))</f>
        <v>46387</v>
      </c>
      <c r="D1314" s="31" t="s">
        <v>471</v>
      </c>
      <c r="E1314" s="30" t="s">
        <v>389</v>
      </c>
      <c r="F1314" s="32" t="n">
        <v>1</v>
      </c>
      <c r="G1314" s="33" t="n">
        <v>46184</v>
      </c>
      <c r="H1314" s="33" t="n">
        <v>46184</v>
      </c>
      <c r="I1314" s="31" t="s">
        <v>472</v>
      </c>
      <c r="J1314" s="30" t="s">
        <v>389</v>
      </c>
      <c r="K1314" s="31" t="s">
        <v>473</v>
      </c>
      <c r="L1314" s="32" t="n">
        <v>1</v>
      </c>
      <c r="M1314" s="35" t="s">
        <v>386</v>
      </c>
      <c r="N1314" s="31" t="s">
        <v>387</v>
      </c>
      <c r="O1314" s="32" t="n">
        <v>1</v>
      </c>
      <c r="P1314" s="15" t="n">
        <f aca="false">IF(A1314="","",IF(O1314&lt;&gt;"",O1314,IF(L1314&lt;&gt;"",L1314,F1314)))</f>
        <v>1</v>
      </c>
    </row>
    <row r="1315" customFormat="false" ht="15" hidden="false" customHeight="true" outlineLevel="0" collapsed="false">
      <c r="A1315" s="26" t="s">
        <v>164</v>
      </c>
      <c r="B1315" s="26" t="s">
        <v>165</v>
      </c>
      <c r="C1315" s="14" t="n">
        <f aca="false">IF(A1315="","",IFERROR(VLOOKUP(A1315,'Recert Status'!$A$8:$C$400,3,FALSE()),""))</f>
        <v>46387</v>
      </c>
      <c r="D1315" s="18" t="s">
        <v>474</v>
      </c>
      <c r="E1315" s="26" t="s">
        <v>389</v>
      </c>
      <c r="F1315" s="27" t="n">
        <v>1</v>
      </c>
      <c r="G1315" s="28" t="n">
        <v>46204</v>
      </c>
      <c r="H1315" s="28" t="n">
        <v>46204</v>
      </c>
      <c r="I1315" s="18" t="s">
        <v>475</v>
      </c>
      <c r="J1315" s="26" t="s">
        <v>389</v>
      </c>
      <c r="K1315" s="18" t="s">
        <v>476</v>
      </c>
      <c r="L1315" s="27" t="n">
        <v>1</v>
      </c>
      <c r="M1315" s="35" t="s">
        <v>386</v>
      </c>
      <c r="N1315" s="18" t="s">
        <v>387</v>
      </c>
      <c r="O1315" s="27" t="n">
        <v>1</v>
      </c>
      <c r="P1315" s="15" t="n">
        <f aca="false">IF(A1315="","",IF(O1315&lt;&gt;"",O1315,IF(L1315&lt;&gt;"",L1315,F1315)))</f>
        <v>1</v>
      </c>
    </row>
    <row r="1316" customFormat="false" ht="15" hidden="false" customHeight="true" outlineLevel="0" collapsed="false">
      <c r="A1316" s="30" t="s">
        <v>164</v>
      </c>
      <c r="B1316" s="30" t="s">
        <v>165</v>
      </c>
      <c r="C1316" s="21" t="n">
        <f aca="false">IF(A1316="","",IFERROR(VLOOKUP(A1316,'Recert Status'!$A$8:$C$400,3,FALSE()),""))</f>
        <v>46387</v>
      </c>
      <c r="D1316" s="31" t="s">
        <v>387</v>
      </c>
      <c r="E1316" s="30" t="s">
        <v>389</v>
      </c>
      <c r="F1316" s="32" t="n">
        <v>1</v>
      </c>
      <c r="G1316" s="33" t="n">
        <v>46240</v>
      </c>
      <c r="H1316" s="33" t="n">
        <v>46240</v>
      </c>
      <c r="I1316" s="31" t="s">
        <v>1137</v>
      </c>
      <c r="J1316" s="30" t="s">
        <v>389</v>
      </c>
      <c r="K1316" s="31" t="s">
        <v>451</v>
      </c>
      <c r="L1316" s="32" t="n">
        <v>1</v>
      </c>
      <c r="M1316" s="35" t="s">
        <v>386</v>
      </c>
      <c r="N1316" s="31" t="s">
        <v>387</v>
      </c>
      <c r="O1316" s="32" t="n">
        <v>1</v>
      </c>
      <c r="P1316" s="15" t="n">
        <f aca="false">IF(A1316="","",IF(O1316&lt;&gt;"",O1316,IF(L1316&lt;&gt;"",L1316,F1316)))</f>
        <v>1</v>
      </c>
    </row>
    <row r="1317" customFormat="false" ht="15" hidden="false" customHeight="true" outlineLevel="0" collapsed="false">
      <c r="A1317" s="26" t="s">
        <v>164</v>
      </c>
      <c r="B1317" s="26" t="s">
        <v>165</v>
      </c>
      <c r="C1317" s="14" t="n">
        <f aca="false">IF(A1317="","",IFERROR(VLOOKUP(A1317,'Recert Status'!$A$8:$C$400,3,FALSE()),""))</f>
        <v>46387</v>
      </c>
      <c r="D1317" s="18" t="s">
        <v>397</v>
      </c>
      <c r="E1317" s="26" t="s">
        <v>452</v>
      </c>
      <c r="F1317" s="27" t="n">
        <v>1</v>
      </c>
      <c r="G1317" s="28" t="n">
        <v>46246</v>
      </c>
      <c r="H1317" s="28" t="n">
        <v>46246</v>
      </c>
      <c r="I1317" s="18" t="s">
        <v>478</v>
      </c>
      <c r="J1317" s="26" t="s">
        <v>452</v>
      </c>
      <c r="K1317" s="18" t="s">
        <v>385</v>
      </c>
      <c r="L1317" s="27" t="n">
        <v>1</v>
      </c>
      <c r="M1317" s="36" t="s">
        <v>396</v>
      </c>
      <c r="N1317" s="18" t="s">
        <v>397</v>
      </c>
      <c r="O1317" s="27" t="n">
        <v>1</v>
      </c>
      <c r="P1317" s="15" t="n">
        <f aca="false">IF(A1317="","",IF(O1317&lt;&gt;"",O1317,IF(L1317&lt;&gt;"",L1317,F1317)))</f>
        <v>1</v>
      </c>
    </row>
    <row r="1318" customFormat="false" ht="15" hidden="false" customHeight="true" outlineLevel="0" collapsed="false">
      <c r="A1318" s="30" t="s">
        <v>164</v>
      </c>
      <c r="B1318" s="30" t="s">
        <v>165</v>
      </c>
      <c r="C1318" s="21" t="n">
        <f aca="false">IF(A1318="","",IFERROR(VLOOKUP(A1318,'Recert Status'!$A$8:$C$400,3,FALSE()),""))</f>
        <v>46387</v>
      </c>
      <c r="D1318" s="31" t="s">
        <v>397</v>
      </c>
      <c r="E1318" s="30" t="s">
        <v>452</v>
      </c>
      <c r="F1318" s="32" t="n">
        <v>1</v>
      </c>
      <c r="G1318" s="33" t="n">
        <v>46246</v>
      </c>
      <c r="H1318" s="33" t="n">
        <v>46246</v>
      </c>
      <c r="I1318" s="31" t="s">
        <v>478</v>
      </c>
      <c r="J1318" s="30" t="s">
        <v>452</v>
      </c>
      <c r="K1318" s="31" t="s">
        <v>385</v>
      </c>
      <c r="L1318" s="32" t="n">
        <v>1</v>
      </c>
      <c r="M1318" s="36" t="s">
        <v>396</v>
      </c>
      <c r="N1318" s="31" t="s">
        <v>397</v>
      </c>
      <c r="O1318" s="32" t="n">
        <v>1</v>
      </c>
      <c r="P1318" s="15" t="n">
        <f aca="false">IF(A1318="","",IF(O1318&lt;&gt;"",O1318,IF(L1318&lt;&gt;"",L1318,F1318)))</f>
        <v>1</v>
      </c>
    </row>
    <row r="1319" customFormat="false" ht="15" hidden="false" customHeight="true" outlineLevel="0" collapsed="false">
      <c r="A1319" s="26" t="s">
        <v>164</v>
      </c>
      <c r="B1319" s="26" t="s">
        <v>165</v>
      </c>
      <c r="C1319" s="14" t="n">
        <f aca="false">IF(A1319="","",IFERROR(VLOOKUP(A1319,'Recert Status'!$A$8:$C$400,3,FALSE()),""))</f>
        <v>46387</v>
      </c>
      <c r="D1319" s="18" t="s">
        <v>449</v>
      </c>
      <c r="E1319" s="26" t="s">
        <v>416</v>
      </c>
      <c r="F1319" s="27" t="n">
        <v>1</v>
      </c>
      <c r="G1319" s="28" t="n">
        <v>45775</v>
      </c>
      <c r="H1319" s="28" t="n">
        <v>45775</v>
      </c>
      <c r="I1319" s="18" t="s">
        <v>809</v>
      </c>
      <c r="J1319" s="26" t="s">
        <v>416</v>
      </c>
      <c r="K1319" s="18" t="s">
        <v>674</v>
      </c>
      <c r="L1319" s="27" t="n">
        <v>1</v>
      </c>
      <c r="M1319" s="39" t="s">
        <v>413</v>
      </c>
      <c r="N1319" s="18" t="s">
        <v>414</v>
      </c>
      <c r="O1319" s="27" t="n">
        <v>1</v>
      </c>
      <c r="P1319" s="15" t="n">
        <f aca="false">IF(A1319="","",IF(O1319&lt;&gt;"",O1319,IF(L1319&lt;&gt;"",L1319,F1319)))</f>
        <v>1</v>
      </c>
    </row>
    <row r="1320" customFormat="false" ht="15" hidden="false" customHeight="true" outlineLevel="0" collapsed="false">
      <c r="A1320" s="30" t="s">
        <v>164</v>
      </c>
      <c r="B1320" s="30" t="s">
        <v>165</v>
      </c>
      <c r="C1320" s="21" t="n">
        <f aca="false">IF(A1320="","",IFERROR(VLOOKUP(A1320,'Recert Status'!$A$8:$C$400,3,FALSE()),""))</f>
        <v>46387</v>
      </c>
      <c r="D1320" s="31" t="s">
        <v>672</v>
      </c>
      <c r="E1320" s="30" t="s">
        <v>416</v>
      </c>
      <c r="F1320" s="32" t="n">
        <v>1</v>
      </c>
      <c r="G1320" s="33" t="n">
        <v>45826</v>
      </c>
      <c r="H1320" s="33" t="n">
        <v>45826</v>
      </c>
      <c r="I1320" s="31" t="s">
        <v>810</v>
      </c>
      <c r="J1320" s="30" t="s">
        <v>416</v>
      </c>
      <c r="K1320" s="31" t="s">
        <v>418</v>
      </c>
      <c r="L1320" s="32" t="n">
        <v>1</v>
      </c>
      <c r="M1320" s="39" t="s">
        <v>413</v>
      </c>
      <c r="N1320" s="31" t="s">
        <v>414</v>
      </c>
      <c r="O1320" s="32" t="n">
        <v>1</v>
      </c>
      <c r="P1320" s="15" t="n">
        <f aca="false">IF(A1320="","",IF(O1320&lt;&gt;"",O1320,IF(L1320&lt;&gt;"",L1320,F1320)))</f>
        <v>1</v>
      </c>
    </row>
    <row r="1321" customFormat="false" ht="15" hidden="false" customHeight="true" outlineLevel="0" collapsed="false">
      <c r="A1321" s="26" t="s">
        <v>164</v>
      </c>
      <c r="B1321" s="26" t="s">
        <v>165</v>
      </c>
      <c r="C1321" s="14" t="n">
        <f aca="false">IF(A1321="","",IFERROR(VLOOKUP(A1321,'Recert Status'!$A$8:$C$400,3,FALSE()),""))</f>
        <v>46387</v>
      </c>
      <c r="D1321" s="18" t="s">
        <v>719</v>
      </c>
      <c r="E1321" s="26" t="s">
        <v>416</v>
      </c>
      <c r="F1321" s="27" t="n">
        <v>2</v>
      </c>
      <c r="G1321" s="28" t="n">
        <v>45859</v>
      </c>
      <c r="H1321" s="28" t="n">
        <v>45859</v>
      </c>
      <c r="I1321" s="18" t="s">
        <v>486</v>
      </c>
      <c r="J1321" s="26" t="s">
        <v>416</v>
      </c>
      <c r="K1321" s="18" t="s">
        <v>418</v>
      </c>
      <c r="L1321" s="27" t="n">
        <v>2</v>
      </c>
      <c r="M1321" s="39" t="s">
        <v>413</v>
      </c>
      <c r="N1321" s="18" t="s">
        <v>414</v>
      </c>
      <c r="O1321" s="27" t="n">
        <v>2</v>
      </c>
      <c r="P1321" s="15" t="n">
        <f aca="false">IF(A1321="","",IF(O1321&lt;&gt;"",O1321,IF(L1321&lt;&gt;"",L1321,F1321)))</f>
        <v>2</v>
      </c>
    </row>
    <row r="1322" customFormat="false" ht="15" hidden="false" customHeight="true" outlineLevel="0" collapsed="false">
      <c r="A1322" s="30" t="s">
        <v>164</v>
      </c>
      <c r="B1322" s="30" t="s">
        <v>165</v>
      </c>
      <c r="C1322" s="21" t="n">
        <f aca="false">IF(A1322="","",IFERROR(VLOOKUP(A1322,'Recert Status'!$A$8:$C$400,3,FALSE()),""))</f>
        <v>46387</v>
      </c>
      <c r="D1322" s="31" t="s">
        <v>1206</v>
      </c>
      <c r="E1322" s="30" t="s">
        <v>416</v>
      </c>
      <c r="F1322" s="32" t="n">
        <v>4</v>
      </c>
      <c r="G1322" s="33" t="n">
        <v>45964</v>
      </c>
      <c r="H1322" s="33" t="n">
        <v>45964</v>
      </c>
      <c r="I1322" s="31" t="s">
        <v>1207</v>
      </c>
      <c r="J1322" s="30" t="s">
        <v>416</v>
      </c>
      <c r="K1322" s="31" t="s">
        <v>485</v>
      </c>
      <c r="L1322" s="32" t="n">
        <v>4</v>
      </c>
      <c r="M1322" s="39" t="s">
        <v>413</v>
      </c>
      <c r="N1322" s="31" t="s">
        <v>414</v>
      </c>
      <c r="O1322" s="32" t="n">
        <v>4</v>
      </c>
      <c r="P1322" s="15" t="n">
        <f aca="false">IF(A1322="","",IF(O1322&lt;&gt;"",O1322,IF(L1322&lt;&gt;"",L1322,F1322)))</f>
        <v>4</v>
      </c>
    </row>
    <row r="1323" customFormat="false" ht="15" hidden="false" customHeight="true" outlineLevel="0" collapsed="false">
      <c r="A1323" s="26" t="s">
        <v>164</v>
      </c>
      <c r="B1323" s="26" t="s">
        <v>165</v>
      </c>
      <c r="C1323" s="14" t="n">
        <f aca="false">IF(A1323="","",IFERROR(VLOOKUP(A1323,'Recert Status'!$A$8:$C$400,3,FALSE()),""))</f>
        <v>46387</v>
      </c>
      <c r="D1323" s="18" t="s">
        <v>488</v>
      </c>
      <c r="E1323" s="26" t="s">
        <v>416</v>
      </c>
      <c r="F1323" s="27" t="n">
        <v>1</v>
      </c>
      <c r="G1323" s="28" t="n">
        <v>46126</v>
      </c>
      <c r="H1323" s="28" t="n">
        <v>46126</v>
      </c>
      <c r="I1323" s="18" t="s">
        <v>489</v>
      </c>
      <c r="J1323" s="26" t="s">
        <v>416</v>
      </c>
      <c r="K1323" s="18" t="s">
        <v>490</v>
      </c>
      <c r="L1323" s="27" t="n">
        <v>1</v>
      </c>
      <c r="M1323" s="39" t="s">
        <v>413</v>
      </c>
      <c r="N1323" s="18" t="s">
        <v>414</v>
      </c>
      <c r="O1323" s="27" t="n">
        <v>1</v>
      </c>
      <c r="P1323" s="15" t="n">
        <f aca="false">IF(A1323="","",IF(O1323&lt;&gt;"",O1323,IF(L1323&lt;&gt;"",L1323,F1323)))</f>
        <v>1</v>
      </c>
    </row>
    <row r="1324" customFormat="false" ht="15" hidden="false" customHeight="true" outlineLevel="0" collapsed="false">
      <c r="A1324" s="30" t="s">
        <v>164</v>
      </c>
      <c r="B1324" s="30" t="s">
        <v>165</v>
      </c>
      <c r="C1324" s="21" t="n">
        <f aca="false">IF(A1324="","",IFERROR(VLOOKUP(A1324,'Recert Status'!$A$8:$C$400,3,FALSE()),""))</f>
        <v>46387</v>
      </c>
      <c r="D1324" s="31" t="s">
        <v>414</v>
      </c>
      <c r="E1324" s="30" t="s">
        <v>416</v>
      </c>
      <c r="F1324" s="32" t="n">
        <v>2</v>
      </c>
      <c r="G1324" s="33" t="n">
        <v>46219</v>
      </c>
      <c r="H1324" s="33" t="n">
        <v>46219</v>
      </c>
      <c r="I1324" s="31" t="s">
        <v>567</v>
      </c>
      <c r="J1324" s="30" t="s">
        <v>416</v>
      </c>
      <c r="K1324" s="31" t="s">
        <v>418</v>
      </c>
      <c r="L1324" s="32" t="n">
        <v>2</v>
      </c>
      <c r="M1324" s="39" t="s">
        <v>413</v>
      </c>
      <c r="N1324" s="31" t="s">
        <v>414</v>
      </c>
      <c r="O1324" s="32" t="n">
        <v>2</v>
      </c>
      <c r="P1324" s="15" t="n">
        <f aca="false">IF(A1324="","",IF(O1324&lt;&gt;"",O1324,IF(L1324&lt;&gt;"",L1324,F1324)))</f>
        <v>2</v>
      </c>
    </row>
    <row r="1325" customFormat="false" ht="15" hidden="false" customHeight="true" outlineLevel="0" collapsed="false">
      <c r="A1325" s="26" t="s">
        <v>166</v>
      </c>
      <c r="B1325" s="26" t="s">
        <v>167</v>
      </c>
      <c r="C1325" s="14" t="n">
        <f aca="false">IF(A1325="","",IFERROR(VLOOKUP(A1325,'Recert Status'!$A$8:$C$400,3,FALSE()),""))</f>
        <v>46752</v>
      </c>
      <c r="D1325" s="18" t="s">
        <v>971</v>
      </c>
      <c r="E1325" s="26" t="s">
        <v>363</v>
      </c>
      <c r="F1325" s="27" t="n">
        <v>1</v>
      </c>
      <c r="G1325" s="28" t="n">
        <v>45766</v>
      </c>
      <c r="H1325" s="28" t="n">
        <v>45766</v>
      </c>
      <c r="I1325" s="18" t="s">
        <v>972</v>
      </c>
      <c r="J1325" s="26" t="s">
        <v>363</v>
      </c>
      <c r="K1325" s="18" t="s">
        <v>370</v>
      </c>
      <c r="L1325" s="27" t="n">
        <v>1</v>
      </c>
      <c r="M1325" s="29" t="s">
        <v>366</v>
      </c>
      <c r="N1325" s="18" t="s">
        <v>367</v>
      </c>
      <c r="O1325" s="27" t="n">
        <v>1</v>
      </c>
      <c r="P1325" s="15" t="n">
        <f aca="false">IF(A1325="","",IF(O1325&lt;&gt;"",O1325,IF(L1325&lt;&gt;"",L1325,F1325)))</f>
        <v>1</v>
      </c>
    </row>
    <row r="1326" customFormat="false" ht="15" hidden="false" customHeight="true" outlineLevel="0" collapsed="false">
      <c r="A1326" s="30" t="s">
        <v>166</v>
      </c>
      <c r="B1326" s="30" t="s">
        <v>167</v>
      </c>
      <c r="C1326" s="21" t="n">
        <f aca="false">IF(A1326="","",IFERROR(VLOOKUP(A1326,'Recert Status'!$A$8:$C$400,3,FALSE()),""))</f>
        <v>46752</v>
      </c>
      <c r="D1326" s="31" t="s">
        <v>973</v>
      </c>
      <c r="E1326" s="30" t="s">
        <v>363</v>
      </c>
      <c r="F1326" s="32" t="n">
        <v>1.5</v>
      </c>
      <c r="G1326" s="33" t="n">
        <v>46069</v>
      </c>
      <c r="H1326" s="33" t="n">
        <v>46069</v>
      </c>
      <c r="I1326" s="31" t="s">
        <v>974</v>
      </c>
      <c r="J1326" s="30" t="s">
        <v>363</v>
      </c>
      <c r="K1326" s="31" t="s">
        <v>975</v>
      </c>
      <c r="L1326" s="32" t="n">
        <v>1.5</v>
      </c>
      <c r="M1326" s="29" t="s">
        <v>366</v>
      </c>
      <c r="N1326" s="31" t="s">
        <v>367</v>
      </c>
      <c r="O1326" s="32" t="n">
        <v>1.5</v>
      </c>
      <c r="P1326" s="15" t="n">
        <f aca="false">IF(A1326="","",IF(O1326&lt;&gt;"",O1326,IF(L1326&lt;&gt;"",L1326,F1326)))</f>
        <v>1.5</v>
      </c>
    </row>
    <row r="1327" customFormat="false" ht="15" hidden="false" customHeight="true" outlineLevel="0" collapsed="false">
      <c r="A1327" s="26" t="s">
        <v>166</v>
      </c>
      <c r="B1327" s="26" t="s">
        <v>167</v>
      </c>
      <c r="C1327" s="14" t="n">
        <f aca="false">IF(A1327="","",IFERROR(VLOOKUP(A1327,'Recert Status'!$A$8:$C$400,3,FALSE()),""))</f>
        <v>46752</v>
      </c>
      <c r="D1327" s="18" t="s">
        <v>976</v>
      </c>
      <c r="E1327" s="26" t="s">
        <v>426</v>
      </c>
      <c r="F1327" s="27" t="n">
        <v>1</v>
      </c>
      <c r="G1327" s="28" t="n">
        <v>45724</v>
      </c>
      <c r="H1327" s="28" t="n">
        <v>45724</v>
      </c>
      <c r="I1327" s="18" t="s">
        <v>632</v>
      </c>
      <c r="J1327" s="26" t="s">
        <v>426</v>
      </c>
      <c r="K1327" s="18" t="s">
        <v>428</v>
      </c>
      <c r="L1327" s="27" t="n">
        <v>1</v>
      </c>
      <c r="M1327" s="41" t="s">
        <v>429</v>
      </c>
      <c r="N1327" s="18" t="s">
        <v>430</v>
      </c>
      <c r="O1327" s="27" t="n">
        <v>1</v>
      </c>
      <c r="P1327" s="15" t="n">
        <f aca="false">IF(A1327="","",IF(O1327&lt;&gt;"",O1327,IF(L1327&lt;&gt;"",L1327,F1327)))</f>
        <v>1</v>
      </c>
    </row>
    <row r="1328" customFormat="false" ht="15" hidden="false" customHeight="true" outlineLevel="0" collapsed="false">
      <c r="A1328" s="30" t="s">
        <v>166</v>
      </c>
      <c r="B1328" s="30" t="s">
        <v>167</v>
      </c>
      <c r="C1328" s="21" t="n">
        <f aca="false">IF(A1328="","",IFERROR(VLOOKUP(A1328,'Recert Status'!$A$8:$C$400,3,FALSE()),""))</f>
        <v>46752</v>
      </c>
      <c r="D1328" s="31" t="s">
        <v>1348</v>
      </c>
      <c r="E1328" s="30" t="s">
        <v>426</v>
      </c>
      <c r="F1328" s="32" t="n">
        <v>1</v>
      </c>
      <c r="G1328" s="33" t="n">
        <v>45818</v>
      </c>
      <c r="H1328" s="33" t="n">
        <v>45818</v>
      </c>
      <c r="I1328" s="31" t="s">
        <v>1349</v>
      </c>
      <c r="J1328" s="30" t="s">
        <v>426</v>
      </c>
      <c r="K1328" s="31" t="s">
        <v>428</v>
      </c>
      <c r="L1328" s="32" t="n">
        <v>1</v>
      </c>
      <c r="M1328" s="41" t="s">
        <v>429</v>
      </c>
      <c r="N1328" s="31" t="s">
        <v>430</v>
      </c>
      <c r="O1328" s="32" t="n">
        <v>1</v>
      </c>
      <c r="P1328" s="15" t="n">
        <f aca="false">IF(A1328="","",IF(O1328&lt;&gt;"",O1328,IF(L1328&lt;&gt;"",L1328,F1328)))</f>
        <v>1</v>
      </c>
    </row>
    <row r="1329" customFormat="false" ht="15" hidden="false" customHeight="true" outlineLevel="0" collapsed="false">
      <c r="A1329" s="26" t="s">
        <v>166</v>
      </c>
      <c r="B1329" s="26" t="s">
        <v>167</v>
      </c>
      <c r="C1329" s="14" t="n">
        <f aca="false">IF(A1329="","",IFERROR(VLOOKUP(A1329,'Recert Status'!$A$8:$C$400,3,FALSE()),""))</f>
        <v>46752</v>
      </c>
      <c r="D1329" s="18" t="s">
        <v>977</v>
      </c>
      <c r="E1329" s="26" t="s">
        <v>426</v>
      </c>
      <c r="F1329" s="27" t="n">
        <v>2</v>
      </c>
      <c r="G1329" s="28" t="n">
        <v>45910</v>
      </c>
      <c r="H1329" s="28" t="n">
        <v>45910</v>
      </c>
      <c r="I1329" s="18" t="s">
        <v>978</v>
      </c>
      <c r="J1329" s="26" t="s">
        <v>426</v>
      </c>
      <c r="K1329" s="18" t="s">
        <v>495</v>
      </c>
      <c r="L1329" s="27" t="n">
        <v>2</v>
      </c>
      <c r="M1329" s="41" t="s">
        <v>429</v>
      </c>
      <c r="N1329" s="18" t="s">
        <v>430</v>
      </c>
      <c r="O1329" s="27" t="n">
        <v>2</v>
      </c>
      <c r="P1329" s="15" t="n">
        <f aca="false">IF(A1329="","",IF(O1329&lt;&gt;"",O1329,IF(L1329&lt;&gt;"",L1329,F1329)))</f>
        <v>2</v>
      </c>
    </row>
    <row r="1330" customFormat="false" ht="15" hidden="false" customHeight="true" outlineLevel="0" collapsed="false">
      <c r="A1330" s="30" t="s">
        <v>166</v>
      </c>
      <c r="B1330" s="30" t="s">
        <v>167</v>
      </c>
      <c r="C1330" s="21" t="n">
        <f aca="false">IF(A1330="","",IFERROR(VLOOKUP(A1330,'Recert Status'!$A$8:$C$400,3,FALSE()),""))</f>
        <v>46752</v>
      </c>
      <c r="D1330" s="31" t="s">
        <v>1350</v>
      </c>
      <c r="E1330" s="30" t="s">
        <v>372</v>
      </c>
      <c r="F1330" s="32" t="n">
        <v>1</v>
      </c>
      <c r="G1330" s="33" t="n">
        <v>45957</v>
      </c>
      <c r="H1330" s="33" t="n">
        <v>45957</v>
      </c>
      <c r="I1330" s="31" t="s">
        <v>1351</v>
      </c>
      <c r="J1330" s="30" t="s">
        <v>372</v>
      </c>
      <c r="K1330" s="31" t="s">
        <v>374</v>
      </c>
      <c r="L1330" s="32" t="n">
        <v>1</v>
      </c>
      <c r="M1330" s="34" t="s">
        <v>375</v>
      </c>
      <c r="N1330" s="31" t="s">
        <v>376</v>
      </c>
      <c r="O1330" s="32" t="n">
        <v>1</v>
      </c>
      <c r="P1330" s="15" t="n">
        <f aca="false">IF(A1330="","",IF(O1330&lt;&gt;"",O1330,IF(L1330&lt;&gt;"",L1330,F1330)))</f>
        <v>1</v>
      </c>
    </row>
    <row r="1331" customFormat="false" ht="15" hidden="false" customHeight="true" outlineLevel="0" collapsed="false">
      <c r="A1331" s="26" t="s">
        <v>166</v>
      </c>
      <c r="B1331" s="26" t="s">
        <v>167</v>
      </c>
      <c r="C1331" s="14" t="n">
        <f aca="false">IF(A1331="","",IFERROR(VLOOKUP(A1331,'Recert Status'!$A$8:$C$400,3,FALSE()),""))</f>
        <v>46752</v>
      </c>
      <c r="D1331" s="18" t="s">
        <v>1352</v>
      </c>
      <c r="E1331" s="26" t="s">
        <v>372</v>
      </c>
      <c r="F1331" s="27" t="n">
        <v>1</v>
      </c>
      <c r="G1331" s="28" t="n">
        <v>46144</v>
      </c>
      <c r="H1331" s="28" t="n">
        <v>46144</v>
      </c>
      <c r="I1331" s="18" t="s">
        <v>1353</v>
      </c>
      <c r="J1331" s="26" t="s">
        <v>372</v>
      </c>
      <c r="K1331" s="18" t="s">
        <v>374</v>
      </c>
      <c r="L1331" s="27" t="n">
        <v>1</v>
      </c>
      <c r="M1331" s="34" t="s">
        <v>375</v>
      </c>
      <c r="N1331" s="18" t="s">
        <v>376</v>
      </c>
      <c r="O1331" s="27"/>
      <c r="P1331" s="15" t="n">
        <f aca="false">IF(A1331="","",IF(O1331&lt;&gt;"",O1331,IF(L1331&lt;&gt;"",L1331,F1331)))</f>
        <v>1</v>
      </c>
    </row>
    <row r="1332" customFormat="false" ht="15" hidden="false" customHeight="true" outlineLevel="0" collapsed="false">
      <c r="A1332" s="30" t="s">
        <v>166</v>
      </c>
      <c r="B1332" s="30" t="s">
        <v>167</v>
      </c>
      <c r="C1332" s="21" t="n">
        <f aca="false">IF(A1332="","",IFERROR(VLOOKUP(A1332,'Recert Status'!$A$8:$C$400,3,FALSE()),""))</f>
        <v>46752</v>
      </c>
      <c r="D1332" s="31" t="s">
        <v>382</v>
      </c>
      <c r="E1332" s="30" t="n">
        <v>35513</v>
      </c>
      <c r="F1332" s="32" t="n">
        <v>2</v>
      </c>
      <c r="G1332" s="33" t="n">
        <v>45883</v>
      </c>
      <c r="H1332" s="33" t="n">
        <v>45883</v>
      </c>
      <c r="I1332" s="31" t="s">
        <v>553</v>
      </c>
      <c r="J1332" s="30" t="s">
        <v>384</v>
      </c>
      <c r="K1332" s="31" t="s">
        <v>385</v>
      </c>
      <c r="L1332" s="32" t="n">
        <v>2</v>
      </c>
      <c r="M1332" s="35" t="s">
        <v>386</v>
      </c>
      <c r="N1332" s="31" t="s">
        <v>387</v>
      </c>
      <c r="O1332" s="32" t="n">
        <v>2</v>
      </c>
      <c r="P1332" s="15" t="n">
        <f aca="false">IF(A1332="","",IF(O1332&lt;&gt;"",O1332,IF(L1332&lt;&gt;"",L1332,F1332)))</f>
        <v>2</v>
      </c>
    </row>
    <row r="1333" customFormat="false" ht="15" hidden="false" customHeight="true" outlineLevel="0" collapsed="false">
      <c r="A1333" s="26" t="s">
        <v>166</v>
      </c>
      <c r="B1333" s="26" t="s">
        <v>167</v>
      </c>
      <c r="C1333" s="14" t="n">
        <f aca="false">IF(A1333="","",IFERROR(VLOOKUP(A1333,'Recert Status'!$A$8:$C$400,3,FALSE()),""))</f>
        <v>46752</v>
      </c>
      <c r="D1333" s="18" t="s">
        <v>387</v>
      </c>
      <c r="E1333" s="26" t="s">
        <v>389</v>
      </c>
      <c r="F1333" s="27" t="n">
        <v>1</v>
      </c>
      <c r="G1333" s="28" t="n">
        <v>46241</v>
      </c>
      <c r="H1333" s="28" t="n">
        <v>46241</v>
      </c>
      <c r="I1333" s="18" t="s">
        <v>1354</v>
      </c>
      <c r="J1333" s="26" t="s">
        <v>389</v>
      </c>
      <c r="K1333" s="18" t="s">
        <v>451</v>
      </c>
      <c r="L1333" s="27" t="n">
        <v>1</v>
      </c>
      <c r="M1333" s="35" t="s">
        <v>386</v>
      </c>
      <c r="N1333" s="18" t="s">
        <v>387</v>
      </c>
      <c r="O1333" s="27" t="n">
        <v>1</v>
      </c>
      <c r="P1333" s="15" t="n">
        <f aca="false">IF(A1333="","",IF(O1333&lt;&gt;"",O1333,IF(L1333&lt;&gt;"",L1333,F1333)))</f>
        <v>1</v>
      </c>
    </row>
    <row r="1334" customFormat="false" ht="15" hidden="false" customHeight="true" outlineLevel="0" collapsed="false">
      <c r="A1334" s="30" t="s">
        <v>166</v>
      </c>
      <c r="B1334" s="30" t="s">
        <v>167</v>
      </c>
      <c r="C1334" s="21" t="n">
        <f aca="false">IF(A1334="","",IFERROR(VLOOKUP(A1334,'Recert Status'!$A$8:$C$400,3,FALSE()),""))</f>
        <v>46752</v>
      </c>
      <c r="D1334" s="31" t="s">
        <v>557</v>
      </c>
      <c r="E1334" s="30" t="n">
        <v>35513</v>
      </c>
      <c r="F1334" s="32" t="n">
        <v>1</v>
      </c>
      <c r="G1334" s="33" t="n">
        <v>45688</v>
      </c>
      <c r="H1334" s="33" t="n">
        <v>45688</v>
      </c>
      <c r="I1334" s="31" t="s">
        <v>558</v>
      </c>
      <c r="J1334" s="30" t="s">
        <v>384</v>
      </c>
      <c r="K1334" s="31" t="s">
        <v>407</v>
      </c>
      <c r="L1334" s="32" t="n">
        <v>1</v>
      </c>
      <c r="M1334" s="36" t="s">
        <v>396</v>
      </c>
      <c r="N1334" s="31" t="s">
        <v>397</v>
      </c>
      <c r="O1334" s="32" t="n">
        <v>1</v>
      </c>
      <c r="P1334" s="15" t="n">
        <f aca="false">IF(A1334="","",IF(O1334&lt;&gt;"",O1334,IF(L1334&lt;&gt;"",L1334,F1334)))</f>
        <v>1</v>
      </c>
    </row>
    <row r="1335" customFormat="false" ht="15" hidden="false" customHeight="true" outlineLevel="0" collapsed="false">
      <c r="A1335" s="26" t="s">
        <v>166</v>
      </c>
      <c r="B1335" s="26" t="s">
        <v>167</v>
      </c>
      <c r="C1335" s="14" t="n">
        <f aca="false">IF(A1335="","",IFERROR(VLOOKUP(A1335,'Recert Status'!$A$8:$C$400,3,FALSE()),""))</f>
        <v>46752</v>
      </c>
      <c r="D1335" s="18" t="s">
        <v>973</v>
      </c>
      <c r="E1335" s="26" t="s">
        <v>452</v>
      </c>
      <c r="F1335" s="27" t="n">
        <v>3.5</v>
      </c>
      <c r="G1335" s="28" t="n">
        <v>46069</v>
      </c>
      <c r="H1335" s="28" t="n">
        <v>46069</v>
      </c>
      <c r="I1335" s="18" t="s">
        <v>982</v>
      </c>
      <c r="J1335" s="26" t="s">
        <v>452</v>
      </c>
      <c r="K1335" s="18" t="s">
        <v>385</v>
      </c>
      <c r="L1335" s="27" t="n">
        <v>3.5</v>
      </c>
      <c r="M1335" s="36" t="s">
        <v>396</v>
      </c>
      <c r="N1335" s="18" t="s">
        <v>397</v>
      </c>
      <c r="O1335" s="27" t="n">
        <v>3.5</v>
      </c>
      <c r="P1335" s="15" t="n">
        <f aca="false">IF(A1335="","",IF(O1335&lt;&gt;"",O1335,IF(L1335&lt;&gt;"",L1335,F1335)))</f>
        <v>3.5</v>
      </c>
    </row>
    <row r="1336" customFormat="false" ht="15" hidden="false" customHeight="true" outlineLevel="0" collapsed="false">
      <c r="A1336" s="30" t="s">
        <v>166</v>
      </c>
      <c r="B1336" s="30" t="s">
        <v>167</v>
      </c>
      <c r="C1336" s="21" t="n">
        <f aca="false">IF(A1336="","",IFERROR(VLOOKUP(A1336,'Recert Status'!$A$8:$C$400,3,FALSE()),""))</f>
        <v>46752</v>
      </c>
      <c r="D1336" s="31" t="s">
        <v>662</v>
      </c>
      <c r="E1336" s="30" t="s">
        <v>452</v>
      </c>
      <c r="F1336" s="32" t="n">
        <v>1</v>
      </c>
      <c r="G1336" s="33" t="n">
        <v>46111</v>
      </c>
      <c r="H1336" s="33" t="n">
        <v>46111</v>
      </c>
      <c r="I1336" s="31" t="s">
        <v>983</v>
      </c>
      <c r="J1336" s="30" t="s">
        <v>452</v>
      </c>
      <c r="K1336" s="31" t="s">
        <v>385</v>
      </c>
      <c r="L1336" s="32" t="n">
        <v>1</v>
      </c>
      <c r="M1336" s="36" t="s">
        <v>396</v>
      </c>
      <c r="N1336" s="31" t="s">
        <v>397</v>
      </c>
      <c r="O1336" s="32" t="n">
        <v>1</v>
      </c>
      <c r="P1336" s="15" t="n">
        <f aca="false">IF(A1336="","",IF(O1336&lt;&gt;"",O1336,IF(L1336&lt;&gt;"",L1336,F1336)))</f>
        <v>1</v>
      </c>
    </row>
    <row r="1337" customFormat="false" ht="15" hidden="false" customHeight="true" outlineLevel="0" collapsed="false">
      <c r="A1337" s="26" t="s">
        <v>166</v>
      </c>
      <c r="B1337" s="26" t="s">
        <v>167</v>
      </c>
      <c r="C1337" s="14" t="n">
        <f aca="false">IF(A1337="","",IFERROR(VLOOKUP(A1337,'Recert Status'!$A$8:$C$400,3,FALSE()),""))</f>
        <v>46752</v>
      </c>
      <c r="D1337" s="18" t="s">
        <v>1355</v>
      </c>
      <c r="E1337" s="26" t="s">
        <v>399</v>
      </c>
      <c r="F1337" s="27" t="n">
        <v>1</v>
      </c>
      <c r="G1337" s="28" t="n">
        <v>45957</v>
      </c>
      <c r="H1337" s="28" t="n">
        <v>45957</v>
      </c>
      <c r="I1337" s="18" t="s">
        <v>1356</v>
      </c>
      <c r="J1337" s="26" t="s">
        <v>399</v>
      </c>
      <c r="K1337" s="18" t="s">
        <v>401</v>
      </c>
      <c r="L1337" s="27" t="n">
        <v>1</v>
      </c>
      <c r="M1337" s="37" t="s">
        <v>402</v>
      </c>
      <c r="N1337" s="18" t="s">
        <v>403</v>
      </c>
      <c r="O1337" s="27" t="n">
        <v>1</v>
      </c>
      <c r="P1337" s="15" t="n">
        <f aca="false">IF(A1337="","",IF(O1337&lt;&gt;"",O1337,IF(L1337&lt;&gt;"",L1337,F1337)))</f>
        <v>1</v>
      </c>
    </row>
    <row r="1338" customFormat="false" ht="15" hidden="false" customHeight="true" outlineLevel="0" collapsed="false">
      <c r="A1338" s="30" t="s">
        <v>166</v>
      </c>
      <c r="B1338" s="30" t="s">
        <v>167</v>
      </c>
      <c r="C1338" s="21" t="n">
        <f aca="false">IF(A1338="","",IFERROR(VLOOKUP(A1338,'Recert Status'!$A$8:$C$400,3,FALSE()),""))</f>
        <v>46752</v>
      </c>
      <c r="D1338" s="31" t="s">
        <v>717</v>
      </c>
      <c r="E1338" s="30" t="s">
        <v>416</v>
      </c>
      <c r="F1338" s="32" t="n">
        <v>1</v>
      </c>
      <c r="G1338" s="33" t="n">
        <v>45826</v>
      </c>
      <c r="H1338" s="33" t="n">
        <v>45826</v>
      </c>
      <c r="I1338" s="31" t="s">
        <v>747</v>
      </c>
      <c r="J1338" s="30" t="s">
        <v>416</v>
      </c>
      <c r="K1338" s="31" t="s">
        <v>418</v>
      </c>
      <c r="L1338" s="32" t="n">
        <v>1</v>
      </c>
      <c r="M1338" s="39" t="s">
        <v>413</v>
      </c>
      <c r="N1338" s="31" t="s">
        <v>414</v>
      </c>
      <c r="O1338" s="32" t="n">
        <v>1</v>
      </c>
      <c r="P1338" s="15" t="n">
        <f aca="false">IF(A1338="","",IF(O1338&lt;&gt;"",O1338,IF(L1338&lt;&gt;"",L1338,F1338)))</f>
        <v>1</v>
      </c>
    </row>
    <row r="1339" customFormat="false" ht="15" hidden="false" customHeight="true" outlineLevel="0" collapsed="false">
      <c r="A1339" s="26" t="s">
        <v>166</v>
      </c>
      <c r="B1339" s="26" t="s">
        <v>167</v>
      </c>
      <c r="C1339" s="14" t="n">
        <f aca="false">IF(A1339="","",IFERROR(VLOOKUP(A1339,'Recert Status'!$A$8:$C$400,3,FALSE()),""))</f>
        <v>46752</v>
      </c>
      <c r="D1339" s="18" t="s">
        <v>719</v>
      </c>
      <c r="E1339" s="26" t="s">
        <v>416</v>
      </c>
      <c r="F1339" s="27" t="n">
        <v>2</v>
      </c>
      <c r="G1339" s="28" t="n">
        <v>45859</v>
      </c>
      <c r="H1339" s="28" t="n">
        <v>45859</v>
      </c>
      <c r="I1339" s="18" t="s">
        <v>486</v>
      </c>
      <c r="J1339" s="26" t="s">
        <v>416</v>
      </c>
      <c r="K1339" s="18" t="s">
        <v>418</v>
      </c>
      <c r="L1339" s="27" t="n">
        <v>2</v>
      </c>
      <c r="M1339" s="39" t="s">
        <v>413</v>
      </c>
      <c r="N1339" s="18" t="s">
        <v>414</v>
      </c>
      <c r="O1339" s="27" t="n">
        <v>2</v>
      </c>
      <c r="P1339" s="15" t="n">
        <f aca="false">IF(A1339="","",IF(O1339&lt;&gt;"",O1339,IF(L1339&lt;&gt;"",L1339,F1339)))</f>
        <v>2</v>
      </c>
    </row>
    <row r="1340" customFormat="false" ht="15" hidden="false" customHeight="true" outlineLevel="0" collapsed="false">
      <c r="A1340" s="30" t="s">
        <v>166</v>
      </c>
      <c r="B1340" s="30" t="s">
        <v>167</v>
      </c>
      <c r="C1340" s="21" t="n">
        <f aca="false">IF(A1340="","",IFERROR(VLOOKUP(A1340,'Recert Status'!$A$8:$C$400,3,FALSE()),""))</f>
        <v>46752</v>
      </c>
      <c r="D1340" s="31" t="s">
        <v>750</v>
      </c>
      <c r="E1340" s="30" t="s">
        <v>416</v>
      </c>
      <c r="F1340" s="32" t="n">
        <v>3</v>
      </c>
      <c r="G1340" s="33" t="n">
        <v>46001</v>
      </c>
      <c r="H1340" s="33" t="n">
        <v>46001</v>
      </c>
      <c r="I1340" s="31" t="s">
        <v>751</v>
      </c>
      <c r="J1340" s="30" t="s">
        <v>416</v>
      </c>
      <c r="K1340" s="31" t="s">
        <v>456</v>
      </c>
      <c r="L1340" s="32" t="n">
        <v>3</v>
      </c>
      <c r="M1340" s="39" t="s">
        <v>413</v>
      </c>
      <c r="N1340" s="31" t="s">
        <v>414</v>
      </c>
      <c r="O1340" s="32" t="n">
        <v>3</v>
      </c>
      <c r="P1340" s="15" t="n">
        <f aca="false">IF(A1340="","",IF(O1340&lt;&gt;"",O1340,IF(L1340&lt;&gt;"",L1340,F1340)))</f>
        <v>3</v>
      </c>
    </row>
    <row r="1341" customFormat="false" ht="15" hidden="false" customHeight="true" outlineLevel="0" collapsed="false">
      <c r="A1341" s="26" t="s">
        <v>166</v>
      </c>
      <c r="B1341" s="26" t="s">
        <v>167</v>
      </c>
      <c r="C1341" s="14" t="n">
        <f aca="false">IF(A1341="","",IFERROR(VLOOKUP(A1341,'Recert Status'!$A$8:$C$400,3,FALSE()),""))</f>
        <v>46752</v>
      </c>
      <c r="D1341" s="18" t="s">
        <v>488</v>
      </c>
      <c r="E1341" s="26" t="s">
        <v>416</v>
      </c>
      <c r="F1341" s="27" t="n">
        <v>1</v>
      </c>
      <c r="G1341" s="28" t="n">
        <v>46126</v>
      </c>
      <c r="H1341" s="28" t="n">
        <v>46126</v>
      </c>
      <c r="I1341" s="18" t="s">
        <v>489</v>
      </c>
      <c r="J1341" s="26" t="s">
        <v>416</v>
      </c>
      <c r="K1341" s="18" t="s">
        <v>490</v>
      </c>
      <c r="L1341" s="27" t="n">
        <v>1</v>
      </c>
      <c r="M1341" s="39" t="s">
        <v>413</v>
      </c>
      <c r="N1341" s="18" t="s">
        <v>414</v>
      </c>
      <c r="O1341" s="27" t="n">
        <v>1</v>
      </c>
      <c r="P1341" s="15" t="n">
        <f aca="false">IF(A1341="","",IF(O1341&lt;&gt;"",O1341,IF(L1341&lt;&gt;"",L1341,F1341)))</f>
        <v>1</v>
      </c>
    </row>
    <row r="1342" customFormat="false" ht="15" hidden="false" customHeight="true" outlineLevel="0" collapsed="false">
      <c r="A1342" s="30" t="s">
        <v>166</v>
      </c>
      <c r="B1342" s="30" t="s">
        <v>167</v>
      </c>
      <c r="C1342" s="21" t="n">
        <f aca="false">IF(A1342="","",IFERROR(VLOOKUP(A1342,'Recert Status'!$A$8:$C$400,3,FALSE()),""))</f>
        <v>46752</v>
      </c>
      <c r="D1342" s="31" t="s">
        <v>414</v>
      </c>
      <c r="E1342" s="30" t="s">
        <v>416</v>
      </c>
      <c r="F1342" s="32" t="n">
        <v>2</v>
      </c>
      <c r="G1342" s="33" t="n">
        <v>46219</v>
      </c>
      <c r="H1342" s="33" t="n">
        <v>46219</v>
      </c>
      <c r="I1342" s="31" t="s">
        <v>567</v>
      </c>
      <c r="J1342" s="30" t="s">
        <v>416</v>
      </c>
      <c r="K1342" s="31" t="s">
        <v>418</v>
      </c>
      <c r="L1342" s="32" t="n">
        <v>2</v>
      </c>
      <c r="M1342" s="39" t="s">
        <v>413</v>
      </c>
      <c r="N1342" s="31" t="s">
        <v>414</v>
      </c>
      <c r="O1342" s="32" t="n">
        <v>2</v>
      </c>
      <c r="P1342" s="15" t="n">
        <f aca="false">IF(A1342="","",IF(O1342&lt;&gt;"",O1342,IF(L1342&lt;&gt;"",L1342,F1342)))</f>
        <v>2</v>
      </c>
    </row>
    <row r="1343" customFormat="false" ht="15" hidden="false" customHeight="true" outlineLevel="0" collapsed="false">
      <c r="A1343" s="26" t="s">
        <v>168</v>
      </c>
      <c r="B1343" s="26" t="s">
        <v>169</v>
      </c>
      <c r="C1343" s="14" t="n">
        <f aca="false">IF(A1343="","",IFERROR(VLOOKUP(A1343,'Recert Status'!$A$8:$C$400,3,FALSE()),""))</f>
        <v>46387</v>
      </c>
      <c r="D1343" s="18" t="s">
        <v>1357</v>
      </c>
      <c r="E1343" s="26" t="s">
        <v>363</v>
      </c>
      <c r="F1343" s="27" t="n">
        <v>1</v>
      </c>
      <c r="G1343" s="28" t="n">
        <v>45869</v>
      </c>
      <c r="H1343" s="28" t="n">
        <v>45869</v>
      </c>
      <c r="I1343" s="18" t="s">
        <v>1358</v>
      </c>
      <c r="J1343" s="26" t="s">
        <v>363</v>
      </c>
      <c r="K1343" s="18" t="s">
        <v>365</v>
      </c>
      <c r="L1343" s="27" t="n">
        <v>1</v>
      </c>
      <c r="M1343" s="29" t="s">
        <v>366</v>
      </c>
      <c r="N1343" s="18" t="s">
        <v>367</v>
      </c>
      <c r="O1343" s="27" t="n">
        <v>1</v>
      </c>
      <c r="P1343" s="15" t="n">
        <f aca="false">IF(A1343="","",IF(O1343&lt;&gt;"",O1343,IF(L1343&lt;&gt;"",L1343,F1343)))</f>
        <v>1</v>
      </c>
    </row>
    <row r="1344" customFormat="false" ht="15" hidden="false" customHeight="true" outlineLevel="0" collapsed="false">
      <c r="A1344" s="30" t="s">
        <v>168</v>
      </c>
      <c r="B1344" s="30" t="s">
        <v>169</v>
      </c>
      <c r="C1344" s="21" t="n">
        <f aca="false">IF(A1344="","",IFERROR(VLOOKUP(A1344,'Recert Status'!$A$8:$C$400,3,FALSE()),""))</f>
        <v>46387</v>
      </c>
      <c r="D1344" s="31" t="s">
        <v>1359</v>
      </c>
      <c r="E1344" s="30" t="n">
        <v>29740</v>
      </c>
      <c r="F1344" s="32" t="n">
        <v>1</v>
      </c>
      <c r="G1344" s="33" t="n">
        <v>45928</v>
      </c>
      <c r="H1344" s="33" t="n">
        <v>45928</v>
      </c>
      <c r="I1344" s="31" t="s">
        <v>1360</v>
      </c>
      <c r="J1344" s="30" t="s">
        <v>394</v>
      </c>
      <c r="K1344" s="31" t="s">
        <v>365</v>
      </c>
      <c r="L1344" s="32" t="n">
        <v>1</v>
      </c>
      <c r="M1344" s="29" t="s">
        <v>366</v>
      </c>
      <c r="N1344" s="31" t="s">
        <v>367</v>
      </c>
      <c r="O1344" s="32" t="n">
        <v>1</v>
      </c>
      <c r="P1344" s="15" t="n">
        <f aca="false">IF(A1344="","",IF(O1344&lt;&gt;"",O1344,IF(L1344&lt;&gt;"",L1344,F1344)))</f>
        <v>1</v>
      </c>
    </row>
    <row r="1345" customFormat="false" ht="15" hidden="false" customHeight="true" outlineLevel="0" collapsed="false">
      <c r="A1345" s="26" t="s">
        <v>168</v>
      </c>
      <c r="B1345" s="26" t="s">
        <v>169</v>
      </c>
      <c r="C1345" s="14" t="n">
        <f aca="false">IF(A1345="","",IFERROR(VLOOKUP(A1345,'Recert Status'!$A$8:$C$400,3,FALSE()),""))</f>
        <v>46387</v>
      </c>
      <c r="D1345" s="18" t="s">
        <v>367</v>
      </c>
      <c r="E1345" s="26" t="s">
        <v>363</v>
      </c>
      <c r="F1345" s="27" t="n">
        <v>1</v>
      </c>
      <c r="G1345" s="28" t="n">
        <v>46267</v>
      </c>
      <c r="H1345" s="28" t="n">
        <v>46267</v>
      </c>
      <c r="I1345" s="18" t="s">
        <v>1361</v>
      </c>
      <c r="J1345" s="26" t="s">
        <v>363</v>
      </c>
      <c r="K1345" s="18" t="s">
        <v>370</v>
      </c>
      <c r="L1345" s="27" t="n">
        <v>1</v>
      </c>
      <c r="M1345" s="29" t="s">
        <v>366</v>
      </c>
      <c r="N1345" s="18" t="s">
        <v>367</v>
      </c>
      <c r="O1345" s="27" t="n">
        <v>1</v>
      </c>
      <c r="P1345" s="15" t="n">
        <f aca="false">IF(A1345="","",IF(O1345&lt;&gt;"",O1345,IF(L1345&lt;&gt;"",L1345,F1345)))</f>
        <v>1</v>
      </c>
    </row>
    <row r="1346" customFormat="false" ht="15" hidden="false" customHeight="true" outlineLevel="0" collapsed="false">
      <c r="A1346" s="30" t="s">
        <v>168</v>
      </c>
      <c r="B1346" s="30" t="s">
        <v>169</v>
      </c>
      <c r="C1346" s="21" t="n">
        <f aca="false">IF(A1346="","",IFERROR(VLOOKUP(A1346,'Recert Status'!$A$8:$C$400,3,FALSE()),""))</f>
        <v>46387</v>
      </c>
      <c r="D1346" s="31" t="s">
        <v>430</v>
      </c>
      <c r="E1346" s="30" t="s">
        <v>426</v>
      </c>
      <c r="F1346" s="32" t="n">
        <v>1</v>
      </c>
      <c r="G1346" s="33" t="n">
        <v>46237</v>
      </c>
      <c r="H1346" s="33" t="n">
        <v>46237</v>
      </c>
      <c r="I1346" s="31" t="s">
        <v>1362</v>
      </c>
      <c r="J1346" s="30" t="s">
        <v>426</v>
      </c>
      <c r="K1346" s="31" t="s">
        <v>428</v>
      </c>
      <c r="L1346" s="32" t="n">
        <v>1</v>
      </c>
      <c r="M1346" s="41" t="s">
        <v>429</v>
      </c>
      <c r="N1346" s="31" t="s">
        <v>430</v>
      </c>
      <c r="O1346" s="32" t="n">
        <v>1</v>
      </c>
      <c r="P1346" s="15" t="n">
        <f aca="false">IF(A1346="","",IF(O1346&lt;&gt;"",O1346,IF(L1346&lt;&gt;"",L1346,F1346)))</f>
        <v>1</v>
      </c>
    </row>
    <row r="1347" customFormat="false" ht="15" hidden="false" customHeight="true" outlineLevel="0" collapsed="false">
      <c r="A1347" s="26" t="s">
        <v>168</v>
      </c>
      <c r="B1347" s="26" t="s">
        <v>169</v>
      </c>
      <c r="C1347" s="14" t="n">
        <f aca="false">IF(A1347="","",IFERROR(VLOOKUP(A1347,'Recert Status'!$A$8:$C$400,3,FALSE()),""))</f>
        <v>46387</v>
      </c>
      <c r="D1347" s="18" t="s">
        <v>430</v>
      </c>
      <c r="E1347" s="26" t="s">
        <v>426</v>
      </c>
      <c r="F1347" s="27" t="n">
        <v>2</v>
      </c>
      <c r="G1347" s="28" t="n">
        <v>46240</v>
      </c>
      <c r="H1347" s="28" t="n">
        <v>46240</v>
      </c>
      <c r="I1347" s="18" t="s">
        <v>1363</v>
      </c>
      <c r="J1347" s="26" t="s">
        <v>426</v>
      </c>
      <c r="K1347" s="18" t="s">
        <v>428</v>
      </c>
      <c r="L1347" s="27" t="n">
        <v>2</v>
      </c>
      <c r="M1347" s="41" t="s">
        <v>429</v>
      </c>
      <c r="N1347" s="18" t="s">
        <v>430</v>
      </c>
      <c r="O1347" s="27" t="n">
        <v>2</v>
      </c>
      <c r="P1347" s="15" t="n">
        <f aca="false">IF(A1347="","",IF(O1347&lt;&gt;"",O1347,IF(L1347&lt;&gt;"",L1347,F1347)))</f>
        <v>2</v>
      </c>
    </row>
    <row r="1348" customFormat="false" ht="15" hidden="false" customHeight="true" outlineLevel="0" collapsed="false">
      <c r="A1348" s="30" t="s">
        <v>168</v>
      </c>
      <c r="B1348" s="30" t="s">
        <v>169</v>
      </c>
      <c r="C1348" s="21" t="n">
        <f aca="false">IF(A1348="","",IFERROR(VLOOKUP(A1348,'Recert Status'!$A$8:$C$400,3,FALSE()),""))</f>
        <v>46387</v>
      </c>
      <c r="D1348" s="31" t="s">
        <v>430</v>
      </c>
      <c r="E1348" s="30" t="s">
        <v>426</v>
      </c>
      <c r="F1348" s="32" t="n">
        <v>1</v>
      </c>
      <c r="G1348" s="33" t="n">
        <v>46273</v>
      </c>
      <c r="H1348" s="33" t="n">
        <v>46273</v>
      </c>
      <c r="I1348" s="31" t="s">
        <v>1364</v>
      </c>
      <c r="J1348" s="30" t="s">
        <v>426</v>
      </c>
      <c r="K1348" s="31" t="s">
        <v>428</v>
      </c>
      <c r="L1348" s="32" t="n">
        <v>1</v>
      </c>
      <c r="M1348" s="41" t="s">
        <v>429</v>
      </c>
      <c r="N1348" s="31" t="s">
        <v>430</v>
      </c>
      <c r="O1348" s="32" t="n">
        <v>1</v>
      </c>
      <c r="P1348" s="15" t="n">
        <f aca="false">IF(A1348="","",IF(O1348&lt;&gt;"",O1348,IF(L1348&lt;&gt;"",L1348,F1348)))</f>
        <v>1</v>
      </c>
    </row>
    <row r="1349" customFormat="false" ht="15" hidden="false" customHeight="true" outlineLevel="0" collapsed="false">
      <c r="A1349" s="26" t="s">
        <v>168</v>
      </c>
      <c r="B1349" s="26" t="s">
        <v>169</v>
      </c>
      <c r="C1349" s="14" t="n">
        <f aca="false">IF(A1349="","",IFERROR(VLOOKUP(A1349,'Recert Status'!$A$8:$C$400,3,FALSE()),""))</f>
        <v>46387</v>
      </c>
      <c r="D1349" s="18" t="s">
        <v>430</v>
      </c>
      <c r="E1349" s="26" t="s">
        <v>426</v>
      </c>
      <c r="F1349" s="27" t="n">
        <v>1</v>
      </c>
      <c r="G1349" s="28" t="n">
        <v>46273</v>
      </c>
      <c r="H1349" s="28" t="n">
        <v>46273</v>
      </c>
      <c r="I1349" s="18" t="s">
        <v>1365</v>
      </c>
      <c r="J1349" s="26" t="s">
        <v>426</v>
      </c>
      <c r="K1349" s="18" t="s">
        <v>428</v>
      </c>
      <c r="L1349" s="27" t="n">
        <v>1</v>
      </c>
      <c r="M1349" s="41" t="s">
        <v>429</v>
      </c>
      <c r="N1349" s="18" t="s">
        <v>430</v>
      </c>
      <c r="O1349" s="27" t="n">
        <v>1</v>
      </c>
      <c r="P1349" s="15" t="n">
        <f aca="false">IF(A1349="","",IF(O1349&lt;&gt;"",O1349,IF(L1349&lt;&gt;"",L1349,F1349)))</f>
        <v>1</v>
      </c>
    </row>
    <row r="1350" customFormat="false" ht="15" hidden="false" customHeight="true" outlineLevel="0" collapsed="false">
      <c r="A1350" s="30" t="s">
        <v>168</v>
      </c>
      <c r="B1350" s="30" t="s">
        <v>169</v>
      </c>
      <c r="C1350" s="21" t="n">
        <f aca="false">IF(A1350="","",IFERROR(VLOOKUP(A1350,'Recert Status'!$A$8:$C$400,3,FALSE()),""))</f>
        <v>46387</v>
      </c>
      <c r="D1350" s="31" t="s">
        <v>732</v>
      </c>
      <c r="E1350" s="30" t="n">
        <v>29740</v>
      </c>
      <c r="F1350" s="32" t="n">
        <v>1</v>
      </c>
      <c r="G1350" s="33" t="n">
        <v>46174</v>
      </c>
      <c r="H1350" s="33" t="n">
        <v>46174</v>
      </c>
      <c r="I1350" s="31" t="s">
        <v>1129</v>
      </c>
      <c r="J1350" s="30" t="s">
        <v>394</v>
      </c>
      <c r="K1350" s="31" t="s">
        <v>1130</v>
      </c>
      <c r="L1350" s="32" t="n">
        <v>1</v>
      </c>
      <c r="M1350" s="34" t="s">
        <v>375</v>
      </c>
      <c r="N1350" s="31" t="s">
        <v>514</v>
      </c>
      <c r="O1350" s="32" t="n">
        <v>1</v>
      </c>
      <c r="P1350" s="15" t="n">
        <f aca="false">IF(A1350="","",IF(O1350&lt;&gt;"",O1350,IF(L1350&lt;&gt;"",L1350,F1350)))</f>
        <v>1</v>
      </c>
    </row>
    <row r="1351" customFormat="false" ht="15" hidden="false" customHeight="true" outlineLevel="0" collapsed="false">
      <c r="A1351" s="26" t="s">
        <v>168</v>
      </c>
      <c r="B1351" s="26" t="s">
        <v>169</v>
      </c>
      <c r="C1351" s="14" t="n">
        <f aca="false">IF(A1351="","",IFERROR(VLOOKUP(A1351,'Recert Status'!$A$8:$C$400,3,FALSE()),""))</f>
        <v>46387</v>
      </c>
      <c r="D1351" s="18" t="s">
        <v>466</v>
      </c>
      <c r="E1351" s="26" t="n">
        <v>29784</v>
      </c>
      <c r="F1351" s="27" t="n">
        <v>0.5</v>
      </c>
      <c r="G1351" s="28" t="n">
        <v>45691</v>
      </c>
      <c r="H1351" s="28" t="n">
        <v>45691</v>
      </c>
      <c r="I1351" s="18" t="s">
        <v>467</v>
      </c>
      <c r="J1351" s="26" t="s">
        <v>435</v>
      </c>
      <c r="K1351" s="18" t="s">
        <v>468</v>
      </c>
      <c r="L1351" s="27" t="n">
        <v>0.5</v>
      </c>
      <c r="M1351" s="35" t="s">
        <v>386</v>
      </c>
      <c r="N1351" s="18" t="s">
        <v>387</v>
      </c>
      <c r="O1351" s="27" t="n">
        <v>0.5</v>
      </c>
      <c r="P1351" s="15" t="n">
        <f aca="false">IF(A1351="","",IF(O1351&lt;&gt;"",O1351,IF(L1351&lt;&gt;"",L1351,F1351)))</f>
        <v>0.5</v>
      </c>
    </row>
    <row r="1352" customFormat="false" ht="15" hidden="false" customHeight="true" outlineLevel="0" collapsed="false">
      <c r="A1352" s="30" t="s">
        <v>168</v>
      </c>
      <c r="B1352" s="30" t="s">
        <v>169</v>
      </c>
      <c r="C1352" s="21" t="n">
        <f aca="false">IF(A1352="","",IFERROR(VLOOKUP(A1352,'Recert Status'!$A$8:$C$400,3,FALSE()),""))</f>
        <v>46387</v>
      </c>
      <c r="D1352" s="31" t="s">
        <v>591</v>
      </c>
      <c r="E1352" s="30" t="n">
        <v>57435</v>
      </c>
      <c r="F1352" s="32" t="n">
        <v>0.5</v>
      </c>
      <c r="G1352" s="33" t="n">
        <v>45985</v>
      </c>
      <c r="H1352" s="33" t="n">
        <v>45985</v>
      </c>
      <c r="I1352" s="31" t="s">
        <v>592</v>
      </c>
      <c r="J1352" s="30" t="s">
        <v>593</v>
      </c>
      <c r="K1352" s="31" t="s">
        <v>446</v>
      </c>
      <c r="L1352" s="32" t="n">
        <v>0.5</v>
      </c>
      <c r="M1352" s="35" t="s">
        <v>386</v>
      </c>
      <c r="N1352" s="31" t="s">
        <v>387</v>
      </c>
      <c r="O1352" s="32" t="n">
        <v>0.5</v>
      </c>
      <c r="P1352" s="15" t="n">
        <f aca="false">IF(A1352="","",IF(O1352&lt;&gt;"",O1352,IF(L1352&lt;&gt;"",L1352,F1352)))</f>
        <v>0.5</v>
      </c>
    </row>
    <row r="1353" customFormat="false" ht="15" hidden="false" customHeight="true" outlineLevel="0" collapsed="false">
      <c r="A1353" s="26" t="s">
        <v>168</v>
      </c>
      <c r="B1353" s="26" t="s">
        <v>169</v>
      </c>
      <c r="C1353" s="14" t="n">
        <f aca="false">IF(A1353="","",IFERROR(VLOOKUP(A1353,'Recert Status'!$A$8:$C$400,3,FALSE()),""))</f>
        <v>46387</v>
      </c>
      <c r="D1353" s="18" t="s">
        <v>387</v>
      </c>
      <c r="E1353" s="26" t="s">
        <v>389</v>
      </c>
      <c r="F1353" s="27" t="n">
        <v>1</v>
      </c>
      <c r="G1353" s="28" t="n">
        <v>45985</v>
      </c>
      <c r="H1353" s="28" t="n">
        <v>45985</v>
      </c>
      <c r="I1353" s="18" t="s">
        <v>1061</v>
      </c>
      <c r="J1353" s="26" t="s">
        <v>389</v>
      </c>
      <c r="K1353" s="18" t="s">
        <v>451</v>
      </c>
      <c r="L1353" s="27" t="n">
        <v>1</v>
      </c>
      <c r="M1353" s="35" t="s">
        <v>386</v>
      </c>
      <c r="N1353" s="18" t="s">
        <v>387</v>
      </c>
      <c r="O1353" s="27" t="n">
        <v>1</v>
      </c>
      <c r="P1353" s="15" t="n">
        <f aca="false">IF(A1353="","",IF(O1353&lt;&gt;"",O1353,IF(L1353&lt;&gt;"",L1353,F1353)))</f>
        <v>1</v>
      </c>
    </row>
    <row r="1354" customFormat="false" ht="15" hidden="false" customHeight="true" outlineLevel="0" collapsed="false">
      <c r="A1354" s="30" t="s">
        <v>168</v>
      </c>
      <c r="B1354" s="30" t="s">
        <v>169</v>
      </c>
      <c r="C1354" s="21" t="n">
        <f aca="false">IF(A1354="","",IFERROR(VLOOKUP(A1354,'Recert Status'!$A$8:$C$400,3,FALSE()),""))</f>
        <v>46387</v>
      </c>
      <c r="D1354" s="31" t="s">
        <v>474</v>
      </c>
      <c r="E1354" s="30" t="s">
        <v>389</v>
      </c>
      <c r="F1354" s="32" t="n">
        <v>1</v>
      </c>
      <c r="G1354" s="33" t="n">
        <v>46204</v>
      </c>
      <c r="H1354" s="33" t="n">
        <v>46204</v>
      </c>
      <c r="I1354" s="31" t="s">
        <v>475</v>
      </c>
      <c r="J1354" s="30" t="s">
        <v>389</v>
      </c>
      <c r="K1354" s="31" t="s">
        <v>476</v>
      </c>
      <c r="L1354" s="32" t="n">
        <v>1</v>
      </c>
      <c r="M1354" s="35" t="s">
        <v>386</v>
      </c>
      <c r="N1354" s="31" t="s">
        <v>387</v>
      </c>
      <c r="O1354" s="32" t="n">
        <v>1</v>
      </c>
      <c r="P1354" s="15" t="n">
        <f aca="false">IF(A1354="","",IF(O1354&lt;&gt;"",O1354,IF(L1354&lt;&gt;"",L1354,F1354)))</f>
        <v>1</v>
      </c>
    </row>
    <row r="1355" customFormat="false" ht="15" hidden="false" customHeight="true" outlineLevel="0" collapsed="false">
      <c r="A1355" s="26" t="s">
        <v>168</v>
      </c>
      <c r="B1355" s="26" t="s">
        <v>169</v>
      </c>
      <c r="C1355" s="14" t="n">
        <f aca="false">IF(A1355="","",IFERROR(VLOOKUP(A1355,'Recert Status'!$A$8:$C$400,3,FALSE()),""))</f>
        <v>46387</v>
      </c>
      <c r="D1355" s="18" t="s">
        <v>387</v>
      </c>
      <c r="E1355" s="26" t="s">
        <v>389</v>
      </c>
      <c r="F1355" s="27" t="n">
        <v>0.5</v>
      </c>
      <c r="G1355" s="28" t="n">
        <v>46231</v>
      </c>
      <c r="H1355" s="28" t="n">
        <v>46231</v>
      </c>
      <c r="I1355" s="18" t="s">
        <v>477</v>
      </c>
      <c r="J1355" s="26" t="s">
        <v>389</v>
      </c>
      <c r="K1355" s="18" t="s">
        <v>451</v>
      </c>
      <c r="L1355" s="27" t="n">
        <v>0.5</v>
      </c>
      <c r="M1355" s="35" t="s">
        <v>386</v>
      </c>
      <c r="N1355" s="18" t="s">
        <v>387</v>
      </c>
      <c r="O1355" s="27" t="n">
        <v>0.5</v>
      </c>
      <c r="P1355" s="15" t="n">
        <f aca="false">IF(A1355="","",IF(O1355&lt;&gt;"",O1355,IF(L1355&lt;&gt;"",L1355,F1355)))</f>
        <v>0.5</v>
      </c>
    </row>
    <row r="1356" customFormat="false" ht="15" hidden="false" customHeight="true" outlineLevel="0" collapsed="false">
      <c r="A1356" s="30" t="s">
        <v>168</v>
      </c>
      <c r="B1356" s="30" t="s">
        <v>169</v>
      </c>
      <c r="C1356" s="21" t="n">
        <f aca="false">IF(A1356="","",IFERROR(VLOOKUP(A1356,'Recert Status'!$A$8:$C$400,3,FALSE()),""))</f>
        <v>46387</v>
      </c>
      <c r="D1356" s="31" t="s">
        <v>387</v>
      </c>
      <c r="E1356" s="30" t="s">
        <v>389</v>
      </c>
      <c r="F1356" s="32" t="n">
        <v>2</v>
      </c>
      <c r="G1356" s="33" t="n">
        <v>46243</v>
      </c>
      <c r="H1356" s="33" t="n">
        <v>46243</v>
      </c>
      <c r="I1356" s="31" t="s">
        <v>1366</v>
      </c>
      <c r="J1356" s="30" t="s">
        <v>389</v>
      </c>
      <c r="K1356" s="31" t="s">
        <v>451</v>
      </c>
      <c r="L1356" s="32" t="n">
        <v>2</v>
      </c>
      <c r="M1356" s="35" t="s">
        <v>386</v>
      </c>
      <c r="N1356" s="31" t="s">
        <v>387</v>
      </c>
      <c r="O1356" s="32" t="n">
        <v>2</v>
      </c>
      <c r="P1356" s="15" t="n">
        <f aca="false">IF(A1356="","",IF(O1356&lt;&gt;"",O1356,IF(L1356&lt;&gt;"",L1356,F1356)))</f>
        <v>2</v>
      </c>
    </row>
    <row r="1357" customFormat="false" ht="15" hidden="false" customHeight="true" outlineLevel="0" collapsed="false">
      <c r="A1357" s="26" t="s">
        <v>168</v>
      </c>
      <c r="B1357" s="26" t="s">
        <v>169</v>
      </c>
      <c r="C1357" s="14" t="n">
        <f aca="false">IF(A1357="","",IFERROR(VLOOKUP(A1357,'Recert Status'!$A$8:$C$400,3,FALSE()),""))</f>
        <v>46387</v>
      </c>
      <c r="D1357" s="18" t="s">
        <v>397</v>
      </c>
      <c r="E1357" s="26" t="s">
        <v>452</v>
      </c>
      <c r="F1357" s="27" t="n">
        <v>1</v>
      </c>
      <c r="G1357" s="28" t="n">
        <v>46174</v>
      </c>
      <c r="H1357" s="28" t="n">
        <v>46174</v>
      </c>
      <c r="I1357" s="18" t="s">
        <v>560</v>
      </c>
      <c r="J1357" s="26" t="s">
        <v>452</v>
      </c>
      <c r="K1357" s="18" t="s">
        <v>385</v>
      </c>
      <c r="L1357" s="27" t="n">
        <v>1</v>
      </c>
      <c r="M1357" s="36" t="s">
        <v>396</v>
      </c>
      <c r="N1357" s="18" t="s">
        <v>397</v>
      </c>
      <c r="O1357" s="27" t="n">
        <v>1</v>
      </c>
      <c r="P1357" s="15" t="n">
        <f aca="false">IF(A1357="","",IF(O1357&lt;&gt;"",O1357,IF(L1357&lt;&gt;"",L1357,F1357)))</f>
        <v>1</v>
      </c>
    </row>
    <row r="1358" customFormat="false" ht="15" hidden="false" customHeight="true" outlineLevel="0" collapsed="false">
      <c r="A1358" s="30" t="s">
        <v>168</v>
      </c>
      <c r="B1358" s="30" t="s">
        <v>169</v>
      </c>
      <c r="C1358" s="21" t="n">
        <f aca="false">IF(A1358="","",IFERROR(VLOOKUP(A1358,'Recert Status'!$A$8:$C$400,3,FALSE()),""))</f>
        <v>46387</v>
      </c>
      <c r="D1358" s="31" t="s">
        <v>397</v>
      </c>
      <c r="E1358" s="30" t="s">
        <v>452</v>
      </c>
      <c r="F1358" s="32" t="n">
        <v>1</v>
      </c>
      <c r="G1358" s="33" t="n">
        <v>46246</v>
      </c>
      <c r="H1358" s="33" t="n">
        <v>46246</v>
      </c>
      <c r="I1358" s="31" t="s">
        <v>478</v>
      </c>
      <c r="J1358" s="30" t="s">
        <v>452</v>
      </c>
      <c r="K1358" s="31" t="s">
        <v>385</v>
      </c>
      <c r="L1358" s="32" t="n">
        <v>1</v>
      </c>
      <c r="M1358" s="36" t="s">
        <v>396</v>
      </c>
      <c r="N1358" s="31" t="s">
        <v>397</v>
      </c>
      <c r="O1358" s="32" t="n">
        <v>1</v>
      </c>
      <c r="P1358" s="15" t="n">
        <f aca="false">IF(A1358="","",IF(O1358&lt;&gt;"",O1358,IF(L1358&lt;&gt;"",L1358,F1358)))</f>
        <v>1</v>
      </c>
    </row>
    <row r="1359" customFormat="false" ht="15" hidden="false" customHeight="true" outlineLevel="0" collapsed="false">
      <c r="A1359" s="26" t="s">
        <v>168</v>
      </c>
      <c r="B1359" s="26" t="s">
        <v>169</v>
      </c>
      <c r="C1359" s="14" t="n">
        <f aca="false">IF(A1359="","",IFERROR(VLOOKUP(A1359,'Recert Status'!$A$8:$C$400,3,FALSE()),""))</f>
        <v>46387</v>
      </c>
      <c r="D1359" s="18" t="s">
        <v>403</v>
      </c>
      <c r="E1359" s="26" t="s">
        <v>399</v>
      </c>
      <c r="F1359" s="27" t="n">
        <v>1</v>
      </c>
      <c r="G1359" s="28" t="n">
        <v>46267</v>
      </c>
      <c r="H1359" s="28" t="n">
        <v>46267</v>
      </c>
      <c r="I1359" s="18" t="s">
        <v>479</v>
      </c>
      <c r="J1359" s="26" t="s">
        <v>399</v>
      </c>
      <c r="K1359" s="18" t="s">
        <v>401</v>
      </c>
      <c r="L1359" s="27" t="n">
        <v>1</v>
      </c>
      <c r="M1359" s="37" t="s">
        <v>402</v>
      </c>
      <c r="N1359" s="18" t="s">
        <v>403</v>
      </c>
      <c r="O1359" s="27" t="n">
        <v>1</v>
      </c>
      <c r="P1359" s="15" t="n">
        <f aca="false">IF(A1359="","",IF(O1359&lt;&gt;"",O1359,IF(L1359&lt;&gt;"",L1359,F1359)))</f>
        <v>1</v>
      </c>
    </row>
    <row r="1360" customFormat="false" ht="15" hidden="false" customHeight="true" outlineLevel="0" collapsed="false">
      <c r="A1360" s="30" t="s">
        <v>168</v>
      </c>
      <c r="B1360" s="30" t="s">
        <v>169</v>
      </c>
      <c r="C1360" s="21" t="n">
        <f aca="false">IF(A1360="","",IFERROR(VLOOKUP(A1360,'Recert Status'!$A$8:$C$400,3,FALSE()),""))</f>
        <v>46387</v>
      </c>
      <c r="D1360" s="31" t="s">
        <v>409</v>
      </c>
      <c r="E1360" s="30" t="s">
        <v>480</v>
      </c>
      <c r="F1360" s="32" t="n">
        <v>1</v>
      </c>
      <c r="G1360" s="33" t="n">
        <v>46270</v>
      </c>
      <c r="H1360" s="33" t="n">
        <v>46270</v>
      </c>
      <c r="I1360" s="31" t="s">
        <v>481</v>
      </c>
      <c r="J1360" s="30" t="s">
        <v>480</v>
      </c>
      <c r="K1360" s="31" t="s">
        <v>482</v>
      </c>
      <c r="L1360" s="32" t="n">
        <v>1</v>
      </c>
      <c r="M1360" s="38" t="s">
        <v>408</v>
      </c>
      <c r="N1360" s="31" t="s">
        <v>409</v>
      </c>
      <c r="O1360" s="32" t="n">
        <v>1</v>
      </c>
      <c r="P1360" s="15" t="n">
        <f aca="false">IF(A1360="","",IF(O1360&lt;&gt;"",O1360,IF(L1360&lt;&gt;"",L1360,F1360)))</f>
        <v>1</v>
      </c>
    </row>
    <row r="1361" customFormat="false" ht="15" hidden="false" customHeight="true" outlineLevel="0" collapsed="false">
      <c r="A1361" s="26" t="s">
        <v>168</v>
      </c>
      <c r="B1361" s="26" t="s">
        <v>169</v>
      </c>
      <c r="C1361" s="14" t="n">
        <f aca="false">IF(A1361="","",IFERROR(VLOOKUP(A1361,'Recert Status'!$A$8:$C$400,3,FALSE()),""))</f>
        <v>46387</v>
      </c>
      <c r="D1361" s="18" t="s">
        <v>449</v>
      </c>
      <c r="E1361" s="26" t="s">
        <v>416</v>
      </c>
      <c r="F1361" s="27" t="n">
        <v>1</v>
      </c>
      <c r="G1361" s="28" t="n">
        <v>45775</v>
      </c>
      <c r="H1361" s="28" t="n">
        <v>45775</v>
      </c>
      <c r="I1361" s="18" t="s">
        <v>809</v>
      </c>
      <c r="J1361" s="26" t="s">
        <v>416</v>
      </c>
      <c r="K1361" s="18" t="s">
        <v>674</v>
      </c>
      <c r="L1361" s="27" t="n">
        <v>1</v>
      </c>
      <c r="M1361" s="39" t="s">
        <v>413</v>
      </c>
      <c r="N1361" s="18" t="s">
        <v>414</v>
      </c>
      <c r="O1361" s="27" t="n">
        <v>1</v>
      </c>
      <c r="P1361" s="15" t="n">
        <f aca="false">IF(A1361="","",IF(O1361&lt;&gt;"",O1361,IF(L1361&lt;&gt;"",L1361,F1361)))</f>
        <v>1</v>
      </c>
    </row>
    <row r="1362" customFormat="false" ht="15" hidden="false" customHeight="true" outlineLevel="0" collapsed="false">
      <c r="A1362" s="30" t="s">
        <v>168</v>
      </c>
      <c r="B1362" s="30" t="s">
        <v>169</v>
      </c>
      <c r="C1362" s="21" t="n">
        <f aca="false">IF(A1362="","",IFERROR(VLOOKUP(A1362,'Recert Status'!$A$8:$C$400,3,FALSE()),""))</f>
        <v>46387</v>
      </c>
      <c r="D1362" s="31" t="s">
        <v>486</v>
      </c>
      <c r="E1362" s="30" t="s">
        <v>416</v>
      </c>
      <c r="F1362" s="32" t="n">
        <v>2</v>
      </c>
      <c r="G1362" s="33" t="n">
        <v>45859</v>
      </c>
      <c r="H1362" s="33" t="n">
        <v>45859</v>
      </c>
      <c r="I1362" s="31" t="s">
        <v>487</v>
      </c>
      <c r="J1362" s="30" t="s">
        <v>416</v>
      </c>
      <c r="K1362" s="31" t="s">
        <v>418</v>
      </c>
      <c r="L1362" s="32" t="n">
        <v>2</v>
      </c>
      <c r="M1362" s="39" t="s">
        <v>413</v>
      </c>
      <c r="N1362" s="31" t="s">
        <v>414</v>
      </c>
      <c r="O1362" s="32" t="n">
        <v>2</v>
      </c>
      <c r="P1362" s="15" t="n">
        <f aca="false">IF(A1362="","",IF(O1362&lt;&gt;"",O1362,IF(L1362&lt;&gt;"",L1362,F1362)))</f>
        <v>2</v>
      </c>
    </row>
    <row r="1363" customFormat="false" ht="15" hidden="false" customHeight="true" outlineLevel="0" collapsed="false">
      <c r="A1363" s="26" t="s">
        <v>168</v>
      </c>
      <c r="B1363" s="26" t="s">
        <v>169</v>
      </c>
      <c r="C1363" s="14" t="n">
        <f aca="false">IF(A1363="","",IFERROR(VLOOKUP(A1363,'Recert Status'!$A$8:$C$400,3,FALSE()),""))</f>
        <v>46387</v>
      </c>
      <c r="D1363" s="18" t="s">
        <v>457</v>
      </c>
      <c r="E1363" s="26" t="s">
        <v>416</v>
      </c>
      <c r="F1363" s="27" t="n">
        <v>2</v>
      </c>
      <c r="G1363" s="28" t="n">
        <v>45860</v>
      </c>
      <c r="H1363" s="28" t="n">
        <v>45860</v>
      </c>
      <c r="I1363" s="18" t="s">
        <v>458</v>
      </c>
      <c r="J1363" s="26" t="s">
        <v>416</v>
      </c>
      <c r="K1363" s="18" t="s">
        <v>459</v>
      </c>
      <c r="L1363" s="27" t="n">
        <v>2</v>
      </c>
      <c r="M1363" s="39" t="s">
        <v>413</v>
      </c>
      <c r="N1363" s="18" t="s">
        <v>414</v>
      </c>
      <c r="O1363" s="27" t="n">
        <v>2</v>
      </c>
      <c r="P1363" s="15" t="n">
        <f aca="false">IF(A1363="","",IF(O1363&lt;&gt;"",O1363,IF(L1363&lt;&gt;"",L1363,F1363)))</f>
        <v>2</v>
      </c>
    </row>
    <row r="1364" customFormat="false" ht="15" hidden="false" customHeight="true" outlineLevel="0" collapsed="false">
      <c r="A1364" s="30" t="s">
        <v>168</v>
      </c>
      <c r="B1364" s="30" t="s">
        <v>169</v>
      </c>
      <c r="C1364" s="21" t="n">
        <f aca="false">IF(A1364="","",IFERROR(VLOOKUP(A1364,'Recert Status'!$A$8:$C$400,3,FALSE()),""))</f>
        <v>46387</v>
      </c>
      <c r="D1364" s="31" t="s">
        <v>488</v>
      </c>
      <c r="E1364" s="30" t="s">
        <v>416</v>
      </c>
      <c r="F1364" s="32" t="n">
        <v>1</v>
      </c>
      <c r="G1364" s="33" t="n">
        <v>46126</v>
      </c>
      <c r="H1364" s="33" t="n">
        <v>46126</v>
      </c>
      <c r="I1364" s="31" t="s">
        <v>489</v>
      </c>
      <c r="J1364" s="30" t="s">
        <v>416</v>
      </c>
      <c r="K1364" s="31" t="s">
        <v>490</v>
      </c>
      <c r="L1364" s="32" t="n">
        <v>1</v>
      </c>
      <c r="M1364" s="39" t="s">
        <v>413</v>
      </c>
      <c r="N1364" s="31" t="s">
        <v>414</v>
      </c>
      <c r="O1364" s="32" t="n">
        <v>1</v>
      </c>
      <c r="P1364" s="15" t="n">
        <f aca="false">IF(A1364="","",IF(O1364&lt;&gt;"",O1364,IF(L1364&lt;&gt;"",L1364,F1364)))</f>
        <v>1</v>
      </c>
    </row>
    <row r="1365" customFormat="false" ht="15" hidden="false" customHeight="true" outlineLevel="0" collapsed="false">
      <c r="A1365" s="26" t="s">
        <v>168</v>
      </c>
      <c r="B1365" s="26" t="s">
        <v>169</v>
      </c>
      <c r="C1365" s="14" t="n">
        <f aca="false">IF(A1365="","",IFERROR(VLOOKUP(A1365,'Recert Status'!$A$8:$C$400,3,FALSE()),""))</f>
        <v>46387</v>
      </c>
      <c r="D1365" s="18" t="s">
        <v>414</v>
      </c>
      <c r="E1365" s="26" t="s">
        <v>416</v>
      </c>
      <c r="F1365" s="27" t="n">
        <v>2</v>
      </c>
      <c r="G1365" s="28" t="n">
        <v>46219</v>
      </c>
      <c r="H1365" s="28" t="n">
        <v>46219</v>
      </c>
      <c r="I1365" s="18" t="s">
        <v>567</v>
      </c>
      <c r="J1365" s="26" t="s">
        <v>416</v>
      </c>
      <c r="K1365" s="18" t="s">
        <v>418</v>
      </c>
      <c r="L1365" s="27" t="n">
        <v>2</v>
      </c>
      <c r="M1365" s="39" t="s">
        <v>413</v>
      </c>
      <c r="N1365" s="18" t="s">
        <v>414</v>
      </c>
      <c r="O1365" s="27" t="n">
        <v>2</v>
      </c>
      <c r="P1365" s="15" t="n">
        <f aca="false">IF(A1365="","",IF(O1365&lt;&gt;"",O1365,IF(L1365&lt;&gt;"",L1365,F1365)))</f>
        <v>2</v>
      </c>
    </row>
    <row r="1366" customFormat="false" ht="15" hidden="false" customHeight="true" outlineLevel="0" collapsed="false">
      <c r="A1366" s="30" t="s">
        <v>170</v>
      </c>
      <c r="B1366" s="30" t="s">
        <v>171</v>
      </c>
      <c r="C1366" s="21" t="n">
        <f aca="false">IF(A1366="","",IFERROR(VLOOKUP(A1366,'Recert Status'!$A$8:$C$400,3,FALSE()),""))</f>
        <v>46387</v>
      </c>
      <c r="D1366" s="31" t="s">
        <v>884</v>
      </c>
      <c r="E1366" s="30" t="s">
        <v>426</v>
      </c>
      <c r="F1366" s="32" t="n">
        <v>2</v>
      </c>
      <c r="G1366" s="33" t="n">
        <v>45929</v>
      </c>
      <c r="H1366" s="33" t="n">
        <v>45929</v>
      </c>
      <c r="I1366" s="31" t="s">
        <v>885</v>
      </c>
      <c r="J1366" s="30" t="s">
        <v>426</v>
      </c>
      <c r="K1366" s="31" t="s">
        <v>428</v>
      </c>
      <c r="L1366" s="32" t="n">
        <v>2</v>
      </c>
      <c r="M1366" s="41" t="s">
        <v>429</v>
      </c>
      <c r="N1366" s="31" t="s">
        <v>430</v>
      </c>
      <c r="O1366" s="32" t="n">
        <v>2</v>
      </c>
      <c r="P1366" s="15" t="n">
        <f aca="false">IF(A1366="","",IF(O1366&lt;&gt;"",O1366,IF(L1366&lt;&gt;"",L1366,F1366)))</f>
        <v>2</v>
      </c>
    </row>
    <row r="1367" customFormat="false" ht="15" hidden="false" customHeight="true" outlineLevel="0" collapsed="false">
      <c r="A1367" s="26" t="s">
        <v>170</v>
      </c>
      <c r="B1367" s="26" t="s">
        <v>171</v>
      </c>
      <c r="C1367" s="14" t="n">
        <f aca="false">IF(A1367="","",IFERROR(VLOOKUP(A1367,'Recert Status'!$A$8:$C$400,3,FALSE()),""))</f>
        <v>46387</v>
      </c>
      <c r="D1367" s="18" t="s">
        <v>376</v>
      </c>
      <c r="E1367" s="26" t="s">
        <v>372</v>
      </c>
      <c r="F1367" s="27" t="n">
        <v>1</v>
      </c>
      <c r="G1367" s="28" t="n">
        <v>46259</v>
      </c>
      <c r="H1367" s="28" t="n">
        <v>46259</v>
      </c>
      <c r="I1367" s="18" t="s">
        <v>1367</v>
      </c>
      <c r="J1367" s="26" t="s">
        <v>372</v>
      </c>
      <c r="K1367" s="18" t="s">
        <v>374</v>
      </c>
      <c r="L1367" s="27" t="n">
        <v>1</v>
      </c>
      <c r="M1367" s="34" t="s">
        <v>375</v>
      </c>
      <c r="N1367" s="18" t="s">
        <v>376</v>
      </c>
      <c r="O1367" s="27" t="n">
        <v>1</v>
      </c>
      <c r="P1367" s="15" t="n">
        <f aca="false">IF(A1367="","",IF(O1367&lt;&gt;"",O1367,IF(L1367&lt;&gt;"",L1367,F1367)))</f>
        <v>1</v>
      </c>
    </row>
    <row r="1368" customFormat="false" ht="15" hidden="false" customHeight="true" outlineLevel="0" collapsed="false">
      <c r="A1368" s="30" t="s">
        <v>170</v>
      </c>
      <c r="B1368" s="30" t="s">
        <v>171</v>
      </c>
      <c r="C1368" s="21" t="n">
        <f aca="false">IF(A1368="","",IFERROR(VLOOKUP(A1368,'Recert Status'!$A$8:$C$400,3,FALSE()),""))</f>
        <v>46387</v>
      </c>
      <c r="D1368" s="31" t="s">
        <v>449</v>
      </c>
      <c r="E1368" s="30" t="s">
        <v>389</v>
      </c>
      <c r="F1368" s="32" t="n">
        <v>0.5</v>
      </c>
      <c r="G1368" s="33" t="n">
        <v>45698</v>
      </c>
      <c r="H1368" s="33" t="n">
        <v>45698</v>
      </c>
      <c r="I1368" s="31" t="s">
        <v>1216</v>
      </c>
      <c r="J1368" s="30" t="s">
        <v>389</v>
      </c>
      <c r="K1368" s="31" t="s">
        <v>395</v>
      </c>
      <c r="L1368" s="32" t="n">
        <v>0.5</v>
      </c>
      <c r="M1368" s="35" t="s">
        <v>386</v>
      </c>
      <c r="N1368" s="31" t="s">
        <v>387</v>
      </c>
      <c r="O1368" s="32" t="n">
        <v>0.5</v>
      </c>
      <c r="P1368" s="15" t="n">
        <f aca="false">IF(A1368="","",IF(O1368&lt;&gt;"",O1368,IF(L1368&lt;&gt;"",L1368,F1368)))</f>
        <v>0.5</v>
      </c>
    </row>
    <row r="1369" customFormat="false" ht="15" hidden="false" customHeight="true" outlineLevel="0" collapsed="false">
      <c r="A1369" s="26" t="s">
        <v>170</v>
      </c>
      <c r="B1369" s="26" t="s">
        <v>171</v>
      </c>
      <c r="C1369" s="14" t="n">
        <f aca="false">IF(A1369="","",IFERROR(VLOOKUP(A1369,'Recert Status'!$A$8:$C$400,3,FALSE()),""))</f>
        <v>46387</v>
      </c>
      <c r="D1369" s="18" t="s">
        <v>1059</v>
      </c>
      <c r="E1369" s="26" t="s">
        <v>389</v>
      </c>
      <c r="F1369" s="27" t="n">
        <v>0.5</v>
      </c>
      <c r="G1369" s="28" t="n">
        <v>45707</v>
      </c>
      <c r="H1369" s="28" t="n">
        <v>45707</v>
      </c>
      <c r="I1369" s="18" t="s">
        <v>1060</v>
      </c>
      <c r="J1369" s="26" t="s">
        <v>389</v>
      </c>
      <c r="K1369" s="18" t="s">
        <v>451</v>
      </c>
      <c r="L1369" s="27" t="n">
        <v>0.5</v>
      </c>
      <c r="M1369" s="35" t="s">
        <v>386</v>
      </c>
      <c r="N1369" s="18" t="s">
        <v>387</v>
      </c>
      <c r="O1369" s="27" t="n">
        <v>0.5</v>
      </c>
      <c r="P1369" s="15" t="n">
        <f aca="false">IF(A1369="","",IF(O1369&lt;&gt;"",O1369,IF(L1369&lt;&gt;"",L1369,F1369)))</f>
        <v>0.5</v>
      </c>
    </row>
    <row r="1370" customFormat="false" ht="15" hidden="false" customHeight="true" outlineLevel="0" collapsed="false">
      <c r="A1370" s="30" t="s">
        <v>170</v>
      </c>
      <c r="B1370" s="30" t="s">
        <v>171</v>
      </c>
      <c r="C1370" s="21" t="n">
        <f aca="false">IF(A1370="","",IFERROR(VLOOKUP(A1370,'Recert Status'!$A$8:$C$400,3,FALSE()),""))</f>
        <v>46387</v>
      </c>
      <c r="D1370" s="31" t="s">
        <v>437</v>
      </c>
      <c r="E1370" s="30" t="n">
        <v>29743</v>
      </c>
      <c r="F1370" s="32" t="n">
        <v>1</v>
      </c>
      <c r="G1370" s="33" t="n">
        <v>45833</v>
      </c>
      <c r="H1370" s="33" t="n">
        <v>45833</v>
      </c>
      <c r="I1370" s="31" t="s">
        <v>438</v>
      </c>
      <c r="J1370" s="30" t="s">
        <v>439</v>
      </c>
      <c r="K1370" s="31" t="s">
        <v>440</v>
      </c>
      <c r="L1370" s="32" t="n">
        <v>1</v>
      </c>
      <c r="M1370" s="35" t="s">
        <v>386</v>
      </c>
      <c r="N1370" s="31" t="s">
        <v>387</v>
      </c>
      <c r="O1370" s="32" t="n">
        <v>1</v>
      </c>
      <c r="P1370" s="15" t="n">
        <f aca="false">IF(A1370="","",IF(O1370&lt;&gt;"",O1370,IF(L1370&lt;&gt;"",L1370,F1370)))</f>
        <v>1</v>
      </c>
    </row>
    <row r="1371" customFormat="false" ht="15" hidden="false" customHeight="true" outlineLevel="0" collapsed="false">
      <c r="A1371" s="26" t="s">
        <v>170</v>
      </c>
      <c r="B1371" s="26" t="s">
        <v>171</v>
      </c>
      <c r="C1371" s="14" t="n">
        <f aca="false">IF(A1371="","",IFERROR(VLOOKUP(A1371,'Recert Status'!$A$8:$C$400,3,FALSE()),""))</f>
        <v>46387</v>
      </c>
      <c r="D1371" s="18" t="s">
        <v>441</v>
      </c>
      <c r="E1371" s="26" t="n">
        <v>29743</v>
      </c>
      <c r="F1371" s="27" t="n">
        <v>1</v>
      </c>
      <c r="G1371" s="28" t="n">
        <v>45833</v>
      </c>
      <c r="H1371" s="28" t="n">
        <v>45833</v>
      </c>
      <c r="I1371" s="18" t="s">
        <v>442</v>
      </c>
      <c r="J1371" s="26" t="s">
        <v>439</v>
      </c>
      <c r="K1371" s="18" t="s">
        <v>443</v>
      </c>
      <c r="L1371" s="27" t="n">
        <v>1</v>
      </c>
      <c r="M1371" s="35" t="s">
        <v>386</v>
      </c>
      <c r="N1371" s="18" t="s">
        <v>387</v>
      </c>
      <c r="O1371" s="27" t="n">
        <v>1</v>
      </c>
      <c r="P1371" s="15" t="n">
        <f aca="false">IF(A1371="","",IF(O1371&lt;&gt;"",O1371,IF(L1371&lt;&gt;"",L1371,F1371)))</f>
        <v>1</v>
      </c>
    </row>
    <row r="1372" customFormat="false" ht="15" hidden="false" customHeight="true" outlineLevel="0" collapsed="false">
      <c r="A1372" s="30" t="s">
        <v>170</v>
      </c>
      <c r="B1372" s="30" t="s">
        <v>171</v>
      </c>
      <c r="C1372" s="21" t="n">
        <f aca="false">IF(A1372="","",IFERROR(VLOOKUP(A1372,'Recert Status'!$A$8:$C$400,3,FALSE()),""))</f>
        <v>46387</v>
      </c>
      <c r="D1372" s="31" t="s">
        <v>913</v>
      </c>
      <c r="E1372" s="30" t="s">
        <v>389</v>
      </c>
      <c r="F1372" s="32" t="n">
        <v>1</v>
      </c>
      <c r="G1372" s="33" t="n">
        <v>45971</v>
      </c>
      <c r="H1372" s="33" t="n">
        <v>45971</v>
      </c>
      <c r="I1372" s="31" t="s">
        <v>445</v>
      </c>
      <c r="J1372" s="30" t="s">
        <v>389</v>
      </c>
      <c r="K1372" s="31" t="s">
        <v>446</v>
      </c>
      <c r="L1372" s="32" t="n">
        <v>1</v>
      </c>
      <c r="M1372" s="35" t="s">
        <v>386</v>
      </c>
      <c r="N1372" s="31" t="s">
        <v>387</v>
      </c>
      <c r="O1372" s="32" t="n">
        <v>1</v>
      </c>
      <c r="P1372" s="15" t="n">
        <f aca="false">IF(A1372="","",IF(O1372&lt;&gt;"",O1372,IF(L1372&lt;&gt;"",L1372,F1372)))</f>
        <v>1</v>
      </c>
    </row>
    <row r="1373" customFormat="false" ht="15" hidden="false" customHeight="true" outlineLevel="0" collapsed="false">
      <c r="A1373" s="26" t="s">
        <v>170</v>
      </c>
      <c r="B1373" s="26" t="s">
        <v>171</v>
      </c>
      <c r="C1373" s="14" t="n">
        <f aca="false">IF(A1373="","",IFERROR(VLOOKUP(A1373,'Recert Status'!$A$8:$C$400,3,FALSE()),""))</f>
        <v>46387</v>
      </c>
      <c r="D1373" s="18" t="s">
        <v>914</v>
      </c>
      <c r="E1373" s="26" t="n">
        <v>29675</v>
      </c>
      <c r="F1373" s="27" t="n">
        <v>2</v>
      </c>
      <c r="G1373" s="28" t="n">
        <v>45971</v>
      </c>
      <c r="H1373" s="28" t="n">
        <v>45971</v>
      </c>
      <c r="I1373" s="18" t="s">
        <v>915</v>
      </c>
      <c r="J1373" s="26" t="s">
        <v>406</v>
      </c>
      <c r="K1373" s="18" t="s">
        <v>630</v>
      </c>
      <c r="L1373" s="27" t="n">
        <v>2</v>
      </c>
      <c r="M1373" s="35" t="s">
        <v>386</v>
      </c>
      <c r="N1373" s="18" t="s">
        <v>387</v>
      </c>
      <c r="O1373" s="27" t="n">
        <v>2</v>
      </c>
      <c r="P1373" s="15" t="n">
        <f aca="false">IF(A1373="","",IF(O1373&lt;&gt;"",O1373,IF(L1373&lt;&gt;"",L1373,F1373)))</f>
        <v>2</v>
      </c>
    </row>
    <row r="1374" customFormat="false" ht="15" hidden="false" customHeight="true" outlineLevel="0" collapsed="false">
      <c r="A1374" s="30" t="s">
        <v>170</v>
      </c>
      <c r="B1374" s="30" t="s">
        <v>171</v>
      </c>
      <c r="C1374" s="21" t="n">
        <f aca="false">IF(A1374="","",IFERROR(VLOOKUP(A1374,'Recert Status'!$A$8:$C$400,3,FALSE()),""))</f>
        <v>46387</v>
      </c>
      <c r="D1374" s="31" t="s">
        <v>387</v>
      </c>
      <c r="E1374" s="30" t="s">
        <v>389</v>
      </c>
      <c r="F1374" s="32" t="n">
        <v>1</v>
      </c>
      <c r="G1374" s="33" t="n">
        <v>46235</v>
      </c>
      <c r="H1374" s="33" t="n">
        <v>46235</v>
      </c>
      <c r="I1374" s="31" t="s">
        <v>919</v>
      </c>
      <c r="J1374" s="30" t="s">
        <v>389</v>
      </c>
      <c r="K1374" s="31" t="s">
        <v>451</v>
      </c>
      <c r="L1374" s="32" t="n">
        <v>1</v>
      </c>
      <c r="M1374" s="35" t="s">
        <v>386</v>
      </c>
      <c r="N1374" s="31" t="s">
        <v>387</v>
      </c>
      <c r="O1374" s="32" t="n">
        <v>1</v>
      </c>
      <c r="P1374" s="15" t="n">
        <f aca="false">IF(A1374="","",IF(O1374&lt;&gt;"",O1374,IF(L1374&lt;&gt;"",L1374,F1374)))</f>
        <v>1</v>
      </c>
    </row>
    <row r="1375" customFormat="false" ht="15" hidden="false" customHeight="true" outlineLevel="0" collapsed="false">
      <c r="A1375" s="26" t="s">
        <v>170</v>
      </c>
      <c r="B1375" s="26" t="s">
        <v>171</v>
      </c>
      <c r="C1375" s="14" t="n">
        <f aca="false">IF(A1375="","",IFERROR(VLOOKUP(A1375,'Recert Status'!$A$8:$C$400,3,FALSE()),""))</f>
        <v>46387</v>
      </c>
      <c r="D1375" s="18" t="s">
        <v>387</v>
      </c>
      <c r="E1375" s="26" t="s">
        <v>389</v>
      </c>
      <c r="F1375" s="27" t="n">
        <v>0.5</v>
      </c>
      <c r="G1375" s="28" t="n">
        <v>46259</v>
      </c>
      <c r="H1375" s="28" t="n">
        <v>46259</v>
      </c>
      <c r="I1375" s="18" t="s">
        <v>1368</v>
      </c>
      <c r="J1375" s="26" t="s">
        <v>389</v>
      </c>
      <c r="K1375" s="18" t="s">
        <v>451</v>
      </c>
      <c r="L1375" s="27" t="n">
        <v>0.5</v>
      </c>
      <c r="M1375" s="35" t="s">
        <v>386</v>
      </c>
      <c r="N1375" s="18" t="s">
        <v>387</v>
      </c>
      <c r="O1375" s="27" t="n">
        <v>0.5</v>
      </c>
      <c r="P1375" s="15" t="n">
        <f aca="false">IF(A1375="","",IF(O1375&lt;&gt;"",O1375,IF(L1375&lt;&gt;"",L1375,F1375)))</f>
        <v>0.5</v>
      </c>
    </row>
    <row r="1376" customFormat="false" ht="15" hidden="false" customHeight="true" outlineLevel="0" collapsed="false">
      <c r="A1376" s="30" t="s">
        <v>170</v>
      </c>
      <c r="B1376" s="30" t="s">
        <v>171</v>
      </c>
      <c r="C1376" s="21" t="n">
        <f aca="false">IF(A1376="","",IFERROR(VLOOKUP(A1376,'Recert Status'!$A$8:$C$400,3,FALSE()),""))</f>
        <v>46387</v>
      </c>
      <c r="D1376" s="31" t="s">
        <v>397</v>
      </c>
      <c r="E1376" s="30" t="s">
        <v>452</v>
      </c>
      <c r="F1376" s="32" t="n">
        <v>1</v>
      </c>
      <c r="G1376" s="33" t="n">
        <v>46244</v>
      </c>
      <c r="H1376" s="33" t="n">
        <v>46244</v>
      </c>
      <c r="I1376" s="31" t="s">
        <v>577</v>
      </c>
      <c r="J1376" s="30" t="s">
        <v>452</v>
      </c>
      <c r="K1376" s="31" t="s">
        <v>385</v>
      </c>
      <c r="L1376" s="32" t="n">
        <v>1</v>
      </c>
      <c r="M1376" s="36" t="s">
        <v>396</v>
      </c>
      <c r="N1376" s="31" t="s">
        <v>397</v>
      </c>
      <c r="O1376" s="32" t="n">
        <v>1</v>
      </c>
      <c r="P1376" s="15" t="n">
        <f aca="false">IF(A1376="","",IF(O1376&lt;&gt;"",O1376,IF(L1376&lt;&gt;"",L1376,F1376)))</f>
        <v>1</v>
      </c>
    </row>
    <row r="1377" customFormat="false" ht="15" hidden="false" customHeight="true" outlineLevel="0" collapsed="false">
      <c r="A1377" s="26" t="s">
        <v>170</v>
      </c>
      <c r="B1377" s="26" t="s">
        <v>171</v>
      </c>
      <c r="C1377" s="14" t="n">
        <f aca="false">IF(A1377="","",IFERROR(VLOOKUP(A1377,'Recert Status'!$A$8:$C$400,3,FALSE()),""))</f>
        <v>46387</v>
      </c>
      <c r="D1377" s="18" t="s">
        <v>397</v>
      </c>
      <c r="E1377" s="26" t="s">
        <v>452</v>
      </c>
      <c r="F1377" s="27" t="n">
        <v>1</v>
      </c>
      <c r="G1377" s="28" t="n">
        <v>46259</v>
      </c>
      <c r="H1377" s="28" t="n">
        <v>46259</v>
      </c>
      <c r="I1377" s="18" t="s">
        <v>1369</v>
      </c>
      <c r="J1377" s="26" t="s">
        <v>452</v>
      </c>
      <c r="K1377" s="18" t="s">
        <v>385</v>
      </c>
      <c r="L1377" s="27" t="n">
        <v>1</v>
      </c>
      <c r="M1377" s="36" t="s">
        <v>396</v>
      </c>
      <c r="N1377" s="18" t="s">
        <v>397</v>
      </c>
      <c r="O1377" s="27" t="n">
        <v>1</v>
      </c>
      <c r="P1377" s="15" t="n">
        <f aca="false">IF(A1377="","",IF(O1377&lt;&gt;"",O1377,IF(L1377&lt;&gt;"",L1377,F1377)))</f>
        <v>1</v>
      </c>
    </row>
    <row r="1378" customFormat="false" ht="15" hidden="false" customHeight="true" outlineLevel="0" collapsed="false">
      <c r="A1378" s="30" t="s">
        <v>170</v>
      </c>
      <c r="B1378" s="30" t="s">
        <v>171</v>
      </c>
      <c r="C1378" s="21" t="n">
        <f aca="false">IF(A1378="","",IFERROR(VLOOKUP(A1378,'Recert Status'!$A$8:$C$400,3,FALSE()),""))</f>
        <v>46387</v>
      </c>
      <c r="D1378" s="31" t="s">
        <v>798</v>
      </c>
      <c r="E1378" s="30" t="s">
        <v>416</v>
      </c>
      <c r="F1378" s="32" t="n">
        <v>1</v>
      </c>
      <c r="G1378" s="33" t="n">
        <v>45710</v>
      </c>
      <c r="H1378" s="33" t="n">
        <v>45710</v>
      </c>
      <c r="I1378" s="31" t="s">
        <v>799</v>
      </c>
      <c r="J1378" s="30" t="s">
        <v>416</v>
      </c>
      <c r="K1378" s="31" t="s">
        <v>490</v>
      </c>
      <c r="L1378" s="32" t="n">
        <v>1</v>
      </c>
      <c r="M1378" s="39" t="s">
        <v>413</v>
      </c>
      <c r="N1378" s="31" t="s">
        <v>414</v>
      </c>
      <c r="O1378" s="32" t="n">
        <v>1</v>
      </c>
      <c r="P1378" s="15" t="n">
        <f aca="false">IF(A1378="","",IF(O1378&lt;&gt;"",O1378,IF(L1378&lt;&gt;"",L1378,F1378)))</f>
        <v>1</v>
      </c>
    </row>
    <row r="1379" customFormat="false" ht="15" hidden="false" customHeight="true" outlineLevel="0" collapsed="false">
      <c r="A1379" s="26" t="s">
        <v>170</v>
      </c>
      <c r="B1379" s="26" t="s">
        <v>171</v>
      </c>
      <c r="C1379" s="14" t="n">
        <f aca="false">IF(A1379="","",IFERROR(VLOOKUP(A1379,'Recert Status'!$A$8:$C$400,3,FALSE()),""))</f>
        <v>46387</v>
      </c>
      <c r="D1379" s="18" t="s">
        <v>672</v>
      </c>
      <c r="E1379" s="26" t="n">
        <v>29675</v>
      </c>
      <c r="F1379" s="27" t="n">
        <v>1</v>
      </c>
      <c r="G1379" s="28" t="n">
        <v>45824</v>
      </c>
      <c r="H1379" s="28" t="n">
        <v>45824</v>
      </c>
      <c r="I1379" s="18" t="s">
        <v>970</v>
      </c>
      <c r="J1379" s="26" t="s">
        <v>406</v>
      </c>
      <c r="K1379" s="18" t="s">
        <v>418</v>
      </c>
      <c r="L1379" s="27" t="n">
        <v>1</v>
      </c>
      <c r="M1379" s="39" t="s">
        <v>413</v>
      </c>
      <c r="N1379" s="18" t="s">
        <v>414</v>
      </c>
      <c r="O1379" s="27" t="n">
        <v>1</v>
      </c>
      <c r="P1379" s="15" t="n">
        <f aca="false">IF(A1379="","",IF(O1379&lt;&gt;"",O1379,IF(L1379&lt;&gt;"",L1379,F1379)))</f>
        <v>1</v>
      </c>
    </row>
    <row r="1380" customFormat="false" ht="15" hidden="false" customHeight="true" outlineLevel="0" collapsed="false">
      <c r="A1380" s="30" t="s">
        <v>170</v>
      </c>
      <c r="B1380" s="30" t="s">
        <v>171</v>
      </c>
      <c r="C1380" s="21" t="n">
        <f aca="false">IF(A1380="","",IFERROR(VLOOKUP(A1380,'Recert Status'!$A$8:$C$400,3,FALSE()),""))</f>
        <v>46387</v>
      </c>
      <c r="D1380" s="31" t="s">
        <v>457</v>
      </c>
      <c r="E1380" s="30" t="s">
        <v>416</v>
      </c>
      <c r="F1380" s="32" t="n">
        <v>2</v>
      </c>
      <c r="G1380" s="33" t="n">
        <v>45860</v>
      </c>
      <c r="H1380" s="33" t="n">
        <v>45860</v>
      </c>
      <c r="I1380" s="31" t="s">
        <v>533</v>
      </c>
      <c r="J1380" s="30" t="s">
        <v>416</v>
      </c>
      <c r="K1380" s="31" t="s">
        <v>523</v>
      </c>
      <c r="L1380" s="32" t="n">
        <v>2</v>
      </c>
      <c r="M1380" s="39" t="s">
        <v>413</v>
      </c>
      <c r="N1380" s="31" t="s">
        <v>414</v>
      </c>
      <c r="O1380" s="32" t="n">
        <v>2</v>
      </c>
      <c r="P1380" s="15" t="n">
        <f aca="false">IF(A1380="","",IF(O1380&lt;&gt;"",O1380,IF(L1380&lt;&gt;"",L1380,F1380)))</f>
        <v>2</v>
      </c>
    </row>
    <row r="1381" customFormat="false" ht="15" hidden="false" customHeight="true" outlineLevel="0" collapsed="false">
      <c r="A1381" s="26" t="s">
        <v>170</v>
      </c>
      <c r="B1381" s="26" t="s">
        <v>171</v>
      </c>
      <c r="C1381" s="14" t="n">
        <f aca="false">IF(A1381="","",IFERROR(VLOOKUP(A1381,'Recert Status'!$A$8:$C$400,3,FALSE()),""))</f>
        <v>46387</v>
      </c>
      <c r="D1381" s="18" t="s">
        <v>488</v>
      </c>
      <c r="E1381" s="26" t="s">
        <v>416</v>
      </c>
      <c r="F1381" s="27" t="n">
        <v>1</v>
      </c>
      <c r="G1381" s="28" t="n">
        <v>46139</v>
      </c>
      <c r="H1381" s="28" t="n">
        <v>46139</v>
      </c>
      <c r="I1381" s="18" t="s">
        <v>610</v>
      </c>
      <c r="J1381" s="26" t="s">
        <v>416</v>
      </c>
      <c r="K1381" s="18" t="s">
        <v>490</v>
      </c>
      <c r="L1381" s="27" t="n">
        <v>1</v>
      </c>
      <c r="M1381" s="39" t="s">
        <v>413</v>
      </c>
      <c r="N1381" s="18" t="s">
        <v>414</v>
      </c>
      <c r="O1381" s="27" t="n">
        <v>1</v>
      </c>
      <c r="P1381" s="15" t="n">
        <f aca="false">IF(A1381="","",IF(O1381&lt;&gt;"",O1381,IF(L1381&lt;&gt;"",L1381,F1381)))</f>
        <v>1</v>
      </c>
    </row>
    <row r="1382" customFormat="false" ht="15" hidden="false" customHeight="true" outlineLevel="0" collapsed="false">
      <c r="A1382" s="30" t="s">
        <v>170</v>
      </c>
      <c r="B1382" s="30" t="s">
        <v>171</v>
      </c>
      <c r="C1382" s="21" t="n">
        <f aca="false">IF(A1382="","",IFERROR(VLOOKUP(A1382,'Recert Status'!$A$8:$C$400,3,FALSE()),""))</f>
        <v>46387</v>
      </c>
      <c r="D1382" s="31" t="s">
        <v>414</v>
      </c>
      <c r="E1382" s="30" t="s">
        <v>416</v>
      </c>
      <c r="F1382" s="32" t="n">
        <v>2</v>
      </c>
      <c r="G1382" s="33" t="n">
        <v>46217</v>
      </c>
      <c r="H1382" s="33" t="n">
        <v>46217</v>
      </c>
      <c r="I1382" s="31" t="s">
        <v>460</v>
      </c>
      <c r="J1382" s="30" t="s">
        <v>416</v>
      </c>
      <c r="K1382" s="31" t="s">
        <v>418</v>
      </c>
      <c r="L1382" s="32" t="n">
        <v>2</v>
      </c>
      <c r="M1382" s="39" t="s">
        <v>413</v>
      </c>
      <c r="N1382" s="31" t="s">
        <v>414</v>
      </c>
      <c r="O1382" s="32" t="n">
        <v>2</v>
      </c>
      <c r="P1382" s="15" t="n">
        <f aca="false">IF(A1382="","",IF(O1382&lt;&gt;"",O1382,IF(L1382&lt;&gt;"",L1382,F1382)))</f>
        <v>2</v>
      </c>
    </row>
    <row r="1383" customFormat="false" ht="15" hidden="false" customHeight="true" outlineLevel="0" collapsed="false">
      <c r="A1383" s="26" t="s">
        <v>172</v>
      </c>
      <c r="B1383" s="26" t="s">
        <v>173</v>
      </c>
      <c r="C1383" s="14" t="n">
        <f aca="false">IF(A1383="","",IFERROR(VLOOKUP(A1383,'Recert Status'!$A$8:$C$400,3,FALSE()),""))</f>
        <v>46752</v>
      </c>
      <c r="D1383" s="18" t="s">
        <v>971</v>
      </c>
      <c r="E1383" s="26" t="s">
        <v>363</v>
      </c>
      <c r="F1383" s="27" t="n">
        <v>1</v>
      </c>
      <c r="G1383" s="28" t="n">
        <v>45766</v>
      </c>
      <c r="H1383" s="28" t="n">
        <v>45766</v>
      </c>
      <c r="I1383" s="18" t="s">
        <v>972</v>
      </c>
      <c r="J1383" s="26" t="s">
        <v>363</v>
      </c>
      <c r="K1383" s="18" t="s">
        <v>370</v>
      </c>
      <c r="L1383" s="27" t="n">
        <v>1</v>
      </c>
      <c r="M1383" s="29" t="s">
        <v>366</v>
      </c>
      <c r="N1383" s="18" t="s">
        <v>367</v>
      </c>
      <c r="O1383" s="27" t="n">
        <v>1</v>
      </c>
      <c r="P1383" s="15" t="n">
        <f aca="false">IF(A1383="","",IF(O1383&lt;&gt;"",O1383,IF(L1383&lt;&gt;"",L1383,F1383)))</f>
        <v>1</v>
      </c>
    </row>
    <row r="1384" customFormat="false" ht="15" hidden="false" customHeight="true" outlineLevel="0" collapsed="false">
      <c r="A1384" s="30" t="s">
        <v>172</v>
      </c>
      <c r="B1384" s="30" t="s">
        <v>173</v>
      </c>
      <c r="C1384" s="21" t="n">
        <f aca="false">IF(A1384="","",IFERROR(VLOOKUP(A1384,'Recert Status'!$A$8:$C$400,3,FALSE()),""))</f>
        <v>46752</v>
      </c>
      <c r="D1384" s="31" t="s">
        <v>973</v>
      </c>
      <c r="E1384" s="30" t="s">
        <v>363</v>
      </c>
      <c r="F1384" s="32" t="n">
        <v>1.5</v>
      </c>
      <c r="G1384" s="33" t="n">
        <v>46069</v>
      </c>
      <c r="H1384" s="33" t="n">
        <v>46069</v>
      </c>
      <c r="I1384" s="31" t="s">
        <v>974</v>
      </c>
      <c r="J1384" s="30" t="s">
        <v>363</v>
      </c>
      <c r="K1384" s="31" t="s">
        <v>975</v>
      </c>
      <c r="L1384" s="32" t="n">
        <v>1.5</v>
      </c>
      <c r="M1384" s="29" t="s">
        <v>366</v>
      </c>
      <c r="N1384" s="31" t="s">
        <v>367</v>
      </c>
      <c r="O1384" s="32" t="n">
        <v>1.5</v>
      </c>
      <c r="P1384" s="15" t="n">
        <f aca="false">IF(A1384="","",IF(O1384&lt;&gt;"",O1384,IF(L1384&lt;&gt;"",L1384,F1384)))</f>
        <v>1.5</v>
      </c>
    </row>
    <row r="1385" customFormat="false" ht="15" hidden="false" customHeight="true" outlineLevel="0" collapsed="false">
      <c r="A1385" s="26" t="s">
        <v>172</v>
      </c>
      <c r="B1385" s="26" t="s">
        <v>173</v>
      </c>
      <c r="C1385" s="14" t="n">
        <f aca="false">IF(A1385="","",IFERROR(VLOOKUP(A1385,'Recert Status'!$A$8:$C$400,3,FALSE()),""))</f>
        <v>46752</v>
      </c>
      <c r="D1385" s="18" t="s">
        <v>976</v>
      </c>
      <c r="E1385" s="26" t="s">
        <v>426</v>
      </c>
      <c r="F1385" s="27" t="n">
        <v>1</v>
      </c>
      <c r="G1385" s="28" t="n">
        <v>45724</v>
      </c>
      <c r="H1385" s="28" t="n">
        <v>45724</v>
      </c>
      <c r="I1385" s="18" t="s">
        <v>632</v>
      </c>
      <c r="J1385" s="26" t="s">
        <v>426</v>
      </c>
      <c r="K1385" s="18" t="s">
        <v>428</v>
      </c>
      <c r="L1385" s="27" t="n">
        <v>1</v>
      </c>
      <c r="M1385" s="41" t="s">
        <v>429</v>
      </c>
      <c r="N1385" s="18" t="s">
        <v>430</v>
      </c>
      <c r="O1385" s="27" t="n">
        <v>1</v>
      </c>
      <c r="P1385" s="15" t="n">
        <f aca="false">IF(A1385="","",IF(O1385&lt;&gt;"",O1385,IF(L1385&lt;&gt;"",L1385,F1385)))</f>
        <v>1</v>
      </c>
    </row>
    <row r="1386" customFormat="false" ht="15" hidden="false" customHeight="true" outlineLevel="0" collapsed="false">
      <c r="A1386" s="30" t="s">
        <v>172</v>
      </c>
      <c r="B1386" s="30" t="s">
        <v>173</v>
      </c>
      <c r="C1386" s="21" t="n">
        <f aca="false">IF(A1386="","",IFERROR(VLOOKUP(A1386,'Recert Status'!$A$8:$C$400,3,FALSE()),""))</f>
        <v>46752</v>
      </c>
      <c r="D1386" s="31" t="s">
        <v>977</v>
      </c>
      <c r="E1386" s="30" t="s">
        <v>426</v>
      </c>
      <c r="F1386" s="32" t="n">
        <v>2</v>
      </c>
      <c r="G1386" s="33" t="n">
        <v>45910</v>
      </c>
      <c r="H1386" s="33" t="n">
        <v>45910</v>
      </c>
      <c r="I1386" s="31" t="s">
        <v>978</v>
      </c>
      <c r="J1386" s="30" t="s">
        <v>426</v>
      </c>
      <c r="K1386" s="31" t="s">
        <v>495</v>
      </c>
      <c r="L1386" s="32" t="n">
        <v>2</v>
      </c>
      <c r="M1386" s="41" t="s">
        <v>429</v>
      </c>
      <c r="N1386" s="31" t="s">
        <v>430</v>
      </c>
      <c r="O1386" s="32" t="n">
        <v>2</v>
      </c>
      <c r="P1386" s="15" t="n">
        <f aca="false">IF(A1386="","",IF(O1386&lt;&gt;"",O1386,IF(L1386&lt;&gt;"",L1386,F1386)))</f>
        <v>2</v>
      </c>
    </row>
    <row r="1387" customFormat="false" ht="15" hidden="false" customHeight="true" outlineLevel="0" collapsed="false">
      <c r="A1387" s="26" t="s">
        <v>172</v>
      </c>
      <c r="B1387" s="26" t="s">
        <v>173</v>
      </c>
      <c r="C1387" s="14" t="n">
        <f aca="false">IF(A1387="","",IFERROR(VLOOKUP(A1387,'Recert Status'!$A$8:$C$400,3,FALSE()),""))</f>
        <v>46752</v>
      </c>
      <c r="D1387" s="18" t="s">
        <v>980</v>
      </c>
      <c r="E1387" s="26" t="n">
        <v>29784</v>
      </c>
      <c r="F1387" s="27" t="n">
        <v>1</v>
      </c>
      <c r="G1387" s="28" t="n">
        <v>45829</v>
      </c>
      <c r="H1387" s="28" t="n">
        <v>45829</v>
      </c>
      <c r="I1387" s="18" t="s">
        <v>981</v>
      </c>
      <c r="J1387" s="26" t="s">
        <v>435</v>
      </c>
      <c r="K1387" s="18" t="s">
        <v>468</v>
      </c>
      <c r="L1387" s="27" t="n">
        <v>1</v>
      </c>
      <c r="M1387" s="35" t="s">
        <v>386</v>
      </c>
      <c r="N1387" s="18" t="s">
        <v>387</v>
      </c>
      <c r="O1387" s="27" t="n">
        <v>1</v>
      </c>
      <c r="P1387" s="15" t="n">
        <f aca="false">IF(A1387="","",IF(O1387&lt;&gt;"",O1387,IF(L1387&lt;&gt;"",L1387,F1387)))</f>
        <v>1</v>
      </c>
    </row>
    <row r="1388" customFormat="false" ht="15" hidden="false" customHeight="true" outlineLevel="0" collapsed="false">
      <c r="A1388" s="30" t="s">
        <v>172</v>
      </c>
      <c r="B1388" s="30" t="s">
        <v>173</v>
      </c>
      <c r="C1388" s="21" t="n">
        <f aca="false">IF(A1388="","",IFERROR(VLOOKUP(A1388,'Recert Status'!$A$8:$C$400,3,FALSE()),""))</f>
        <v>46752</v>
      </c>
      <c r="D1388" s="31" t="s">
        <v>382</v>
      </c>
      <c r="E1388" s="30" t="n">
        <v>35513</v>
      </c>
      <c r="F1388" s="32" t="n">
        <v>2</v>
      </c>
      <c r="G1388" s="33" t="n">
        <v>45883</v>
      </c>
      <c r="H1388" s="33" t="n">
        <v>45883</v>
      </c>
      <c r="I1388" s="31" t="s">
        <v>553</v>
      </c>
      <c r="J1388" s="30" t="s">
        <v>384</v>
      </c>
      <c r="K1388" s="31" t="s">
        <v>385</v>
      </c>
      <c r="L1388" s="32" t="n">
        <v>2</v>
      </c>
      <c r="M1388" s="35" t="s">
        <v>386</v>
      </c>
      <c r="N1388" s="31" t="s">
        <v>387</v>
      </c>
      <c r="O1388" s="32" t="n">
        <v>2</v>
      </c>
      <c r="P1388" s="15" t="n">
        <f aca="false">IF(A1388="","",IF(O1388&lt;&gt;"",O1388,IF(L1388&lt;&gt;"",L1388,F1388)))</f>
        <v>2</v>
      </c>
    </row>
    <row r="1389" customFormat="false" ht="15" hidden="false" customHeight="true" outlineLevel="0" collapsed="false">
      <c r="A1389" s="26" t="s">
        <v>172</v>
      </c>
      <c r="B1389" s="26" t="s">
        <v>173</v>
      </c>
      <c r="C1389" s="14" t="n">
        <f aca="false">IF(A1389="","",IFERROR(VLOOKUP(A1389,'Recert Status'!$A$8:$C$400,3,FALSE()),""))</f>
        <v>46752</v>
      </c>
      <c r="D1389" s="18" t="s">
        <v>474</v>
      </c>
      <c r="E1389" s="26" t="s">
        <v>389</v>
      </c>
      <c r="F1389" s="27" t="n">
        <v>1</v>
      </c>
      <c r="G1389" s="28" t="n">
        <v>46204</v>
      </c>
      <c r="H1389" s="28" t="n">
        <v>46204</v>
      </c>
      <c r="I1389" s="18" t="s">
        <v>475</v>
      </c>
      <c r="J1389" s="26" t="s">
        <v>389</v>
      </c>
      <c r="K1389" s="18" t="s">
        <v>476</v>
      </c>
      <c r="L1389" s="27" t="n">
        <v>1</v>
      </c>
      <c r="M1389" s="35" t="s">
        <v>386</v>
      </c>
      <c r="N1389" s="18" t="s">
        <v>387</v>
      </c>
      <c r="O1389" s="27" t="n">
        <v>1</v>
      </c>
      <c r="P1389" s="15" t="n">
        <f aca="false">IF(A1389="","",IF(O1389&lt;&gt;"",O1389,IF(L1389&lt;&gt;"",L1389,F1389)))</f>
        <v>1</v>
      </c>
    </row>
    <row r="1390" customFormat="false" ht="15" hidden="false" customHeight="true" outlineLevel="0" collapsed="false">
      <c r="A1390" s="30" t="s">
        <v>172</v>
      </c>
      <c r="B1390" s="30" t="s">
        <v>173</v>
      </c>
      <c r="C1390" s="21" t="n">
        <f aca="false">IF(A1390="","",IFERROR(VLOOKUP(A1390,'Recert Status'!$A$8:$C$400,3,FALSE()),""))</f>
        <v>46752</v>
      </c>
      <c r="D1390" s="31" t="s">
        <v>973</v>
      </c>
      <c r="E1390" s="30" t="s">
        <v>452</v>
      </c>
      <c r="F1390" s="32" t="n">
        <v>3.5</v>
      </c>
      <c r="G1390" s="33" t="n">
        <v>46069</v>
      </c>
      <c r="H1390" s="33" t="n">
        <v>46069</v>
      </c>
      <c r="I1390" s="31" t="s">
        <v>982</v>
      </c>
      <c r="J1390" s="30" t="s">
        <v>452</v>
      </c>
      <c r="K1390" s="31" t="s">
        <v>385</v>
      </c>
      <c r="L1390" s="32" t="n">
        <v>3.5</v>
      </c>
      <c r="M1390" s="36" t="s">
        <v>396</v>
      </c>
      <c r="N1390" s="31" t="s">
        <v>397</v>
      </c>
      <c r="O1390" s="32" t="n">
        <v>3.5</v>
      </c>
      <c r="P1390" s="15" t="n">
        <f aca="false">IF(A1390="","",IF(O1390&lt;&gt;"",O1390,IF(L1390&lt;&gt;"",L1390,F1390)))</f>
        <v>3.5</v>
      </c>
    </row>
    <row r="1391" customFormat="false" ht="15" hidden="false" customHeight="true" outlineLevel="0" collapsed="false">
      <c r="A1391" s="26" t="s">
        <v>172</v>
      </c>
      <c r="B1391" s="26" t="s">
        <v>173</v>
      </c>
      <c r="C1391" s="14" t="n">
        <f aca="false">IF(A1391="","",IFERROR(VLOOKUP(A1391,'Recert Status'!$A$8:$C$400,3,FALSE()),""))</f>
        <v>46752</v>
      </c>
      <c r="D1391" s="18" t="s">
        <v>662</v>
      </c>
      <c r="E1391" s="26" t="s">
        <v>452</v>
      </c>
      <c r="F1391" s="27" t="n">
        <v>1</v>
      </c>
      <c r="G1391" s="28" t="n">
        <v>46111</v>
      </c>
      <c r="H1391" s="28" t="n">
        <v>46111</v>
      </c>
      <c r="I1391" s="18" t="s">
        <v>983</v>
      </c>
      <c r="J1391" s="26" t="s">
        <v>452</v>
      </c>
      <c r="K1391" s="18" t="s">
        <v>385</v>
      </c>
      <c r="L1391" s="27" t="n">
        <v>1</v>
      </c>
      <c r="M1391" s="36" t="s">
        <v>396</v>
      </c>
      <c r="N1391" s="18" t="s">
        <v>397</v>
      </c>
      <c r="O1391" s="27" t="n">
        <v>1</v>
      </c>
      <c r="P1391" s="15" t="n">
        <f aca="false">IF(A1391="","",IF(O1391&lt;&gt;"",O1391,IF(L1391&lt;&gt;"",L1391,F1391)))</f>
        <v>1</v>
      </c>
    </row>
    <row r="1392" customFormat="false" ht="15" hidden="false" customHeight="true" outlineLevel="0" collapsed="false">
      <c r="A1392" s="30" t="s">
        <v>172</v>
      </c>
      <c r="B1392" s="30" t="s">
        <v>173</v>
      </c>
      <c r="C1392" s="21" t="n">
        <f aca="false">IF(A1392="","",IFERROR(VLOOKUP(A1392,'Recert Status'!$A$8:$C$400,3,FALSE()),""))</f>
        <v>46752</v>
      </c>
      <c r="D1392" s="31" t="s">
        <v>732</v>
      </c>
      <c r="E1392" s="30" t="s">
        <v>452</v>
      </c>
      <c r="F1392" s="32" t="n">
        <v>1</v>
      </c>
      <c r="G1392" s="33" t="n">
        <v>46132</v>
      </c>
      <c r="H1392" s="33" t="n">
        <v>46132</v>
      </c>
      <c r="I1392" s="31" t="s">
        <v>984</v>
      </c>
      <c r="J1392" s="30" t="s">
        <v>452</v>
      </c>
      <c r="K1392" s="31" t="s">
        <v>385</v>
      </c>
      <c r="L1392" s="32" t="n">
        <v>1</v>
      </c>
      <c r="M1392" s="36" t="s">
        <v>396</v>
      </c>
      <c r="N1392" s="31" t="s">
        <v>397</v>
      </c>
      <c r="O1392" s="32" t="n">
        <v>1</v>
      </c>
      <c r="P1392" s="15" t="n">
        <f aca="false">IF(A1392="","",IF(O1392&lt;&gt;"",O1392,IF(L1392&lt;&gt;"",L1392,F1392)))</f>
        <v>1</v>
      </c>
    </row>
    <row r="1393" customFormat="false" ht="15" hidden="false" customHeight="true" outlineLevel="0" collapsed="false">
      <c r="A1393" s="26" t="s">
        <v>172</v>
      </c>
      <c r="B1393" s="26" t="s">
        <v>173</v>
      </c>
      <c r="C1393" s="14" t="n">
        <f aca="false">IF(A1393="","",IFERROR(VLOOKUP(A1393,'Recert Status'!$A$8:$C$400,3,FALSE()),""))</f>
        <v>46752</v>
      </c>
      <c r="D1393" s="18" t="s">
        <v>397</v>
      </c>
      <c r="E1393" s="26" t="s">
        <v>452</v>
      </c>
      <c r="F1393" s="27" t="n">
        <v>1</v>
      </c>
      <c r="G1393" s="28" t="n">
        <v>46231</v>
      </c>
      <c r="H1393" s="28" t="n">
        <v>46231</v>
      </c>
      <c r="I1393" s="18" t="s">
        <v>985</v>
      </c>
      <c r="J1393" s="26" t="s">
        <v>452</v>
      </c>
      <c r="K1393" s="18" t="s">
        <v>385</v>
      </c>
      <c r="L1393" s="27" t="n">
        <v>1</v>
      </c>
      <c r="M1393" s="36" t="s">
        <v>396</v>
      </c>
      <c r="N1393" s="18" t="s">
        <v>397</v>
      </c>
      <c r="O1393" s="27" t="n">
        <v>1</v>
      </c>
      <c r="P1393" s="15" t="n">
        <f aca="false">IF(A1393="","",IF(O1393&lt;&gt;"",O1393,IF(L1393&lt;&gt;"",L1393,F1393)))</f>
        <v>1</v>
      </c>
    </row>
    <row r="1394" customFormat="false" ht="15" hidden="false" customHeight="true" outlineLevel="0" collapsed="false">
      <c r="A1394" s="30" t="s">
        <v>172</v>
      </c>
      <c r="B1394" s="30" t="s">
        <v>173</v>
      </c>
      <c r="C1394" s="21" t="n">
        <f aca="false">IF(A1394="","",IFERROR(VLOOKUP(A1394,'Recert Status'!$A$8:$C$400,3,FALSE()),""))</f>
        <v>46752</v>
      </c>
      <c r="D1394" s="31" t="s">
        <v>415</v>
      </c>
      <c r="E1394" s="30" t="s">
        <v>416</v>
      </c>
      <c r="F1394" s="32" t="n">
        <v>1</v>
      </c>
      <c r="G1394" s="33" t="n">
        <v>45826</v>
      </c>
      <c r="H1394" s="33" t="n">
        <v>45826</v>
      </c>
      <c r="I1394" s="31" t="s">
        <v>986</v>
      </c>
      <c r="J1394" s="30" t="s">
        <v>416</v>
      </c>
      <c r="K1394" s="31" t="s">
        <v>523</v>
      </c>
      <c r="L1394" s="32" t="n">
        <v>1</v>
      </c>
      <c r="M1394" s="39" t="s">
        <v>413</v>
      </c>
      <c r="N1394" s="31" t="s">
        <v>414</v>
      </c>
      <c r="O1394" s="32" t="n">
        <v>1</v>
      </c>
      <c r="P1394" s="15" t="n">
        <f aca="false">IF(A1394="","",IF(O1394&lt;&gt;"",O1394,IF(L1394&lt;&gt;"",L1394,F1394)))</f>
        <v>1</v>
      </c>
    </row>
    <row r="1395" customFormat="false" ht="15" hidden="false" customHeight="true" outlineLevel="0" collapsed="false">
      <c r="A1395" s="26" t="s">
        <v>172</v>
      </c>
      <c r="B1395" s="26" t="s">
        <v>173</v>
      </c>
      <c r="C1395" s="14" t="n">
        <f aca="false">IF(A1395="","",IFERROR(VLOOKUP(A1395,'Recert Status'!$A$8:$C$400,3,FALSE()),""))</f>
        <v>46752</v>
      </c>
      <c r="D1395" s="18" t="s">
        <v>488</v>
      </c>
      <c r="E1395" s="26" t="s">
        <v>416</v>
      </c>
      <c r="F1395" s="27" t="n">
        <v>1</v>
      </c>
      <c r="G1395" s="28" t="n">
        <v>46132</v>
      </c>
      <c r="H1395" s="28" t="n">
        <v>46132</v>
      </c>
      <c r="I1395" s="18" t="s">
        <v>609</v>
      </c>
      <c r="J1395" s="26" t="s">
        <v>416</v>
      </c>
      <c r="K1395" s="18" t="s">
        <v>490</v>
      </c>
      <c r="L1395" s="27" t="n">
        <v>1</v>
      </c>
      <c r="M1395" s="39" t="s">
        <v>413</v>
      </c>
      <c r="N1395" s="18" t="s">
        <v>414</v>
      </c>
      <c r="O1395" s="27" t="n">
        <v>1</v>
      </c>
      <c r="P1395" s="15" t="n">
        <f aca="false">IF(A1395="","",IF(O1395&lt;&gt;"",O1395,IF(L1395&lt;&gt;"",L1395,F1395)))</f>
        <v>1</v>
      </c>
    </row>
    <row r="1396" customFormat="false" ht="15" hidden="false" customHeight="true" outlineLevel="0" collapsed="false">
      <c r="A1396" s="30" t="s">
        <v>172</v>
      </c>
      <c r="B1396" s="30" t="s">
        <v>173</v>
      </c>
      <c r="C1396" s="21" t="n">
        <f aca="false">IF(A1396="","",IFERROR(VLOOKUP(A1396,'Recert Status'!$A$8:$C$400,3,FALSE()),""))</f>
        <v>46752</v>
      </c>
      <c r="D1396" s="31" t="s">
        <v>414</v>
      </c>
      <c r="E1396" s="30" t="s">
        <v>416</v>
      </c>
      <c r="F1396" s="32" t="n">
        <v>1</v>
      </c>
      <c r="G1396" s="33" t="n">
        <v>46201</v>
      </c>
      <c r="H1396" s="33" t="n">
        <v>46201</v>
      </c>
      <c r="I1396" s="31" t="s">
        <v>1370</v>
      </c>
      <c r="J1396" s="30" t="s">
        <v>416</v>
      </c>
      <c r="K1396" s="31" t="s">
        <v>485</v>
      </c>
      <c r="L1396" s="32" t="n">
        <v>1</v>
      </c>
      <c r="M1396" s="39" t="s">
        <v>413</v>
      </c>
      <c r="N1396" s="31" t="s">
        <v>414</v>
      </c>
      <c r="O1396" s="32" t="n">
        <v>1</v>
      </c>
      <c r="P1396" s="15" t="n">
        <f aca="false">IF(A1396="","",IF(O1396&lt;&gt;"",O1396,IF(L1396&lt;&gt;"",L1396,F1396)))</f>
        <v>1</v>
      </c>
    </row>
    <row r="1397" customFormat="false" ht="15" hidden="false" customHeight="true" outlineLevel="0" collapsed="false">
      <c r="A1397" s="26" t="s">
        <v>172</v>
      </c>
      <c r="B1397" s="26" t="s">
        <v>173</v>
      </c>
      <c r="C1397" s="14" t="n">
        <f aca="false">IF(A1397="","",IFERROR(VLOOKUP(A1397,'Recert Status'!$A$8:$C$400,3,FALSE()),""))</f>
        <v>46752</v>
      </c>
      <c r="D1397" s="18" t="s">
        <v>414</v>
      </c>
      <c r="E1397" s="26" t="s">
        <v>416</v>
      </c>
      <c r="F1397" s="27" t="n">
        <v>2</v>
      </c>
      <c r="G1397" s="28" t="n">
        <v>46219</v>
      </c>
      <c r="H1397" s="28" t="n">
        <v>46219</v>
      </c>
      <c r="I1397" s="18" t="s">
        <v>567</v>
      </c>
      <c r="J1397" s="26" t="s">
        <v>416</v>
      </c>
      <c r="K1397" s="18" t="s">
        <v>418</v>
      </c>
      <c r="L1397" s="27" t="n">
        <v>2</v>
      </c>
      <c r="M1397" s="39" t="s">
        <v>413</v>
      </c>
      <c r="N1397" s="18" t="s">
        <v>414</v>
      </c>
      <c r="O1397" s="27" t="n">
        <v>2</v>
      </c>
      <c r="P1397" s="15" t="n">
        <f aca="false">IF(A1397="","",IF(O1397&lt;&gt;"",O1397,IF(L1397&lt;&gt;"",L1397,F1397)))</f>
        <v>2</v>
      </c>
    </row>
    <row r="1398" customFormat="false" ht="15" hidden="false" customHeight="true" outlineLevel="0" collapsed="false">
      <c r="A1398" s="30" t="s">
        <v>174</v>
      </c>
      <c r="B1398" s="30" t="s">
        <v>175</v>
      </c>
      <c r="C1398" s="21" t="n">
        <f aca="false">IF(A1398="","",IFERROR(VLOOKUP(A1398,'Recert Status'!$A$8:$C$400,3,FALSE()),""))</f>
        <v>46387</v>
      </c>
      <c r="D1398" s="31" t="s">
        <v>569</v>
      </c>
      <c r="E1398" s="30" t="s">
        <v>542</v>
      </c>
      <c r="F1398" s="32" t="n">
        <v>0.5</v>
      </c>
      <c r="G1398" s="33" t="n">
        <v>45673</v>
      </c>
      <c r="H1398" s="33" t="n">
        <v>45673</v>
      </c>
      <c r="I1398" s="31" t="s">
        <v>612</v>
      </c>
      <c r="J1398" s="30" t="s">
        <v>542</v>
      </c>
      <c r="K1398" s="31" t="s">
        <v>407</v>
      </c>
      <c r="L1398" s="32" t="n">
        <v>0.5</v>
      </c>
      <c r="M1398" s="40" t="s">
        <v>423</v>
      </c>
      <c r="N1398" s="31" t="s">
        <v>424</v>
      </c>
      <c r="O1398" s="32" t="n">
        <v>0.5</v>
      </c>
      <c r="P1398" s="15" t="n">
        <f aca="false">IF(A1398="","",IF(O1398&lt;&gt;"",O1398,IF(L1398&lt;&gt;"",L1398,F1398)))</f>
        <v>0.5</v>
      </c>
    </row>
    <row r="1399" customFormat="false" ht="15" hidden="false" customHeight="true" outlineLevel="0" collapsed="false">
      <c r="A1399" s="26" t="s">
        <v>174</v>
      </c>
      <c r="B1399" s="26" t="s">
        <v>175</v>
      </c>
      <c r="C1399" s="14" t="n">
        <f aca="false">IF(A1399="","",IFERROR(VLOOKUP(A1399,'Recert Status'!$A$8:$C$400,3,FALSE()),""))</f>
        <v>46387</v>
      </c>
      <c r="D1399" s="18" t="s">
        <v>762</v>
      </c>
      <c r="E1399" s="26" t="s">
        <v>426</v>
      </c>
      <c r="F1399" s="27" t="n">
        <v>1</v>
      </c>
      <c r="G1399" s="28" t="n">
        <v>46015</v>
      </c>
      <c r="H1399" s="28" t="n">
        <v>46015</v>
      </c>
      <c r="I1399" s="18" t="s">
        <v>763</v>
      </c>
      <c r="J1399" s="26" t="s">
        <v>426</v>
      </c>
      <c r="K1399" s="18" t="s">
        <v>428</v>
      </c>
      <c r="L1399" s="27" t="n">
        <v>1</v>
      </c>
      <c r="M1399" s="41" t="s">
        <v>429</v>
      </c>
      <c r="N1399" s="18" t="s">
        <v>430</v>
      </c>
      <c r="O1399" s="27" t="n">
        <v>1</v>
      </c>
      <c r="P1399" s="15" t="n">
        <f aca="false">IF(A1399="","",IF(O1399&lt;&gt;"",O1399,IF(L1399&lt;&gt;"",L1399,F1399)))</f>
        <v>1</v>
      </c>
    </row>
    <row r="1400" customFormat="false" ht="15" hidden="false" customHeight="true" outlineLevel="0" collapsed="false">
      <c r="A1400" s="30" t="s">
        <v>174</v>
      </c>
      <c r="B1400" s="30" t="s">
        <v>175</v>
      </c>
      <c r="C1400" s="21" t="n">
        <f aca="false">IF(A1400="","",IFERROR(VLOOKUP(A1400,'Recert Status'!$A$8:$C$400,3,FALSE()),""))</f>
        <v>46387</v>
      </c>
      <c r="D1400" s="31" t="s">
        <v>376</v>
      </c>
      <c r="E1400" s="30" t="s">
        <v>372</v>
      </c>
      <c r="F1400" s="32" t="n">
        <v>1</v>
      </c>
      <c r="G1400" s="33" t="n">
        <v>46258</v>
      </c>
      <c r="H1400" s="33" t="n">
        <v>46258</v>
      </c>
      <c r="I1400" s="31" t="s">
        <v>1367</v>
      </c>
      <c r="J1400" s="30" t="s">
        <v>372</v>
      </c>
      <c r="K1400" s="31" t="s">
        <v>374</v>
      </c>
      <c r="L1400" s="32" t="n">
        <v>1</v>
      </c>
      <c r="M1400" s="34" t="s">
        <v>375</v>
      </c>
      <c r="N1400" s="31" t="s">
        <v>376</v>
      </c>
      <c r="O1400" s="32" t="n">
        <v>1</v>
      </c>
      <c r="P1400" s="15" t="n">
        <f aca="false">IF(A1400="","",IF(O1400&lt;&gt;"",O1400,IF(L1400&lt;&gt;"",L1400,F1400)))</f>
        <v>1</v>
      </c>
    </row>
    <row r="1401" customFormat="false" ht="15" hidden="false" customHeight="true" outlineLevel="0" collapsed="false">
      <c r="A1401" s="26" t="s">
        <v>174</v>
      </c>
      <c r="B1401" s="26" t="s">
        <v>175</v>
      </c>
      <c r="C1401" s="14" t="n">
        <f aca="false">IF(A1401="","",IFERROR(VLOOKUP(A1401,'Recert Status'!$A$8:$C$400,3,FALSE()),""))</f>
        <v>46387</v>
      </c>
      <c r="D1401" s="18" t="s">
        <v>800</v>
      </c>
      <c r="E1401" s="26" t="s">
        <v>389</v>
      </c>
      <c r="F1401" s="27" t="n">
        <v>0.5</v>
      </c>
      <c r="G1401" s="28" t="n">
        <v>45838</v>
      </c>
      <c r="H1401" s="28" t="n">
        <v>45838</v>
      </c>
      <c r="I1401" s="18" t="s">
        <v>801</v>
      </c>
      <c r="J1401" s="26" t="s">
        <v>389</v>
      </c>
      <c r="K1401" s="18" t="s">
        <v>451</v>
      </c>
      <c r="L1401" s="27" t="n">
        <v>0.5</v>
      </c>
      <c r="M1401" s="35" t="s">
        <v>386</v>
      </c>
      <c r="N1401" s="18" t="s">
        <v>387</v>
      </c>
      <c r="O1401" s="27" t="n">
        <v>0.5</v>
      </c>
      <c r="P1401" s="15" t="n">
        <f aca="false">IF(A1401="","",IF(O1401&lt;&gt;"",O1401,IF(L1401&lt;&gt;"",L1401,F1401)))</f>
        <v>0.5</v>
      </c>
    </row>
    <row r="1402" customFormat="false" ht="15" hidden="false" customHeight="true" outlineLevel="0" collapsed="false">
      <c r="A1402" s="30" t="s">
        <v>174</v>
      </c>
      <c r="B1402" s="30" t="s">
        <v>175</v>
      </c>
      <c r="C1402" s="21" t="n">
        <f aca="false">IF(A1402="","",IFERROR(VLOOKUP(A1402,'Recert Status'!$A$8:$C$400,3,FALSE()),""))</f>
        <v>46387</v>
      </c>
      <c r="D1402" s="31" t="s">
        <v>382</v>
      </c>
      <c r="E1402" s="30" t="n">
        <v>35513</v>
      </c>
      <c r="F1402" s="32" t="n">
        <v>2</v>
      </c>
      <c r="G1402" s="33" t="n">
        <v>45883</v>
      </c>
      <c r="H1402" s="33" t="n">
        <v>45883</v>
      </c>
      <c r="I1402" s="31" t="s">
        <v>383</v>
      </c>
      <c r="J1402" s="30" t="s">
        <v>384</v>
      </c>
      <c r="K1402" s="31" t="s">
        <v>385</v>
      </c>
      <c r="L1402" s="32" t="n">
        <v>2</v>
      </c>
      <c r="M1402" s="35" t="s">
        <v>386</v>
      </c>
      <c r="N1402" s="31" t="s">
        <v>387</v>
      </c>
      <c r="O1402" s="32" t="n">
        <v>2</v>
      </c>
      <c r="P1402" s="15" t="n">
        <f aca="false">IF(A1402="","",IF(O1402&lt;&gt;"",O1402,IF(L1402&lt;&gt;"",L1402,F1402)))</f>
        <v>2</v>
      </c>
    </row>
    <row r="1403" customFormat="false" ht="15" hidden="false" customHeight="true" outlineLevel="0" collapsed="false">
      <c r="A1403" s="26" t="s">
        <v>174</v>
      </c>
      <c r="B1403" s="26" t="s">
        <v>175</v>
      </c>
      <c r="C1403" s="14" t="n">
        <f aca="false">IF(A1403="","",IFERROR(VLOOKUP(A1403,'Recert Status'!$A$8:$C$400,3,FALSE()),""))</f>
        <v>46387</v>
      </c>
      <c r="D1403" s="18" t="s">
        <v>682</v>
      </c>
      <c r="E1403" s="26" t="n">
        <v>29675</v>
      </c>
      <c r="F1403" s="27" t="n">
        <v>1</v>
      </c>
      <c r="G1403" s="28" t="n">
        <v>45985</v>
      </c>
      <c r="H1403" s="28" t="n">
        <v>45985</v>
      </c>
      <c r="I1403" s="18" t="s">
        <v>1074</v>
      </c>
      <c r="J1403" s="26" t="s">
        <v>406</v>
      </c>
      <c r="K1403" s="18" t="s">
        <v>446</v>
      </c>
      <c r="L1403" s="27" t="n">
        <v>1</v>
      </c>
      <c r="M1403" s="35" t="s">
        <v>386</v>
      </c>
      <c r="N1403" s="18" t="s">
        <v>387</v>
      </c>
      <c r="O1403" s="27" t="n">
        <v>1</v>
      </c>
      <c r="P1403" s="15" t="n">
        <f aca="false">IF(A1403="","",IF(O1403&lt;&gt;"",O1403,IF(L1403&lt;&gt;"",L1403,F1403)))</f>
        <v>1</v>
      </c>
    </row>
    <row r="1404" customFormat="false" ht="15" hidden="false" customHeight="true" outlineLevel="0" collapsed="false">
      <c r="A1404" s="30" t="s">
        <v>174</v>
      </c>
      <c r="B1404" s="30" t="s">
        <v>175</v>
      </c>
      <c r="C1404" s="21" t="n">
        <f aca="false">IF(A1404="","",IFERROR(VLOOKUP(A1404,'Recert Status'!$A$8:$C$400,3,FALSE()),""))</f>
        <v>46387</v>
      </c>
      <c r="D1404" s="31" t="s">
        <v>591</v>
      </c>
      <c r="E1404" s="30" t="s">
        <v>389</v>
      </c>
      <c r="F1404" s="32" t="n">
        <v>1</v>
      </c>
      <c r="G1404" s="33" t="n">
        <v>45994</v>
      </c>
      <c r="H1404" s="33" t="n">
        <v>45994</v>
      </c>
      <c r="I1404" s="31" t="s">
        <v>770</v>
      </c>
      <c r="J1404" s="30" t="s">
        <v>389</v>
      </c>
      <c r="K1404" s="31" t="s">
        <v>451</v>
      </c>
      <c r="L1404" s="32" t="n">
        <v>1</v>
      </c>
      <c r="M1404" s="35" t="s">
        <v>386</v>
      </c>
      <c r="N1404" s="31" t="s">
        <v>387</v>
      </c>
      <c r="O1404" s="32" t="n">
        <v>1</v>
      </c>
      <c r="P1404" s="15" t="n">
        <f aca="false">IF(A1404="","",IF(O1404&lt;&gt;"",O1404,IF(L1404&lt;&gt;"",L1404,F1404)))</f>
        <v>1</v>
      </c>
    </row>
    <row r="1405" customFormat="false" ht="15" hidden="false" customHeight="true" outlineLevel="0" collapsed="false">
      <c r="A1405" s="26" t="s">
        <v>174</v>
      </c>
      <c r="B1405" s="26" t="s">
        <v>175</v>
      </c>
      <c r="C1405" s="14" t="n">
        <f aca="false">IF(A1405="","",IFERROR(VLOOKUP(A1405,'Recert Status'!$A$8:$C$400,3,FALSE()),""))</f>
        <v>46387</v>
      </c>
      <c r="D1405" s="18" t="s">
        <v>387</v>
      </c>
      <c r="E1405" s="26" t="s">
        <v>389</v>
      </c>
      <c r="F1405" s="27" t="n">
        <v>0.5</v>
      </c>
      <c r="G1405" s="28" t="n">
        <v>46267</v>
      </c>
      <c r="H1405" s="28" t="n">
        <v>46267</v>
      </c>
      <c r="I1405" s="18" t="s">
        <v>1371</v>
      </c>
      <c r="J1405" s="26" t="s">
        <v>389</v>
      </c>
      <c r="K1405" s="18" t="s">
        <v>451</v>
      </c>
      <c r="L1405" s="27" t="n">
        <v>0.5</v>
      </c>
      <c r="M1405" s="35" t="s">
        <v>386</v>
      </c>
      <c r="N1405" s="18" t="s">
        <v>387</v>
      </c>
      <c r="O1405" s="27" t="n">
        <v>0.5</v>
      </c>
      <c r="P1405" s="15" t="n">
        <f aca="false">IF(A1405="","",IF(O1405&lt;&gt;"",O1405,IF(L1405&lt;&gt;"",L1405,F1405)))</f>
        <v>0.5</v>
      </c>
    </row>
    <row r="1406" customFormat="false" ht="15" hidden="false" customHeight="true" outlineLevel="0" collapsed="false">
      <c r="A1406" s="30" t="s">
        <v>174</v>
      </c>
      <c r="B1406" s="30" t="s">
        <v>175</v>
      </c>
      <c r="C1406" s="21" t="n">
        <f aca="false">IF(A1406="","",IFERROR(VLOOKUP(A1406,'Recert Status'!$A$8:$C$400,3,FALSE()),""))</f>
        <v>46387</v>
      </c>
      <c r="D1406" s="31" t="s">
        <v>387</v>
      </c>
      <c r="E1406" s="30" t="s">
        <v>389</v>
      </c>
      <c r="F1406" s="32" t="n">
        <v>1</v>
      </c>
      <c r="G1406" s="33" t="n">
        <v>46267</v>
      </c>
      <c r="H1406" s="33" t="n">
        <v>46267</v>
      </c>
      <c r="I1406" s="31" t="s">
        <v>1372</v>
      </c>
      <c r="J1406" s="30" t="s">
        <v>389</v>
      </c>
      <c r="K1406" s="31" t="s">
        <v>451</v>
      </c>
      <c r="L1406" s="32" t="n">
        <v>1</v>
      </c>
      <c r="M1406" s="35" t="s">
        <v>386</v>
      </c>
      <c r="N1406" s="31" t="s">
        <v>387</v>
      </c>
      <c r="O1406" s="32" t="n">
        <v>1</v>
      </c>
      <c r="P1406" s="15" t="n">
        <f aca="false">IF(A1406="","",IF(O1406&lt;&gt;"",O1406,IF(L1406&lt;&gt;"",L1406,F1406)))</f>
        <v>1</v>
      </c>
    </row>
    <row r="1407" customFormat="false" ht="15" hidden="false" customHeight="true" outlineLevel="0" collapsed="false">
      <c r="A1407" s="26" t="s">
        <v>174</v>
      </c>
      <c r="B1407" s="26" t="s">
        <v>175</v>
      </c>
      <c r="C1407" s="14" t="n">
        <f aca="false">IF(A1407="","",IFERROR(VLOOKUP(A1407,'Recert Status'!$A$8:$C$400,3,FALSE()),""))</f>
        <v>46387</v>
      </c>
      <c r="D1407" s="18" t="s">
        <v>397</v>
      </c>
      <c r="E1407" s="26" t="s">
        <v>452</v>
      </c>
      <c r="F1407" s="27" t="n">
        <v>1</v>
      </c>
      <c r="G1407" s="28" t="n">
        <v>46246</v>
      </c>
      <c r="H1407" s="28" t="n">
        <v>46246</v>
      </c>
      <c r="I1407" s="18" t="s">
        <v>478</v>
      </c>
      <c r="J1407" s="26" t="s">
        <v>452</v>
      </c>
      <c r="K1407" s="18" t="s">
        <v>385</v>
      </c>
      <c r="L1407" s="27" t="n">
        <v>1</v>
      </c>
      <c r="M1407" s="36" t="s">
        <v>396</v>
      </c>
      <c r="N1407" s="18" t="s">
        <v>397</v>
      </c>
      <c r="O1407" s="27" t="n">
        <v>1</v>
      </c>
      <c r="P1407" s="15" t="n">
        <f aca="false">IF(A1407="","",IF(O1407&lt;&gt;"",O1407,IF(L1407&lt;&gt;"",L1407,F1407)))</f>
        <v>1</v>
      </c>
    </row>
    <row r="1408" customFormat="false" ht="15" hidden="false" customHeight="true" outlineLevel="0" collapsed="false">
      <c r="A1408" s="30" t="s">
        <v>174</v>
      </c>
      <c r="B1408" s="30" t="s">
        <v>175</v>
      </c>
      <c r="C1408" s="21" t="n">
        <f aca="false">IF(A1408="","",IFERROR(VLOOKUP(A1408,'Recert Status'!$A$8:$C$400,3,FALSE()),""))</f>
        <v>46387</v>
      </c>
      <c r="D1408" s="31" t="s">
        <v>717</v>
      </c>
      <c r="E1408" s="30" t="s">
        <v>416</v>
      </c>
      <c r="F1408" s="32" t="n">
        <v>1</v>
      </c>
      <c r="G1408" s="33" t="n">
        <v>45826</v>
      </c>
      <c r="H1408" s="33" t="n">
        <v>45826</v>
      </c>
      <c r="I1408" s="31" t="s">
        <v>821</v>
      </c>
      <c r="J1408" s="30" t="s">
        <v>416</v>
      </c>
      <c r="K1408" s="31" t="s">
        <v>418</v>
      </c>
      <c r="L1408" s="32" t="n">
        <v>1</v>
      </c>
      <c r="M1408" s="39" t="s">
        <v>413</v>
      </c>
      <c r="N1408" s="31" t="s">
        <v>414</v>
      </c>
      <c r="O1408" s="32" t="n">
        <v>1</v>
      </c>
      <c r="P1408" s="15" t="n">
        <f aca="false">IF(A1408="","",IF(O1408&lt;&gt;"",O1408,IF(L1408&lt;&gt;"",L1408,F1408)))</f>
        <v>1</v>
      </c>
    </row>
    <row r="1409" customFormat="false" ht="15" hidden="false" customHeight="true" outlineLevel="0" collapsed="false">
      <c r="A1409" s="26" t="s">
        <v>174</v>
      </c>
      <c r="B1409" s="26" t="s">
        <v>175</v>
      </c>
      <c r="C1409" s="14" t="n">
        <f aca="false">IF(A1409="","",IFERROR(VLOOKUP(A1409,'Recert Status'!$A$8:$C$400,3,FALSE()),""))</f>
        <v>46387</v>
      </c>
      <c r="D1409" s="18" t="s">
        <v>486</v>
      </c>
      <c r="E1409" s="26" t="s">
        <v>416</v>
      </c>
      <c r="F1409" s="27" t="n">
        <v>2</v>
      </c>
      <c r="G1409" s="28" t="n">
        <v>45859</v>
      </c>
      <c r="H1409" s="28" t="n">
        <v>45859</v>
      </c>
      <c r="I1409" s="18" t="s">
        <v>487</v>
      </c>
      <c r="J1409" s="26" t="s">
        <v>416</v>
      </c>
      <c r="K1409" s="18" t="s">
        <v>418</v>
      </c>
      <c r="L1409" s="27" t="n">
        <v>2</v>
      </c>
      <c r="M1409" s="39" t="s">
        <v>413</v>
      </c>
      <c r="N1409" s="18" t="s">
        <v>414</v>
      </c>
      <c r="O1409" s="27" t="n">
        <v>2</v>
      </c>
      <c r="P1409" s="15" t="n">
        <f aca="false">IF(A1409="","",IF(O1409&lt;&gt;"",O1409,IF(L1409&lt;&gt;"",L1409,F1409)))</f>
        <v>2</v>
      </c>
    </row>
    <row r="1410" customFormat="false" ht="15" hidden="false" customHeight="true" outlineLevel="0" collapsed="false">
      <c r="A1410" s="30" t="s">
        <v>174</v>
      </c>
      <c r="B1410" s="30" t="s">
        <v>175</v>
      </c>
      <c r="C1410" s="21" t="n">
        <f aca="false">IF(A1410="","",IFERROR(VLOOKUP(A1410,'Recert Status'!$A$8:$C$400,3,FALSE()),""))</f>
        <v>46387</v>
      </c>
      <c r="D1410" s="31" t="s">
        <v>488</v>
      </c>
      <c r="E1410" s="30" t="s">
        <v>416</v>
      </c>
      <c r="F1410" s="32" t="n">
        <v>1</v>
      </c>
      <c r="G1410" s="33" t="n">
        <v>46132</v>
      </c>
      <c r="H1410" s="33" t="n">
        <v>46132</v>
      </c>
      <c r="I1410" s="31" t="s">
        <v>609</v>
      </c>
      <c r="J1410" s="30" t="s">
        <v>416</v>
      </c>
      <c r="K1410" s="31" t="s">
        <v>490</v>
      </c>
      <c r="L1410" s="32" t="n">
        <v>1</v>
      </c>
      <c r="M1410" s="39" t="s">
        <v>413</v>
      </c>
      <c r="N1410" s="31" t="s">
        <v>414</v>
      </c>
      <c r="O1410" s="32" t="n">
        <v>1</v>
      </c>
      <c r="P1410" s="15" t="n">
        <f aca="false">IF(A1410="","",IF(O1410&lt;&gt;"",O1410,IF(L1410&lt;&gt;"",L1410,F1410)))</f>
        <v>1</v>
      </c>
    </row>
    <row r="1411" customFormat="false" ht="15" hidden="false" customHeight="true" outlineLevel="0" collapsed="false">
      <c r="A1411" s="26" t="s">
        <v>174</v>
      </c>
      <c r="B1411" s="26" t="s">
        <v>175</v>
      </c>
      <c r="C1411" s="14" t="n">
        <f aca="false">IF(A1411="","",IFERROR(VLOOKUP(A1411,'Recert Status'!$A$8:$C$400,3,FALSE()),""))</f>
        <v>46387</v>
      </c>
      <c r="D1411" s="18" t="s">
        <v>414</v>
      </c>
      <c r="E1411" s="26" t="s">
        <v>416</v>
      </c>
      <c r="F1411" s="27" t="n">
        <v>2</v>
      </c>
      <c r="G1411" s="28" t="n">
        <v>46219</v>
      </c>
      <c r="H1411" s="28" t="n">
        <v>46219</v>
      </c>
      <c r="I1411" s="18" t="s">
        <v>567</v>
      </c>
      <c r="J1411" s="26" t="s">
        <v>416</v>
      </c>
      <c r="K1411" s="18" t="s">
        <v>418</v>
      </c>
      <c r="L1411" s="27" t="n">
        <v>2</v>
      </c>
      <c r="M1411" s="39" t="s">
        <v>413</v>
      </c>
      <c r="N1411" s="18" t="s">
        <v>414</v>
      </c>
      <c r="O1411" s="27" t="n">
        <v>2</v>
      </c>
      <c r="P1411" s="15" t="n">
        <f aca="false">IF(A1411="","",IF(O1411&lt;&gt;"",O1411,IF(L1411&lt;&gt;"",L1411,F1411)))</f>
        <v>2</v>
      </c>
    </row>
    <row r="1412" customFormat="false" ht="15" hidden="false" customHeight="true" outlineLevel="0" collapsed="false">
      <c r="A1412" s="30" t="s">
        <v>176</v>
      </c>
      <c r="B1412" s="30"/>
      <c r="C1412" s="21" t="n">
        <f aca="false">IF(A1412="","",IFERROR(VLOOKUP(A1412,'Recert Status'!$A$8:$C$400,3,FALSE()),""))</f>
        <v>0</v>
      </c>
      <c r="D1412" s="31" t="s">
        <v>811</v>
      </c>
      <c r="E1412" s="30" t="s">
        <v>363</v>
      </c>
      <c r="F1412" s="32" t="n">
        <v>1</v>
      </c>
      <c r="G1412" s="33" t="n">
        <v>45783</v>
      </c>
      <c r="H1412" s="33" t="n">
        <v>45783</v>
      </c>
      <c r="I1412" s="31" t="s">
        <v>812</v>
      </c>
      <c r="J1412" s="30" t="s">
        <v>363</v>
      </c>
      <c r="K1412" s="31" t="s">
        <v>813</v>
      </c>
      <c r="L1412" s="32" t="n">
        <v>1</v>
      </c>
      <c r="M1412" s="29" t="s">
        <v>366</v>
      </c>
      <c r="N1412" s="31" t="s">
        <v>367</v>
      </c>
      <c r="O1412" s="32" t="n">
        <v>1</v>
      </c>
      <c r="P1412" s="15" t="n">
        <f aca="false">IF(A1412="","",IF(O1412&lt;&gt;"",O1412,IF(L1412&lt;&gt;"",L1412,F1412)))</f>
        <v>1</v>
      </c>
    </row>
    <row r="1413" customFormat="false" ht="15" hidden="false" customHeight="true" outlineLevel="0" collapsed="false">
      <c r="A1413" s="26" t="s">
        <v>176</v>
      </c>
      <c r="B1413" s="26"/>
      <c r="C1413" s="14" t="n">
        <f aca="false">IF(A1413="","",IFERROR(VLOOKUP(A1413,'Recert Status'!$A$8:$C$400,3,FALSE()),""))</f>
        <v>0</v>
      </c>
      <c r="D1413" s="18" t="s">
        <v>1281</v>
      </c>
      <c r="E1413" s="26" t="s">
        <v>363</v>
      </c>
      <c r="F1413" s="27" t="n">
        <v>1</v>
      </c>
      <c r="G1413" s="28" t="n">
        <v>45912</v>
      </c>
      <c r="H1413" s="28" t="n">
        <v>45912</v>
      </c>
      <c r="I1413" s="18" t="s">
        <v>1282</v>
      </c>
      <c r="J1413" s="26" t="s">
        <v>363</v>
      </c>
      <c r="K1413" s="18" t="s">
        <v>813</v>
      </c>
      <c r="L1413" s="27" t="n">
        <v>1</v>
      </c>
      <c r="M1413" s="29" t="s">
        <v>366</v>
      </c>
      <c r="N1413" s="18" t="s">
        <v>367</v>
      </c>
      <c r="O1413" s="27" t="n">
        <v>1</v>
      </c>
      <c r="P1413" s="15" t="n">
        <f aca="false">IF(A1413="","",IF(O1413&lt;&gt;"",O1413,IF(L1413&lt;&gt;"",L1413,F1413)))</f>
        <v>1</v>
      </c>
    </row>
    <row r="1414" customFormat="false" ht="15" hidden="false" customHeight="true" outlineLevel="0" collapsed="false">
      <c r="A1414" s="30" t="s">
        <v>176</v>
      </c>
      <c r="B1414" s="30"/>
      <c r="C1414" s="21" t="n">
        <f aca="false">IF(A1414="","",IFERROR(VLOOKUP(A1414,'Recert Status'!$A$8:$C$400,3,FALSE()),""))</f>
        <v>0</v>
      </c>
      <c r="D1414" s="31" t="s">
        <v>367</v>
      </c>
      <c r="E1414" s="30" t="s">
        <v>363</v>
      </c>
      <c r="F1414" s="32" t="n">
        <v>1</v>
      </c>
      <c r="G1414" s="33" t="n">
        <v>46224</v>
      </c>
      <c r="H1414" s="33" t="n">
        <v>46224</v>
      </c>
      <c r="I1414" s="31" t="s">
        <v>1035</v>
      </c>
      <c r="J1414" s="30" t="s">
        <v>363</v>
      </c>
      <c r="K1414" s="31" t="s">
        <v>1036</v>
      </c>
      <c r="L1414" s="32" t="n">
        <v>1</v>
      </c>
      <c r="M1414" s="29" t="s">
        <v>366</v>
      </c>
      <c r="N1414" s="31" t="s">
        <v>367</v>
      </c>
      <c r="O1414" s="32" t="n">
        <v>1</v>
      </c>
      <c r="P1414" s="15" t="n">
        <f aca="false">IF(A1414="","",IF(O1414&lt;&gt;"",O1414,IF(L1414&lt;&gt;"",L1414,F1414)))</f>
        <v>1</v>
      </c>
    </row>
    <row r="1415" customFormat="false" ht="15" hidden="false" customHeight="true" outlineLevel="0" collapsed="false">
      <c r="A1415" s="26" t="s">
        <v>176</v>
      </c>
      <c r="B1415" s="26"/>
      <c r="C1415" s="14" t="n">
        <f aca="false">IF(A1415="","",IFERROR(VLOOKUP(A1415,'Recert Status'!$A$8:$C$400,3,FALSE()),""))</f>
        <v>0</v>
      </c>
      <c r="D1415" s="18" t="s">
        <v>1174</v>
      </c>
      <c r="E1415" s="26" t="s">
        <v>542</v>
      </c>
      <c r="F1415" s="27" t="n">
        <v>1</v>
      </c>
      <c r="G1415" s="28" t="n">
        <v>45783</v>
      </c>
      <c r="H1415" s="28" t="n">
        <v>45783</v>
      </c>
      <c r="I1415" s="18" t="s">
        <v>1175</v>
      </c>
      <c r="J1415" s="26" t="s">
        <v>542</v>
      </c>
      <c r="K1415" s="18" t="s">
        <v>422</v>
      </c>
      <c r="L1415" s="27" t="n">
        <v>1</v>
      </c>
      <c r="M1415" s="40" t="s">
        <v>423</v>
      </c>
      <c r="N1415" s="18" t="s">
        <v>424</v>
      </c>
      <c r="O1415" s="27" t="n">
        <v>1</v>
      </c>
      <c r="P1415" s="15" t="n">
        <f aca="false">IF(A1415="","",IF(O1415&lt;&gt;"",O1415,IF(L1415&lt;&gt;"",L1415,F1415)))</f>
        <v>1</v>
      </c>
    </row>
    <row r="1416" customFormat="false" ht="15" hidden="false" customHeight="true" outlineLevel="0" collapsed="false">
      <c r="A1416" s="30" t="s">
        <v>176</v>
      </c>
      <c r="B1416" s="30"/>
      <c r="C1416" s="21" t="n">
        <f aca="false">IF(A1416="","",IFERROR(VLOOKUP(A1416,'Recert Status'!$A$8:$C$400,3,FALSE()),""))</f>
        <v>0</v>
      </c>
      <c r="D1416" s="31" t="s">
        <v>865</v>
      </c>
      <c r="E1416" s="30" t="s">
        <v>542</v>
      </c>
      <c r="F1416" s="32" t="n">
        <v>1</v>
      </c>
      <c r="G1416" s="33" t="n">
        <v>46056</v>
      </c>
      <c r="H1416" s="33" t="n">
        <v>46056</v>
      </c>
      <c r="I1416" s="31" t="s">
        <v>866</v>
      </c>
      <c r="J1416" s="30" t="s">
        <v>542</v>
      </c>
      <c r="K1416" s="31" t="s">
        <v>422</v>
      </c>
      <c r="L1416" s="32" t="n">
        <v>1</v>
      </c>
      <c r="M1416" s="40" t="s">
        <v>423</v>
      </c>
      <c r="N1416" s="31" t="s">
        <v>424</v>
      </c>
      <c r="O1416" s="32" t="n">
        <v>1</v>
      </c>
      <c r="P1416" s="15" t="n">
        <f aca="false">IF(A1416="","",IF(O1416&lt;&gt;"",O1416,IF(L1416&lt;&gt;"",L1416,F1416)))</f>
        <v>1</v>
      </c>
    </row>
    <row r="1417" customFormat="false" ht="15" hidden="false" customHeight="true" outlineLevel="0" collapsed="false">
      <c r="A1417" s="26" t="s">
        <v>176</v>
      </c>
      <c r="B1417" s="26"/>
      <c r="C1417" s="14" t="n">
        <f aca="false">IF(A1417="","",IFERROR(VLOOKUP(A1417,'Recert Status'!$A$8:$C$400,3,FALSE()),""))</f>
        <v>0</v>
      </c>
      <c r="D1417" s="18" t="s">
        <v>1283</v>
      </c>
      <c r="E1417" s="26" t="s">
        <v>426</v>
      </c>
      <c r="F1417" s="27" t="n">
        <v>1</v>
      </c>
      <c r="G1417" s="28" t="n">
        <v>45912</v>
      </c>
      <c r="H1417" s="28" t="n">
        <v>45912</v>
      </c>
      <c r="I1417" s="18" t="s">
        <v>1284</v>
      </c>
      <c r="J1417" s="26" t="s">
        <v>426</v>
      </c>
      <c r="K1417" s="18" t="s">
        <v>526</v>
      </c>
      <c r="L1417" s="27" t="n">
        <v>1</v>
      </c>
      <c r="M1417" s="41" t="s">
        <v>429</v>
      </c>
      <c r="N1417" s="18" t="s">
        <v>430</v>
      </c>
      <c r="O1417" s="27" t="n">
        <v>1</v>
      </c>
      <c r="P1417" s="15" t="n">
        <f aca="false">IF(A1417="","",IF(O1417&lt;&gt;"",O1417,IF(L1417&lt;&gt;"",L1417,F1417)))</f>
        <v>1</v>
      </c>
    </row>
    <row r="1418" customFormat="false" ht="15" hidden="false" customHeight="true" outlineLevel="0" collapsed="false">
      <c r="A1418" s="30" t="s">
        <v>176</v>
      </c>
      <c r="B1418" s="30"/>
      <c r="C1418" s="21" t="n">
        <f aca="false">IF(A1418="","",IFERROR(VLOOKUP(A1418,'Recert Status'!$A$8:$C$400,3,FALSE()),""))</f>
        <v>0</v>
      </c>
      <c r="D1418" s="31" t="s">
        <v>1024</v>
      </c>
      <c r="E1418" s="30" t="n">
        <v>57433</v>
      </c>
      <c r="F1418" s="32" t="n">
        <v>2</v>
      </c>
      <c r="G1418" s="33" t="n">
        <v>45960</v>
      </c>
      <c r="H1418" s="33" t="n">
        <v>45960</v>
      </c>
      <c r="I1418" s="31" t="s">
        <v>1025</v>
      </c>
      <c r="J1418" s="30" t="s">
        <v>421</v>
      </c>
      <c r="K1418" s="31" t="s">
        <v>428</v>
      </c>
      <c r="L1418" s="32" t="n">
        <v>2</v>
      </c>
      <c r="M1418" s="41" t="s">
        <v>429</v>
      </c>
      <c r="N1418" s="31" t="s">
        <v>430</v>
      </c>
      <c r="O1418" s="32" t="n">
        <v>2</v>
      </c>
      <c r="P1418" s="15" t="n">
        <f aca="false">IF(A1418="","",IF(O1418&lt;&gt;"",O1418,IF(L1418&lt;&gt;"",L1418,F1418)))</f>
        <v>2</v>
      </c>
    </row>
    <row r="1419" customFormat="false" ht="15" hidden="false" customHeight="true" outlineLevel="0" collapsed="false">
      <c r="A1419" s="26" t="s">
        <v>176</v>
      </c>
      <c r="B1419" s="26"/>
      <c r="C1419" s="14" t="n">
        <f aca="false">IF(A1419="","",IFERROR(VLOOKUP(A1419,'Recert Status'!$A$8:$C$400,3,FALSE()),""))</f>
        <v>0</v>
      </c>
      <c r="D1419" s="18" t="s">
        <v>430</v>
      </c>
      <c r="E1419" s="26" t="s">
        <v>426</v>
      </c>
      <c r="F1419" s="27" t="n">
        <v>1</v>
      </c>
      <c r="G1419" s="28" t="n">
        <v>46224</v>
      </c>
      <c r="H1419" s="28" t="n">
        <v>46224</v>
      </c>
      <c r="I1419" s="18" t="s">
        <v>1037</v>
      </c>
      <c r="J1419" s="26" t="s">
        <v>426</v>
      </c>
      <c r="K1419" s="18" t="s">
        <v>428</v>
      </c>
      <c r="L1419" s="27" t="n">
        <v>1</v>
      </c>
      <c r="M1419" s="41" t="s">
        <v>429</v>
      </c>
      <c r="N1419" s="18" t="s">
        <v>430</v>
      </c>
      <c r="O1419" s="27" t="n">
        <v>1</v>
      </c>
      <c r="P1419" s="15" t="n">
        <f aca="false">IF(A1419="","",IF(O1419&lt;&gt;"",O1419,IF(L1419&lt;&gt;"",L1419,F1419)))</f>
        <v>1</v>
      </c>
    </row>
    <row r="1420" customFormat="false" ht="15" hidden="false" customHeight="true" outlineLevel="0" collapsed="false">
      <c r="A1420" s="30" t="s">
        <v>176</v>
      </c>
      <c r="B1420" s="30"/>
      <c r="C1420" s="21" t="n">
        <f aca="false">IF(A1420="","",IFERROR(VLOOKUP(A1420,'Recert Status'!$A$8:$C$400,3,FALSE()),""))</f>
        <v>0</v>
      </c>
      <c r="D1420" s="31" t="s">
        <v>640</v>
      </c>
      <c r="E1420" s="30" t="n">
        <v>29740</v>
      </c>
      <c r="F1420" s="32" t="n">
        <v>0.5</v>
      </c>
      <c r="G1420" s="33" t="n">
        <v>45678</v>
      </c>
      <c r="H1420" s="33" t="n">
        <v>45678</v>
      </c>
      <c r="I1420" s="31" t="s">
        <v>641</v>
      </c>
      <c r="J1420" s="30" t="s">
        <v>394</v>
      </c>
      <c r="K1420" s="31" t="s">
        <v>476</v>
      </c>
      <c r="L1420" s="32" t="n">
        <v>0.5</v>
      </c>
      <c r="M1420" s="35" t="s">
        <v>386</v>
      </c>
      <c r="N1420" s="31" t="s">
        <v>387</v>
      </c>
      <c r="O1420" s="32" t="n">
        <v>0.5</v>
      </c>
      <c r="P1420" s="15" t="n">
        <f aca="false">IF(A1420="","",IF(O1420&lt;&gt;"",O1420,IF(L1420&lt;&gt;"",L1420,F1420)))</f>
        <v>0.5</v>
      </c>
    </row>
    <row r="1421" customFormat="false" ht="15" hidden="false" customHeight="true" outlineLevel="0" collapsed="false">
      <c r="A1421" s="26" t="s">
        <v>176</v>
      </c>
      <c r="B1421" s="26"/>
      <c r="C1421" s="14" t="n">
        <f aca="false">IF(A1421="","",IFERROR(VLOOKUP(A1421,'Recert Status'!$A$8:$C$400,3,FALSE()),""))</f>
        <v>0</v>
      </c>
      <c r="D1421" s="18" t="s">
        <v>1180</v>
      </c>
      <c r="E1421" s="26" t="n">
        <v>29735</v>
      </c>
      <c r="F1421" s="27" t="n">
        <v>0.5</v>
      </c>
      <c r="G1421" s="28" t="n">
        <v>45720</v>
      </c>
      <c r="H1421" s="28" t="n">
        <v>45720</v>
      </c>
      <c r="I1421" s="18" t="s">
        <v>1181</v>
      </c>
      <c r="J1421" s="26" t="s">
        <v>599</v>
      </c>
      <c r="K1421" s="18" t="s">
        <v>600</v>
      </c>
      <c r="L1421" s="27" t="n">
        <v>0.5</v>
      </c>
      <c r="M1421" s="35" t="s">
        <v>386</v>
      </c>
      <c r="N1421" s="18" t="s">
        <v>387</v>
      </c>
      <c r="O1421" s="27" t="n">
        <v>0.5</v>
      </c>
      <c r="P1421" s="15" t="n">
        <f aca="false">IF(A1421="","",IF(O1421&lt;&gt;"",O1421,IF(L1421&lt;&gt;"",L1421,F1421)))</f>
        <v>0.5</v>
      </c>
    </row>
    <row r="1422" customFormat="false" ht="15" hidden="false" customHeight="true" outlineLevel="0" collapsed="false">
      <c r="A1422" s="30" t="s">
        <v>176</v>
      </c>
      <c r="B1422" s="30"/>
      <c r="C1422" s="21" t="n">
        <f aca="false">IF(A1422="","",IFERROR(VLOOKUP(A1422,'Recert Status'!$A$8:$C$400,3,FALSE()),""))</f>
        <v>0</v>
      </c>
      <c r="D1422" s="31" t="s">
        <v>682</v>
      </c>
      <c r="E1422" s="30" t="n">
        <v>29675</v>
      </c>
      <c r="F1422" s="32" t="n">
        <v>1</v>
      </c>
      <c r="G1422" s="33" t="n">
        <v>45987</v>
      </c>
      <c r="H1422" s="33" t="n">
        <v>45987</v>
      </c>
      <c r="I1422" s="31" t="s">
        <v>683</v>
      </c>
      <c r="J1422" s="30" t="s">
        <v>406</v>
      </c>
      <c r="K1422" s="31" t="s">
        <v>446</v>
      </c>
      <c r="L1422" s="32" t="n">
        <v>1</v>
      </c>
      <c r="M1422" s="35" t="s">
        <v>386</v>
      </c>
      <c r="N1422" s="31" t="s">
        <v>387</v>
      </c>
      <c r="O1422" s="32" t="n">
        <v>1</v>
      </c>
      <c r="P1422" s="15" t="n">
        <f aca="false">IF(A1422="","",IF(O1422&lt;&gt;"",O1422,IF(L1422&lt;&gt;"",L1422,F1422)))</f>
        <v>1</v>
      </c>
    </row>
    <row r="1423" customFormat="false" ht="15" hidden="false" customHeight="true" outlineLevel="0" collapsed="false">
      <c r="A1423" s="26" t="s">
        <v>176</v>
      </c>
      <c r="B1423" s="26"/>
      <c r="C1423" s="14" t="n">
        <f aca="false">IF(A1423="","",IFERROR(VLOOKUP(A1423,'Recert Status'!$A$8:$C$400,3,FALSE()),""))</f>
        <v>0</v>
      </c>
      <c r="D1423" s="18" t="s">
        <v>387</v>
      </c>
      <c r="E1423" s="26" t="s">
        <v>389</v>
      </c>
      <c r="F1423" s="27" t="n">
        <v>1</v>
      </c>
      <c r="G1423" s="28" t="n">
        <v>46224</v>
      </c>
      <c r="H1423" s="28" t="n">
        <v>46224</v>
      </c>
      <c r="I1423" s="18" t="s">
        <v>1039</v>
      </c>
      <c r="J1423" s="26" t="s">
        <v>389</v>
      </c>
      <c r="K1423" s="18" t="s">
        <v>1040</v>
      </c>
      <c r="L1423" s="27" t="n">
        <v>1</v>
      </c>
      <c r="M1423" s="35" t="s">
        <v>386</v>
      </c>
      <c r="N1423" s="18" t="s">
        <v>387</v>
      </c>
      <c r="O1423" s="27" t="n">
        <v>1</v>
      </c>
      <c r="P1423" s="15" t="n">
        <f aca="false">IF(A1423="","",IF(O1423&lt;&gt;"",O1423,IF(L1423&lt;&gt;"",L1423,F1423)))</f>
        <v>1</v>
      </c>
    </row>
    <row r="1424" customFormat="false" ht="15" hidden="false" customHeight="true" outlineLevel="0" collapsed="false">
      <c r="A1424" s="30" t="s">
        <v>176</v>
      </c>
      <c r="B1424" s="30"/>
      <c r="C1424" s="21" t="n">
        <f aca="false">IF(A1424="","",IFERROR(VLOOKUP(A1424,'Recert Status'!$A$8:$C$400,3,FALSE()),""))</f>
        <v>0</v>
      </c>
      <c r="D1424" s="31" t="s">
        <v>397</v>
      </c>
      <c r="E1424" s="30" t="s">
        <v>452</v>
      </c>
      <c r="F1424" s="32" t="n">
        <v>1</v>
      </c>
      <c r="G1424" s="33" t="n">
        <v>46245</v>
      </c>
      <c r="H1424" s="33" t="n">
        <v>46245</v>
      </c>
      <c r="I1424" s="31" t="s">
        <v>605</v>
      </c>
      <c r="J1424" s="30" t="s">
        <v>452</v>
      </c>
      <c r="K1424" s="31" t="s">
        <v>385</v>
      </c>
      <c r="L1424" s="32" t="n">
        <v>1</v>
      </c>
      <c r="M1424" s="36" t="s">
        <v>396</v>
      </c>
      <c r="N1424" s="31" t="s">
        <v>397</v>
      </c>
      <c r="O1424" s="32" t="n">
        <v>1</v>
      </c>
      <c r="P1424" s="15" t="n">
        <f aca="false">IF(A1424="","",IF(O1424&lt;&gt;"",O1424,IF(L1424&lt;&gt;"",L1424,F1424)))</f>
        <v>1</v>
      </c>
    </row>
    <row r="1425" customFormat="false" ht="15" hidden="false" customHeight="true" outlineLevel="0" collapsed="false">
      <c r="A1425" s="26" t="s">
        <v>176</v>
      </c>
      <c r="B1425" s="26"/>
      <c r="C1425" s="14" t="n">
        <f aca="false">IF(A1425="","",IFERROR(VLOOKUP(A1425,'Recert Status'!$A$8:$C$400,3,FALSE()),""))</f>
        <v>0</v>
      </c>
      <c r="D1425" s="18" t="s">
        <v>582</v>
      </c>
      <c r="E1425" s="26" t="s">
        <v>416</v>
      </c>
      <c r="F1425" s="27" t="n">
        <v>2</v>
      </c>
      <c r="G1425" s="28" t="n">
        <v>45861</v>
      </c>
      <c r="H1425" s="28" t="n">
        <v>45861</v>
      </c>
      <c r="I1425" s="18" t="s">
        <v>583</v>
      </c>
      <c r="J1425" s="26" t="s">
        <v>416</v>
      </c>
      <c r="K1425" s="18" t="s">
        <v>418</v>
      </c>
      <c r="L1425" s="27" t="n">
        <v>2</v>
      </c>
      <c r="M1425" s="39" t="s">
        <v>413</v>
      </c>
      <c r="N1425" s="18" t="s">
        <v>414</v>
      </c>
      <c r="O1425" s="27" t="n">
        <v>2</v>
      </c>
      <c r="P1425" s="15" t="n">
        <f aca="false">IF(A1425="","",IF(O1425&lt;&gt;"",O1425,IF(L1425&lt;&gt;"",L1425,F1425)))</f>
        <v>2</v>
      </c>
    </row>
    <row r="1426" customFormat="false" ht="15" hidden="false" customHeight="true" outlineLevel="0" collapsed="false">
      <c r="A1426" s="30" t="s">
        <v>176</v>
      </c>
      <c r="B1426" s="30"/>
      <c r="C1426" s="21" t="n">
        <f aca="false">IF(A1426="","",IFERROR(VLOOKUP(A1426,'Recert Status'!$A$8:$C$400,3,FALSE()),""))</f>
        <v>0</v>
      </c>
      <c r="D1426" s="31" t="s">
        <v>457</v>
      </c>
      <c r="E1426" s="30" t="s">
        <v>416</v>
      </c>
      <c r="F1426" s="32" t="n">
        <v>1</v>
      </c>
      <c r="G1426" s="33" t="n">
        <v>45897</v>
      </c>
      <c r="H1426" s="33" t="n">
        <v>45897</v>
      </c>
      <c r="I1426" s="31" t="s">
        <v>1193</v>
      </c>
      <c r="J1426" s="30" t="s">
        <v>416</v>
      </c>
      <c r="K1426" s="31" t="s">
        <v>485</v>
      </c>
      <c r="L1426" s="32" t="n">
        <v>1</v>
      </c>
      <c r="M1426" s="39" t="s">
        <v>413</v>
      </c>
      <c r="N1426" s="31" t="s">
        <v>414</v>
      </c>
      <c r="O1426" s="32" t="n">
        <v>1</v>
      </c>
      <c r="P1426" s="15" t="n">
        <f aca="false">IF(A1426="","",IF(O1426&lt;&gt;"",O1426,IF(L1426&lt;&gt;"",L1426,F1426)))</f>
        <v>1</v>
      </c>
    </row>
    <row r="1427" customFormat="false" ht="15" hidden="false" customHeight="true" outlineLevel="0" collapsed="false">
      <c r="A1427" s="26" t="s">
        <v>176</v>
      </c>
      <c r="B1427" s="26"/>
      <c r="C1427" s="14" t="n">
        <f aca="false">IF(A1427="","",IFERROR(VLOOKUP(A1427,'Recert Status'!$A$8:$C$400,3,FALSE()),""))</f>
        <v>0</v>
      </c>
      <c r="D1427" s="18" t="s">
        <v>488</v>
      </c>
      <c r="E1427" s="26" t="s">
        <v>416</v>
      </c>
      <c r="F1427" s="27" t="n">
        <v>1</v>
      </c>
      <c r="G1427" s="28" t="n">
        <v>46125</v>
      </c>
      <c r="H1427" s="28" t="n">
        <v>46125</v>
      </c>
      <c r="I1427" s="18" t="s">
        <v>608</v>
      </c>
      <c r="J1427" s="26" t="s">
        <v>416</v>
      </c>
      <c r="K1427" s="18" t="s">
        <v>490</v>
      </c>
      <c r="L1427" s="27" t="n">
        <v>1</v>
      </c>
      <c r="M1427" s="39" t="s">
        <v>413</v>
      </c>
      <c r="N1427" s="18" t="s">
        <v>414</v>
      </c>
      <c r="O1427" s="27" t="n">
        <v>1</v>
      </c>
      <c r="P1427" s="15" t="n">
        <f aca="false">IF(A1427="","",IF(O1427&lt;&gt;"",O1427,IF(L1427&lt;&gt;"",L1427,F1427)))</f>
        <v>1</v>
      </c>
    </row>
    <row r="1428" customFormat="false" ht="15" hidden="false" customHeight="true" outlineLevel="0" collapsed="false">
      <c r="A1428" s="30" t="s">
        <v>176</v>
      </c>
      <c r="B1428" s="30"/>
      <c r="C1428" s="21" t="n">
        <f aca="false">IF(A1428="","",IFERROR(VLOOKUP(A1428,'Recert Status'!$A$8:$C$400,3,FALSE()),""))</f>
        <v>0</v>
      </c>
      <c r="D1428" s="31" t="s">
        <v>414</v>
      </c>
      <c r="E1428" s="30" t="s">
        <v>416</v>
      </c>
      <c r="F1428" s="32" t="n">
        <v>2</v>
      </c>
      <c r="G1428" s="33" t="n">
        <v>46218</v>
      </c>
      <c r="H1428" s="33" t="n">
        <v>46218</v>
      </c>
      <c r="I1428" s="31" t="s">
        <v>535</v>
      </c>
      <c r="J1428" s="30" t="s">
        <v>416</v>
      </c>
      <c r="K1428" s="31" t="s">
        <v>418</v>
      </c>
      <c r="L1428" s="32" t="n">
        <v>2</v>
      </c>
      <c r="M1428" s="39" t="s">
        <v>413</v>
      </c>
      <c r="N1428" s="31" t="s">
        <v>414</v>
      </c>
      <c r="O1428" s="32" t="n">
        <v>2</v>
      </c>
      <c r="P1428" s="15" t="n">
        <f aca="false">IF(A1428="","",IF(O1428&lt;&gt;"",O1428,IF(L1428&lt;&gt;"",L1428,F1428)))</f>
        <v>2</v>
      </c>
    </row>
    <row r="1429" customFormat="false" ht="15" hidden="false" customHeight="true" outlineLevel="0" collapsed="false">
      <c r="A1429" s="26" t="s">
        <v>177</v>
      </c>
      <c r="B1429" s="26" t="s">
        <v>178</v>
      </c>
      <c r="C1429" s="14" t="n">
        <f aca="false">IF(A1429="","",IFERROR(VLOOKUP(A1429,'Recert Status'!$A$8:$C$400,3,FALSE()),""))</f>
        <v>46387</v>
      </c>
      <c r="D1429" s="18" t="s">
        <v>496</v>
      </c>
      <c r="E1429" s="26" t="s">
        <v>542</v>
      </c>
      <c r="F1429" s="27" t="n">
        <v>4</v>
      </c>
      <c r="G1429" s="28" t="n">
        <v>46064</v>
      </c>
      <c r="H1429" s="28" t="n">
        <v>46064</v>
      </c>
      <c r="I1429" s="18" t="s">
        <v>1373</v>
      </c>
      <c r="J1429" s="26" t="s">
        <v>542</v>
      </c>
      <c r="K1429" s="18" t="s">
        <v>370</v>
      </c>
      <c r="L1429" s="27" t="n">
        <v>4</v>
      </c>
      <c r="M1429" s="29" t="s">
        <v>366</v>
      </c>
      <c r="N1429" s="18" t="s">
        <v>367</v>
      </c>
      <c r="O1429" s="27" t="n">
        <v>4</v>
      </c>
      <c r="P1429" s="15" t="n">
        <f aca="false">IF(A1429="","",IF(O1429&lt;&gt;"",O1429,IF(L1429&lt;&gt;"",L1429,F1429)))</f>
        <v>4</v>
      </c>
    </row>
    <row r="1430" customFormat="false" ht="15" hidden="false" customHeight="true" outlineLevel="0" collapsed="false">
      <c r="A1430" s="30" t="s">
        <v>177</v>
      </c>
      <c r="B1430" s="30" t="s">
        <v>178</v>
      </c>
      <c r="C1430" s="21" t="n">
        <f aca="false">IF(A1430="","",IFERROR(VLOOKUP(A1430,'Recert Status'!$A$8:$C$400,3,FALSE()),""))</f>
        <v>46387</v>
      </c>
      <c r="D1430" s="31" t="s">
        <v>367</v>
      </c>
      <c r="E1430" s="30" t="s">
        <v>363</v>
      </c>
      <c r="F1430" s="32" t="n">
        <v>1</v>
      </c>
      <c r="G1430" s="33" t="n">
        <v>46286</v>
      </c>
      <c r="H1430" s="33" t="n">
        <v>46286</v>
      </c>
      <c r="I1430" s="31" t="s">
        <v>883</v>
      </c>
      <c r="J1430" s="30" t="s">
        <v>363</v>
      </c>
      <c r="K1430" s="31" t="s">
        <v>365</v>
      </c>
      <c r="L1430" s="32" t="n">
        <v>1</v>
      </c>
      <c r="M1430" s="29" t="s">
        <v>366</v>
      </c>
      <c r="N1430" s="31" t="s">
        <v>367</v>
      </c>
      <c r="O1430" s="32" t="n">
        <v>1</v>
      </c>
      <c r="P1430" s="15" t="n">
        <f aca="false">IF(A1430="","",IF(O1430&lt;&gt;"",O1430,IF(L1430&lt;&gt;"",L1430,F1430)))</f>
        <v>1</v>
      </c>
    </row>
    <row r="1431" customFormat="false" ht="15" hidden="false" customHeight="true" outlineLevel="0" collapsed="false">
      <c r="A1431" s="26" t="s">
        <v>177</v>
      </c>
      <c r="B1431" s="26" t="s">
        <v>178</v>
      </c>
      <c r="C1431" s="14" t="n">
        <f aca="false">IF(A1431="","",IFERROR(VLOOKUP(A1431,'Recert Status'!$A$8:$C$400,3,FALSE()),""))</f>
        <v>46387</v>
      </c>
      <c r="D1431" s="18" t="s">
        <v>496</v>
      </c>
      <c r="E1431" s="26" t="s">
        <v>542</v>
      </c>
      <c r="F1431" s="27" t="n">
        <v>4</v>
      </c>
      <c r="G1431" s="28" t="n">
        <v>45996</v>
      </c>
      <c r="H1431" s="28" t="n">
        <v>45996</v>
      </c>
      <c r="I1431" s="18" t="s">
        <v>588</v>
      </c>
      <c r="J1431" s="26" t="s">
        <v>542</v>
      </c>
      <c r="K1431" s="18" t="s">
        <v>422</v>
      </c>
      <c r="L1431" s="27" t="n">
        <v>4</v>
      </c>
      <c r="M1431" s="40" t="s">
        <v>423</v>
      </c>
      <c r="N1431" s="18" t="s">
        <v>424</v>
      </c>
      <c r="O1431" s="27"/>
      <c r="P1431" s="15" t="n">
        <f aca="false">IF(A1431="","",IF(O1431&lt;&gt;"",O1431,IF(L1431&lt;&gt;"",L1431,F1431)))</f>
        <v>4</v>
      </c>
    </row>
    <row r="1432" customFormat="false" ht="15" hidden="false" customHeight="true" outlineLevel="0" collapsed="false">
      <c r="A1432" s="30" t="s">
        <v>177</v>
      </c>
      <c r="B1432" s="30" t="s">
        <v>178</v>
      </c>
      <c r="C1432" s="21" t="n">
        <f aca="false">IF(A1432="","",IFERROR(VLOOKUP(A1432,'Recert Status'!$A$8:$C$400,3,FALSE()),""))</f>
        <v>46387</v>
      </c>
      <c r="D1432" s="31" t="s">
        <v>569</v>
      </c>
      <c r="E1432" s="30" t="s">
        <v>426</v>
      </c>
      <c r="F1432" s="32" t="n">
        <v>1</v>
      </c>
      <c r="G1432" s="33" t="n">
        <v>46076</v>
      </c>
      <c r="H1432" s="33" t="n">
        <v>46076</v>
      </c>
      <c r="I1432" s="31" t="s">
        <v>926</v>
      </c>
      <c r="J1432" s="30" t="s">
        <v>426</v>
      </c>
      <c r="K1432" s="31" t="s">
        <v>526</v>
      </c>
      <c r="L1432" s="32" t="n">
        <v>1</v>
      </c>
      <c r="M1432" s="41" t="s">
        <v>429</v>
      </c>
      <c r="N1432" s="31" t="s">
        <v>430</v>
      </c>
      <c r="O1432" s="32" t="n">
        <v>1</v>
      </c>
      <c r="P1432" s="15" t="n">
        <f aca="false">IF(A1432="","",IF(O1432&lt;&gt;"",O1432,IF(L1432&lt;&gt;"",L1432,F1432)))</f>
        <v>1</v>
      </c>
    </row>
    <row r="1433" customFormat="false" ht="15" hidden="false" customHeight="true" outlineLevel="0" collapsed="false">
      <c r="A1433" s="26" t="s">
        <v>177</v>
      </c>
      <c r="B1433" s="26" t="s">
        <v>178</v>
      </c>
      <c r="C1433" s="14" t="n">
        <f aca="false">IF(A1433="","",IFERROR(VLOOKUP(A1433,'Recert Status'!$A$8:$C$400,3,FALSE()),""))</f>
        <v>46387</v>
      </c>
      <c r="D1433" s="18" t="s">
        <v>430</v>
      </c>
      <c r="E1433" s="26" t="s">
        <v>426</v>
      </c>
      <c r="F1433" s="27" t="n">
        <v>1</v>
      </c>
      <c r="G1433" s="28" t="n">
        <v>46286</v>
      </c>
      <c r="H1433" s="28" t="n">
        <v>46286</v>
      </c>
      <c r="I1433" s="18" t="s">
        <v>890</v>
      </c>
      <c r="J1433" s="26" t="s">
        <v>426</v>
      </c>
      <c r="K1433" s="18" t="s">
        <v>428</v>
      </c>
      <c r="L1433" s="27" t="n">
        <v>1</v>
      </c>
      <c r="M1433" s="41" t="s">
        <v>429</v>
      </c>
      <c r="N1433" s="18" t="s">
        <v>430</v>
      </c>
      <c r="O1433" s="27" t="n">
        <v>1</v>
      </c>
      <c r="P1433" s="15" t="n">
        <f aca="false">IF(A1433="","",IF(O1433&lt;&gt;"",O1433,IF(L1433&lt;&gt;"",L1433,F1433)))</f>
        <v>1</v>
      </c>
    </row>
    <row r="1434" customFormat="false" ht="15" hidden="false" customHeight="true" outlineLevel="0" collapsed="false">
      <c r="A1434" s="30" t="s">
        <v>177</v>
      </c>
      <c r="B1434" s="30" t="s">
        <v>178</v>
      </c>
      <c r="C1434" s="21" t="n">
        <f aca="false">IF(A1434="","",IFERROR(VLOOKUP(A1434,'Recert Status'!$A$8:$C$400,3,FALSE()),""))</f>
        <v>46387</v>
      </c>
      <c r="D1434" s="31" t="s">
        <v>597</v>
      </c>
      <c r="E1434" s="30" t="n">
        <v>29735</v>
      </c>
      <c r="F1434" s="32" t="n">
        <v>4</v>
      </c>
      <c r="G1434" s="33" t="n">
        <v>46064</v>
      </c>
      <c r="H1434" s="33" t="n">
        <v>46064</v>
      </c>
      <c r="I1434" s="31" t="s">
        <v>1373</v>
      </c>
      <c r="J1434" s="30" t="s">
        <v>599</v>
      </c>
      <c r="K1434" s="31" t="s">
        <v>600</v>
      </c>
      <c r="L1434" s="32" t="n">
        <v>4</v>
      </c>
      <c r="M1434" s="35" t="s">
        <v>386</v>
      </c>
      <c r="N1434" s="31" t="s">
        <v>387</v>
      </c>
      <c r="O1434" s="32" t="n">
        <v>4</v>
      </c>
      <c r="P1434" s="15" t="n">
        <f aca="false">IF(A1434="","",IF(O1434&lt;&gt;"",O1434,IF(L1434&lt;&gt;"",L1434,F1434)))</f>
        <v>4</v>
      </c>
    </row>
    <row r="1435" customFormat="false" ht="15" hidden="false" customHeight="true" outlineLevel="0" collapsed="false">
      <c r="A1435" s="26" t="s">
        <v>177</v>
      </c>
      <c r="B1435" s="26" t="s">
        <v>178</v>
      </c>
      <c r="C1435" s="14" t="n">
        <f aca="false">IF(A1435="","",IFERROR(VLOOKUP(A1435,'Recert Status'!$A$8:$C$400,3,FALSE()),""))</f>
        <v>46387</v>
      </c>
      <c r="D1435" s="18" t="s">
        <v>387</v>
      </c>
      <c r="E1435" s="26" t="s">
        <v>389</v>
      </c>
      <c r="F1435" s="27" t="n">
        <v>0.5</v>
      </c>
      <c r="G1435" s="28" t="n">
        <v>46211</v>
      </c>
      <c r="H1435" s="28" t="n">
        <v>46211</v>
      </c>
      <c r="I1435" s="18" t="s">
        <v>1171</v>
      </c>
      <c r="J1435" s="26" t="s">
        <v>389</v>
      </c>
      <c r="K1435" s="18" t="s">
        <v>395</v>
      </c>
      <c r="L1435" s="27" t="n">
        <v>0.5</v>
      </c>
      <c r="M1435" s="35" t="s">
        <v>386</v>
      </c>
      <c r="N1435" s="18" t="s">
        <v>387</v>
      </c>
      <c r="O1435" s="27" t="n">
        <v>0.5</v>
      </c>
      <c r="P1435" s="15" t="n">
        <f aca="false">IF(A1435="","",IF(O1435&lt;&gt;"",O1435,IF(L1435&lt;&gt;"",L1435,F1435)))</f>
        <v>0.5</v>
      </c>
    </row>
    <row r="1436" customFormat="false" ht="15" hidden="false" customHeight="true" outlineLevel="0" collapsed="false">
      <c r="A1436" s="30" t="s">
        <v>177</v>
      </c>
      <c r="B1436" s="30" t="s">
        <v>178</v>
      </c>
      <c r="C1436" s="21" t="n">
        <f aca="false">IF(A1436="","",IFERROR(VLOOKUP(A1436,'Recert Status'!$A$8:$C$400,3,FALSE()),""))</f>
        <v>46387</v>
      </c>
      <c r="D1436" s="31" t="s">
        <v>387</v>
      </c>
      <c r="E1436" s="30" t="s">
        <v>389</v>
      </c>
      <c r="F1436" s="32" t="n">
        <v>1</v>
      </c>
      <c r="G1436" s="33" t="n">
        <v>46232</v>
      </c>
      <c r="H1436" s="33" t="n">
        <v>46232</v>
      </c>
      <c r="I1436" s="31" t="s">
        <v>1063</v>
      </c>
      <c r="J1436" s="30" t="s">
        <v>389</v>
      </c>
      <c r="K1436" s="31" t="s">
        <v>451</v>
      </c>
      <c r="L1436" s="32" t="n">
        <v>1</v>
      </c>
      <c r="M1436" s="35" t="s">
        <v>386</v>
      </c>
      <c r="N1436" s="31" t="s">
        <v>387</v>
      </c>
      <c r="O1436" s="32" t="n">
        <v>1</v>
      </c>
      <c r="P1436" s="15" t="n">
        <f aca="false">IF(A1436="","",IF(O1436&lt;&gt;"",O1436,IF(L1436&lt;&gt;"",L1436,F1436)))</f>
        <v>1</v>
      </c>
    </row>
    <row r="1437" customFormat="false" ht="15" hidden="false" customHeight="true" outlineLevel="0" collapsed="false">
      <c r="A1437" s="26" t="s">
        <v>177</v>
      </c>
      <c r="B1437" s="26" t="s">
        <v>178</v>
      </c>
      <c r="C1437" s="14" t="n">
        <f aca="false">IF(A1437="","",IFERROR(VLOOKUP(A1437,'Recert Status'!$A$8:$C$400,3,FALSE()),""))</f>
        <v>46387</v>
      </c>
      <c r="D1437" s="18" t="s">
        <v>387</v>
      </c>
      <c r="E1437" s="26" t="s">
        <v>389</v>
      </c>
      <c r="F1437" s="27" t="n">
        <v>1</v>
      </c>
      <c r="G1437" s="28" t="n">
        <v>46286</v>
      </c>
      <c r="H1437" s="28" t="n">
        <v>46286</v>
      </c>
      <c r="I1437" s="18" t="s">
        <v>903</v>
      </c>
      <c r="J1437" s="26" t="s">
        <v>389</v>
      </c>
      <c r="K1437" s="18" t="s">
        <v>904</v>
      </c>
      <c r="L1437" s="27" t="n">
        <v>1</v>
      </c>
      <c r="M1437" s="35" t="s">
        <v>386</v>
      </c>
      <c r="N1437" s="18" t="s">
        <v>387</v>
      </c>
      <c r="O1437" s="27" t="n">
        <v>1</v>
      </c>
      <c r="P1437" s="15" t="n">
        <f aca="false">IF(A1437="","",IF(O1437&lt;&gt;"",O1437,IF(L1437&lt;&gt;"",L1437,F1437)))</f>
        <v>1</v>
      </c>
    </row>
    <row r="1438" customFormat="false" ht="15" hidden="false" customHeight="true" outlineLevel="0" collapsed="false">
      <c r="A1438" s="30" t="s">
        <v>177</v>
      </c>
      <c r="B1438" s="30" t="s">
        <v>178</v>
      </c>
      <c r="C1438" s="21" t="n">
        <f aca="false">IF(A1438="","",IFERROR(VLOOKUP(A1438,'Recert Status'!$A$8:$C$400,3,FALSE()),""))</f>
        <v>46387</v>
      </c>
      <c r="D1438" s="31" t="s">
        <v>397</v>
      </c>
      <c r="E1438" s="30" t="s">
        <v>452</v>
      </c>
      <c r="F1438" s="32" t="n">
        <v>1</v>
      </c>
      <c r="G1438" s="33" t="n">
        <v>46244</v>
      </c>
      <c r="H1438" s="33" t="n">
        <v>46244</v>
      </c>
      <c r="I1438" s="31" t="s">
        <v>577</v>
      </c>
      <c r="J1438" s="30" t="s">
        <v>452</v>
      </c>
      <c r="K1438" s="31" t="s">
        <v>385</v>
      </c>
      <c r="L1438" s="32" t="n">
        <v>1</v>
      </c>
      <c r="M1438" s="36" t="s">
        <v>396</v>
      </c>
      <c r="N1438" s="31" t="s">
        <v>397</v>
      </c>
      <c r="O1438" s="32" t="n">
        <v>1</v>
      </c>
      <c r="P1438" s="15" t="n">
        <f aca="false">IF(A1438="","",IF(O1438&lt;&gt;"",O1438,IF(L1438&lt;&gt;"",L1438,F1438)))</f>
        <v>1</v>
      </c>
    </row>
    <row r="1439" customFormat="false" ht="15" hidden="false" customHeight="true" outlineLevel="0" collapsed="false">
      <c r="A1439" s="26" t="s">
        <v>177</v>
      </c>
      <c r="B1439" s="26" t="s">
        <v>178</v>
      </c>
      <c r="C1439" s="14" t="n">
        <f aca="false">IF(A1439="","",IFERROR(VLOOKUP(A1439,'Recert Status'!$A$8:$C$400,3,FALSE()),""))</f>
        <v>46387</v>
      </c>
      <c r="D1439" s="18" t="s">
        <v>488</v>
      </c>
      <c r="E1439" s="26" t="s">
        <v>416</v>
      </c>
      <c r="F1439" s="27" t="n">
        <v>1</v>
      </c>
      <c r="G1439" s="28" t="n">
        <v>46127</v>
      </c>
      <c r="H1439" s="28" t="n">
        <v>46127</v>
      </c>
      <c r="I1439" s="18" t="s">
        <v>534</v>
      </c>
      <c r="J1439" s="26" t="s">
        <v>416</v>
      </c>
      <c r="K1439" s="18" t="s">
        <v>490</v>
      </c>
      <c r="L1439" s="27" t="n">
        <v>1</v>
      </c>
      <c r="M1439" s="39" t="s">
        <v>413</v>
      </c>
      <c r="N1439" s="18" t="s">
        <v>414</v>
      </c>
      <c r="O1439" s="27" t="n">
        <v>1</v>
      </c>
      <c r="P1439" s="15" t="n">
        <f aca="false">IF(A1439="","",IF(O1439&lt;&gt;"",O1439,IF(L1439&lt;&gt;"",L1439,F1439)))</f>
        <v>1</v>
      </c>
    </row>
    <row r="1440" customFormat="false" ht="15" hidden="false" customHeight="true" outlineLevel="0" collapsed="false">
      <c r="A1440" s="30" t="s">
        <v>177</v>
      </c>
      <c r="B1440" s="30" t="s">
        <v>178</v>
      </c>
      <c r="C1440" s="21" t="n">
        <f aca="false">IF(A1440="","",IFERROR(VLOOKUP(A1440,'Recert Status'!$A$8:$C$400,3,FALSE()),""))</f>
        <v>46387</v>
      </c>
      <c r="D1440" s="31" t="s">
        <v>414</v>
      </c>
      <c r="E1440" s="30" t="s">
        <v>416</v>
      </c>
      <c r="F1440" s="32" t="n">
        <v>2</v>
      </c>
      <c r="G1440" s="33" t="n">
        <v>46217</v>
      </c>
      <c r="H1440" s="33" t="n">
        <v>46217</v>
      </c>
      <c r="I1440" s="31" t="s">
        <v>460</v>
      </c>
      <c r="J1440" s="30" t="s">
        <v>416</v>
      </c>
      <c r="K1440" s="31" t="s">
        <v>418</v>
      </c>
      <c r="L1440" s="32" t="n">
        <v>2</v>
      </c>
      <c r="M1440" s="39" t="s">
        <v>413</v>
      </c>
      <c r="N1440" s="31" t="s">
        <v>414</v>
      </c>
      <c r="O1440" s="32" t="n">
        <v>2</v>
      </c>
      <c r="P1440" s="15" t="n">
        <f aca="false">IF(A1440="","",IF(O1440&lt;&gt;"",O1440,IF(L1440&lt;&gt;"",L1440,F1440)))</f>
        <v>2</v>
      </c>
    </row>
    <row r="1441" customFormat="false" ht="15" hidden="false" customHeight="true" outlineLevel="0" collapsed="false">
      <c r="A1441" s="26" t="s">
        <v>179</v>
      </c>
      <c r="B1441" s="26" t="s">
        <v>180</v>
      </c>
      <c r="C1441" s="14" t="n">
        <f aca="false">IF(A1441="","",IFERROR(VLOOKUP(A1441,'Recert Status'!$A$8:$C$400,3,FALSE()),""))</f>
        <v>46752</v>
      </c>
      <c r="D1441" s="18" t="s">
        <v>971</v>
      </c>
      <c r="E1441" s="26" t="s">
        <v>363</v>
      </c>
      <c r="F1441" s="27" t="n">
        <v>1</v>
      </c>
      <c r="G1441" s="28" t="n">
        <v>45766</v>
      </c>
      <c r="H1441" s="28" t="n">
        <v>45766</v>
      </c>
      <c r="I1441" s="18" t="s">
        <v>972</v>
      </c>
      <c r="J1441" s="26" t="s">
        <v>363</v>
      </c>
      <c r="K1441" s="18" t="s">
        <v>370</v>
      </c>
      <c r="L1441" s="27" t="n">
        <v>1</v>
      </c>
      <c r="M1441" s="29" t="s">
        <v>366</v>
      </c>
      <c r="N1441" s="18" t="s">
        <v>367</v>
      </c>
      <c r="O1441" s="27" t="n">
        <v>1</v>
      </c>
      <c r="P1441" s="15" t="n">
        <f aca="false">IF(A1441="","",IF(O1441&lt;&gt;"",O1441,IF(L1441&lt;&gt;"",L1441,F1441)))</f>
        <v>1</v>
      </c>
    </row>
    <row r="1442" customFormat="false" ht="15" hidden="false" customHeight="true" outlineLevel="0" collapsed="false">
      <c r="A1442" s="30" t="s">
        <v>179</v>
      </c>
      <c r="B1442" s="30" t="s">
        <v>180</v>
      </c>
      <c r="C1442" s="21" t="n">
        <f aca="false">IF(A1442="","",IFERROR(VLOOKUP(A1442,'Recert Status'!$A$8:$C$400,3,FALSE()),""))</f>
        <v>46752</v>
      </c>
      <c r="D1442" s="31" t="s">
        <v>973</v>
      </c>
      <c r="E1442" s="30" t="s">
        <v>363</v>
      </c>
      <c r="F1442" s="32" t="n">
        <v>1.5</v>
      </c>
      <c r="G1442" s="33" t="n">
        <v>46069</v>
      </c>
      <c r="H1442" s="33" t="n">
        <v>46069</v>
      </c>
      <c r="I1442" s="31" t="s">
        <v>974</v>
      </c>
      <c r="J1442" s="30" t="s">
        <v>363</v>
      </c>
      <c r="K1442" s="31" t="s">
        <v>975</v>
      </c>
      <c r="L1442" s="32" t="n">
        <v>1.5</v>
      </c>
      <c r="M1442" s="29" t="s">
        <v>366</v>
      </c>
      <c r="N1442" s="31" t="s">
        <v>367</v>
      </c>
      <c r="O1442" s="32" t="n">
        <v>1.5</v>
      </c>
      <c r="P1442" s="15" t="n">
        <f aca="false">IF(A1442="","",IF(O1442&lt;&gt;"",O1442,IF(L1442&lt;&gt;"",L1442,F1442)))</f>
        <v>1.5</v>
      </c>
    </row>
    <row r="1443" customFormat="false" ht="15" hidden="false" customHeight="true" outlineLevel="0" collapsed="false">
      <c r="A1443" s="26" t="s">
        <v>179</v>
      </c>
      <c r="B1443" s="26" t="s">
        <v>180</v>
      </c>
      <c r="C1443" s="14" t="n">
        <f aca="false">IF(A1443="","",IFERROR(VLOOKUP(A1443,'Recert Status'!$A$8:$C$400,3,FALSE()),""))</f>
        <v>46752</v>
      </c>
      <c r="D1443" s="18" t="s">
        <v>449</v>
      </c>
      <c r="E1443" s="26" t="s">
        <v>426</v>
      </c>
      <c r="F1443" s="27" t="n">
        <v>2</v>
      </c>
      <c r="G1443" s="28" t="n">
        <v>45726</v>
      </c>
      <c r="H1443" s="28" t="n">
        <v>45726</v>
      </c>
      <c r="I1443" s="18" t="s">
        <v>1374</v>
      </c>
      <c r="J1443" s="26" t="s">
        <v>426</v>
      </c>
      <c r="K1443" s="18" t="s">
        <v>630</v>
      </c>
      <c r="L1443" s="27" t="n">
        <v>2</v>
      </c>
      <c r="M1443" s="41" t="s">
        <v>429</v>
      </c>
      <c r="N1443" s="18" t="s">
        <v>430</v>
      </c>
      <c r="O1443" s="27" t="n">
        <v>2</v>
      </c>
      <c r="P1443" s="15" t="n">
        <f aca="false">IF(A1443="","",IF(O1443&lt;&gt;"",O1443,IF(L1443&lt;&gt;"",L1443,F1443)))</f>
        <v>2</v>
      </c>
    </row>
    <row r="1444" customFormat="false" ht="15" hidden="false" customHeight="true" outlineLevel="0" collapsed="false">
      <c r="A1444" s="30" t="s">
        <v>179</v>
      </c>
      <c r="B1444" s="30" t="s">
        <v>180</v>
      </c>
      <c r="C1444" s="21" t="n">
        <f aca="false">IF(A1444="","",IFERROR(VLOOKUP(A1444,'Recert Status'!$A$8:$C$400,3,FALSE()),""))</f>
        <v>46752</v>
      </c>
      <c r="D1444" s="31" t="s">
        <v>980</v>
      </c>
      <c r="E1444" s="30" t="n">
        <v>29784</v>
      </c>
      <c r="F1444" s="32" t="n">
        <v>1</v>
      </c>
      <c r="G1444" s="33" t="n">
        <v>45829</v>
      </c>
      <c r="H1444" s="33" t="n">
        <v>45829</v>
      </c>
      <c r="I1444" s="31" t="s">
        <v>981</v>
      </c>
      <c r="J1444" s="30" t="s">
        <v>435</v>
      </c>
      <c r="K1444" s="31" t="s">
        <v>468</v>
      </c>
      <c r="L1444" s="32" t="n">
        <v>1</v>
      </c>
      <c r="M1444" s="35" t="s">
        <v>386</v>
      </c>
      <c r="N1444" s="31" t="s">
        <v>387</v>
      </c>
      <c r="O1444" s="32" t="n">
        <v>1</v>
      </c>
      <c r="P1444" s="15" t="n">
        <f aca="false">IF(A1444="","",IF(O1444&lt;&gt;"",O1444,IF(L1444&lt;&gt;"",L1444,F1444)))</f>
        <v>1</v>
      </c>
    </row>
    <row r="1445" customFormat="false" ht="15" hidden="false" customHeight="true" outlineLevel="0" collapsed="false">
      <c r="A1445" s="26" t="s">
        <v>179</v>
      </c>
      <c r="B1445" s="26" t="s">
        <v>180</v>
      </c>
      <c r="C1445" s="14" t="n">
        <f aca="false">IF(A1445="","",IFERROR(VLOOKUP(A1445,'Recert Status'!$A$8:$C$400,3,FALSE()),""))</f>
        <v>46752</v>
      </c>
      <c r="D1445" s="18" t="s">
        <v>382</v>
      </c>
      <c r="E1445" s="26" t="n">
        <v>35513</v>
      </c>
      <c r="F1445" s="27" t="n">
        <v>2</v>
      </c>
      <c r="G1445" s="28" t="n">
        <v>45883</v>
      </c>
      <c r="H1445" s="28" t="n">
        <v>45883</v>
      </c>
      <c r="I1445" s="18" t="s">
        <v>553</v>
      </c>
      <c r="J1445" s="26" t="s">
        <v>384</v>
      </c>
      <c r="K1445" s="18" t="s">
        <v>385</v>
      </c>
      <c r="L1445" s="27" t="n">
        <v>2</v>
      </c>
      <c r="M1445" s="35" t="s">
        <v>386</v>
      </c>
      <c r="N1445" s="18" t="s">
        <v>387</v>
      </c>
      <c r="O1445" s="27" t="n">
        <v>2</v>
      </c>
      <c r="P1445" s="15" t="n">
        <f aca="false">IF(A1445="","",IF(O1445&lt;&gt;"",O1445,IF(L1445&lt;&gt;"",L1445,F1445)))</f>
        <v>2</v>
      </c>
    </row>
    <row r="1446" customFormat="false" ht="15" hidden="false" customHeight="true" outlineLevel="0" collapsed="false">
      <c r="A1446" s="30" t="s">
        <v>179</v>
      </c>
      <c r="B1446" s="30" t="s">
        <v>180</v>
      </c>
      <c r="C1446" s="21" t="n">
        <f aca="false">IF(A1446="","",IFERROR(VLOOKUP(A1446,'Recert Status'!$A$8:$C$400,3,FALSE()),""))</f>
        <v>46752</v>
      </c>
      <c r="D1446" s="31" t="s">
        <v>474</v>
      </c>
      <c r="E1446" s="30" t="s">
        <v>389</v>
      </c>
      <c r="F1446" s="32" t="n">
        <v>1</v>
      </c>
      <c r="G1446" s="33" t="n">
        <v>46204</v>
      </c>
      <c r="H1446" s="33" t="n">
        <v>46204</v>
      </c>
      <c r="I1446" s="31" t="s">
        <v>475</v>
      </c>
      <c r="J1446" s="30" t="s">
        <v>389</v>
      </c>
      <c r="K1446" s="31" t="s">
        <v>476</v>
      </c>
      <c r="L1446" s="32" t="n">
        <v>1</v>
      </c>
      <c r="M1446" s="35" t="s">
        <v>386</v>
      </c>
      <c r="N1446" s="31" t="s">
        <v>387</v>
      </c>
      <c r="O1446" s="32" t="n">
        <v>1</v>
      </c>
      <c r="P1446" s="15" t="n">
        <f aca="false">IF(A1446="","",IF(O1446&lt;&gt;"",O1446,IF(L1446&lt;&gt;"",L1446,F1446)))</f>
        <v>1</v>
      </c>
    </row>
    <row r="1447" customFormat="false" ht="15" hidden="false" customHeight="true" outlineLevel="0" collapsed="false">
      <c r="A1447" s="26" t="s">
        <v>179</v>
      </c>
      <c r="B1447" s="26" t="s">
        <v>180</v>
      </c>
      <c r="C1447" s="14" t="n">
        <f aca="false">IF(A1447="","",IFERROR(VLOOKUP(A1447,'Recert Status'!$A$8:$C$400,3,FALSE()),""))</f>
        <v>46752</v>
      </c>
      <c r="D1447" s="18" t="s">
        <v>973</v>
      </c>
      <c r="E1447" s="26" t="s">
        <v>452</v>
      </c>
      <c r="F1447" s="27" t="n">
        <v>3.5</v>
      </c>
      <c r="G1447" s="28" t="n">
        <v>46069</v>
      </c>
      <c r="H1447" s="28" t="n">
        <v>46069</v>
      </c>
      <c r="I1447" s="18" t="s">
        <v>982</v>
      </c>
      <c r="J1447" s="26" t="s">
        <v>452</v>
      </c>
      <c r="K1447" s="18" t="s">
        <v>385</v>
      </c>
      <c r="L1447" s="27" t="n">
        <v>3.5</v>
      </c>
      <c r="M1447" s="36" t="s">
        <v>396</v>
      </c>
      <c r="N1447" s="18" t="s">
        <v>397</v>
      </c>
      <c r="O1447" s="27" t="n">
        <v>3.5</v>
      </c>
      <c r="P1447" s="15" t="n">
        <f aca="false">IF(A1447="","",IF(O1447&lt;&gt;"",O1447,IF(L1447&lt;&gt;"",L1447,F1447)))</f>
        <v>3.5</v>
      </c>
    </row>
    <row r="1448" customFormat="false" ht="15" hidden="false" customHeight="true" outlineLevel="0" collapsed="false">
      <c r="A1448" s="30" t="s">
        <v>179</v>
      </c>
      <c r="B1448" s="30" t="s">
        <v>180</v>
      </c>
      <c r="C1448" s="21" t="n">
        <f aca="false">IF(A1448="","",IFERROR(VLOOKUP(A1448,'Recert Status'!$A$8:$C$400,3,FALSE()),""))</f>
        <v>46752</v>
      </c>
      <c r="D1448" s="31" t="s">
        <v>732</v>
      </c>
      <c r="E1448" s="30" t="s">
        <v>452</v>
      </c>
      <c r="F1448" s="32" t="n">
        <v>1</v>
      </c>
      <c r="G1448" s="33" t="n">
        <v>46132</v>
      </c>
      <c r="H1448" s="33" t="n">
        <v>46132</v>
      </c>
      <c r="I1448" s="31" t="s">
        <v>984</v>
      </c>
      <c r="J1448" s="30" t="s">
        <v>452</v>
      </c>
      <c r="K1448" s="31" t="s">
        <v>385</v>
      </c>
      <c r="L1448" s="32" t="n">
        <v>1</v>
      </c>
      <c r="M1448" s="36" t="s">
        <v>396</v>
      </c>
      <c r="N1448" s="31" t="s">
        <v>397</v>
      </c>
      <c r="O1448" s="32" t="n">
        <v>1</v>
      </c>
      <c r="P1448" s="15" t="n">
        <f aca="false">IF(A1448="","",IF(O1448&lt;&gt;"",O1448,IF(L1448&lt;&gt;"",L1448,F1448)))</f>
        <v>1</v>
      </c>
    </row>
    <row r="1449" customFormat="false" ht="15" hidden="false" customHeight="true" outlineLevel="0" collapsed="false">
      <c r="A1449" s="26" t="s">
        <v>179</v>
      </c>
      <c r="B1449" s="26" t="s">
        <v>180</v>
      </c>
      <c r="C1449" s="14" t="n">
        <f aca="false">IF(A1449="","",IFERROR(VLOOKUP(A1449,'Recert Status'!$A$8:$C$400,3,FALSE()),""))</f>
        <v>46752</v>
      </c>
      <c r="D1449" s="18" t="s">
        <v>397</v>
      </c>
      <c r="E1449" s="26" t="s">
        <v>452</v>
      </c>
      <c r="F1449" s="27" t="n">
        <v>1</v>
      </c>
      <c r="G1449" s="28" t="n">
        <v>46231</v>
      </c>
      <c r="H1449" s="28" t="n">
        <v>46231</v>
      </c>
      <c r="I1449" s="18" t="s">
        <v>985</v>
      </c>
      <c r="J1449" s="26" t="s">
        <v>452</v>
      </c>
      <c r="K1449" s="18" t="s">
        <v>385</v>
      </c>
      <c r="L1449" s="27" t="n">
        <v>1</v>
      </c>
      <c r="M1449" s="36" t="s">
        <v>396</v>
      </c>
      <c r="N1449" s="18" t="s">
        <v>397</v>
      </c>
      <c r="O1449" s="27" t="n">
        <v>1</v>
      </c>
      <c r="P1449" s="15" t="n">
        <f aca="false">IF(A1449="","",IF(O1449&lt;&gt;"",O1449,IF(L1449&lt;&gt;"",L1449,F1449)))</f>
        <v>1</v>
      </c>
    </row>
    <row r="1450" customFormat="false" ht="15" hidden="false" customHeight="true" outlineLevel="0" collapsed="false">
      <c r="A1450" s="30" t="s">
        <v>179</v>
      </c>
      <c r="B1450" s="30" t="s">
        <v>180</v>
      </c>
      <c r="C1450" s="21" t="n">
        <f aca="false">IF(A1450="","",IFERROR(VLOOKUP(A1450,'Recert Status'!$A$8:$C$400,3,FALSE()),""))</f>
        <v>46752</v>
      </c>
      <c r="D1450" s="31" t="s">
        <v>397</v>
      </c>
      <c r="E1450" s="30" t="s">
        <v>452</v>
      </c>
      <c r="F1450" s="32" t="n">
        <v>1</v>
      </c>
      <c r="G1450" s="33" t="n">
        <v>46246</v>
      </c>
      <c r="H1450" s="33" t="n">
        <v>46246</v>
      </c>
      <c r="I1450" s="31" t="s">
        <v>478</v>
      </c>
      <c r="J1450" s="30" t="s">
        <v>452</v>
      </c>
      <c r="K1450" s="31" t="s">
        <v>385</v>
      </c>
      <c r="L1450" s="32" t="n">
        <v>1</v>
      </c>
      <c r="M1450" s="36" t="s">
        <v>396</v>
      </c>
      <c r="N1450" s="31" t="s">
        <v>397</v>
      </c>
      <c r="O1450" s="32" t="n">
        <v>1</v>
      </c>
      <c r="P1450" s="15" t="n">
        <f aca="false">IF(A1450="","",IF(O1450&lt;&gt;"",O1450,IF(L1450&lt;&gt;"",L1450,F1450)))</f>
        <v>1</v>
      </c>
    </row>
    <row r="1451" customFormat="false" ht="15" hidden="false" customHeight="true" outlineLevel="0" collapsed="false">
      <c r="A1451" s="26" t="s">
        <v>179</v>
      </c>
      <c r="B1451" s="26" t="s">
        <v>180</v>
      </c>
      <c r="C1451" s="14" t="n">
        <f aca="false">IF(A1451="","",IFERROR(VLOOKUP(A1451,'Recert Status'!$A$8:$C$400,3,FALSE()),""))</f>
        <v>46752</v>
      </c>
      <c r="D1451" s="18" t="s">
        <v>415</v>
      </c>
      <c r="E1451" s="26" t="s">
        <v>416</v>
      </c>
      <c r="F1451" s="27" t="n">
        <v>1</v>
      </c>
      <c r="G1451" s="28" t="n">
        <v>45826</v>
      </c>
      <c r="H1451" s="28" t="n">
        <v>45826</v>
      </c>
      <c r="I1451" s="18" t="s">
        <v>986</v>
      </c>
      <c r="J1451" s="26" t="s">
        <v>416</v>
      </c>
      <c r="K1451" s="18" t="s">
        <v>523</v>
      </c>
      <c r="L1451" s="27" t="n">
        <v>1</v>
      </c>
      <c r="M1451" s="39" t="s">
        <v>413</v>
      </c>
      <c r="N1451" s="18" t="s">
        <v>414</v>
      </c>
      <c r="O1451" s="27" t="n">
        <v>1</v>
      </c>
      <c r="P1451" s="15" t="n">
        <f aca="false">IF(A1451="","",IF(O1451&lt;&gt;"",O1451,IF(L1451&lt;&gt;"",L1451,F1451)))</f>
        <v>1</v>
      </c>
    </row>
    <row r="1452" customFormat="false" ht="15" hidden="false" customHeight="true" outlineLevel="0" collapsed="false">
      <c r="A1452" s="30" t="s">
        <v>179</v>
      </c>
      <c r="B1452" s="30" t="s">
        <v>180</v>
      </c>
      <c r="C1452" s="21" t="n">
        <f aca="false">IF(A1452="","",IFERROR(VLOOKUP(A1452,'Recert Status'!$A$8:$C$400,3,FALSE()),""))</f>
        <v>46752</v>
      </c>
      <c r="D1452" s="31" t="s">
        <v>719</v>
      </c>
      <c r="E1452" s="30" t="s">
        <v>416</v>
      </c>
      <c r="F1452" s="32" t="n">
        <v>2</v>
      </c>
      <c r="G1452" s="33" t="n">
        <v>45859</v>
      </c>
      <c r="H1452" s="33" t="n">
        <v>45859</v>
      </c>
      <c r="I1452" s="31" t="s">
        <v>486</v>
      </c>
      <c r="J1452" s="30" t="s">
        <v>416</v>
      </c>
      <c r="K1452" s="31" t="s">
        <v>418</v>
      </c>
      <c r="L1452" s="32" t="n">
        <v>2</v>
      </c>
      <c r="M1452" s="39" t="s">
        <v>413</v>
      </c>
      <c r="N1452" s="31" t="s">
        <v>414</v>
      </c>
      <c r="O1452" s="32" t="n">
        <v>2</v>
      </c>
      <c r="P1452" s="15" t="n">
        <f aca="false">IF(A1452="","",IF(O1452&lt;&gt;"",O1452,IF(L1452&lt;&gt;"",L1452,F1452)))</f>
        <v>2</v>
      </c>
    </row>
    <row r="1453" customFormat="false" ht="15" hidden="false" customHeight="true" outlineLevel="0" collapsed="false">
      <c r="A1453" s="26" t="s">
        <v>179</v>
      </c>
      <c r="B1453" s="26" t="s">
        <v>180</v>
      </c>
      <c r="C1453" s="14" t="n">
        <f aca="false">IF(A1453="","",IFERROR(VLOOKUP(A1453,'Recert Status'!$A$8:$C$400,3,FALSE()),""))</f>
        <v>46752</v>
      </c>
      <c r="D1453" s="18" t="s">
        <v>488</v>
      </c>
      <c r="E1453" s="26" t="s">
        <v>416</v>
      </c>
      <c r="F1453" s="27" t="n">
        <v>1</v>
      </c>
      <c r="G1453" s="28" t="n">
        <v>46126</v>
      </c>
      <c r="H1453" s="28" t="n">
        <v>46126</v>
      </c>
      <c r="I1453" s="18" t="s">
        <v>489</v>
      </c>
      <c r="J1453" s="26" t="s">
        <v>416</v>
      </c>
      <c r="K1453" s="18" t="s">
        <v>490</v>
      </c>
      <c r="L1453" s="27" t="n">
        <v>1</v>
      </c>
      <c r="M1453" s="39" t="s">
        <v>413</v>
      </c>
      <c r="N1453" s="18" t="s">
        <v>414</v>
      </c>
      <c r="O1453" s="27" t="n">
        <v>1</v>
      </c>
      <c r="P1453" s="15" t="n">
        <f aca="false">IF(A1453="","",IF(O1453&lt;&gt;"",O1453,IF(L1453&lt;&gt;"",L1453,F1453)))</f>
        <v>1</v>
      </c>
    </row>
    <row r="1454" customFormat="false" ht="15" hidden="false" customHeight="true" outlineLevel="0" collapsed="false">
      <c r="A1454" s="30" t="s">
        <v>179</v>
      </c>
      <c r="B1454" s="30" t="s">
        <v>180</v>
      </c>
      <c r="C1454" s="21" t="n">
        <f aca="false">IF(A1454="","",IFERROR(VLOOKUP(A1454,'Recert Status'!$A$8:$C$400,3,FALSE()),""))</f>
        <v>46752</v>
      </c>
      <c r="D1454" s="31" t="s">
        <v>488</v>
      </c>
      <c r="E1454" s="30" t="s">
        <v>416</v>
      </c>
      <c r="F1454" s="32" t="n">
        <v>1</v>
      </c>
      <c r="G1454" s="33" t="n">
        <v>46132</v>
      </c>
      <c r="H1454" s="33" t="n">
        <v>46132</v>
      </c>
      <c r="I1454" s="31" t="s">
        <v>609</v>
      </c>
      <c r="J1454" s="30" t="s">
        <v>416</v>
      </c>
      <c r="K1454" s="31" t="s">
        <v>490</v>
      </c>
      <c r="L1454" s="32" t="n">
        <v>1</v>
      </c>
      <c r="M1454" s="39" t="s">
        <v>413</v>
      </c>
      <c r="N1454" s="31" t="s">
        <v>414</v>
      </c>
      <c r="O1454" s="32" t="n">
        <v>1</v>
      </c>
      <c r="P1454" s="15" t="n">
        <f aca="false">IF(A1454="","",IF(O1454&lt;&gt;"",O1454,IF(L1454&lt;&gt;"",L1454,F1454)))</f>
        <v>1</v>
      </c>
    </row>
    <row r="1455" customFormat="false" ht="15" hidden="false" customHeight="true" outlineLevel="0" collapsed="false">
      <c r="A1455" s="26" t="s">
        <v>179</v>
      </c>
      <c r="B1455" s="26" t="s">
        <v>180</v>
      </c>
      <c r="C1455" s="14" t="n">
        <f aca="false">IF(A1455="","",IFERROR(VLOOKUP(A1455,'Recert Status'!$A$8:$C$400,3,FALSE()),""))</f>
        <v>46752</v>
      </c>
      <c r="D1455" s="18" t="s">
        <v>414</v>
      </c>
      <c r="E1455" s="26" t="s">
        <v>416</v>
      </c>
      <c r="F1455" s="27" t="n">
        <v>2</v>
      </c>
      <c r="G1455" s="28" t="n">
        <v>46219</v>
      </c>
      <c r="H1455" s="28" t="n">
        <v>46219</v>
      </c>
      <c r="I1455" s="18" t="s">
        <v>567</v>
      </c>
      <c r="J1455" s="26" t="s">
        <v>416</v>
      </c>
      <c r="K1455" s="18" t="s">
        <v>418</v>
      </c>
      <c r="L1455" s="27" t="n">
        <v>2</v>
      </c>
      <c r="M1455" s="39" t="s">
        <v>413</v>
      </c>
      <c r="N1455" s="18" t="s">
        <v>414</v>
      </c>
      <c r="O1455" s="27" t="n">
        <v>2</v>
      </c>
      <c r="P1455" s="15" t="n">
        <f aca="false">IF(A1455="","",IF(O1455&lt;&gt;"",O1455,IF(L1455&lt;&gt;"",L1455,F1455)))</f>
        <v>2</v>
      </c>
    </row>
    <row r="1456" customFormat="false" ht="15" hidden="false" customHeight="true" outlineLevel="0" collapsed="false">
      <c r="A1456" s="30" t="s">
        <v>181</v>
      </c>
      <c r="B1456" s="30" t="s">
        <v>182</v>
      </c>
      <c r="C1456" s="21" t="n">
        <f aca="false">IF(A1456="","",IFERROR(VLOOKUP(A1456,'Recert Status'!$A$8:$C$400,3,FALSE()),""))</f>
        <v>46752</v>
      </c>
      <c r="D1456" s="31" t="s">
        <v>880</v>
      </c>
      <c r="E1456" s="30" t="n">
        <v>29740</v>
      </c>
      <c r="F1456" s="32" t="n">
        <v>1</v>
      </c>
      <c r="G1456" s="33" t="n">
        <v>45899</v>
      </c>
      <c r="H1456" s="33" t="n">
        <v>45899</v>
      </c>
      <c r="I1456" s="31" t="s">
        <v>881</v>
      </c>
      <c r="J1456" s="30" t="s">
        <v>394</v>
      </c>
      <c r="K1456" s="31" t="s">
        <v>882</v>
      </c>
      <c r="L1456" s="32" t="n">
        <v>1</v>
      </c>
      <c r="M1456" s="29" t="s">
        <v>366</v>
      </c>
      <c r="N1456" s="31" t="s">
        <v>367</v>
      </c>
      <c r="O1456" s="32" t="n">
        <v>1</v>
      </c>
      <c r="P1456" s="15" t="n">
        <f aca="false">IF(A1456="","",IF(O1456&lt;&gt;"",O1456,IF(L1456&lt;&gt;"",L1456,F1456)))</f>
        <v>1</v>
      </c>
    </row>
    <row r="1457" customFormat="false" ht="15" hidden="false" customHeight="true" outlineLevel="0" collapsed="false">
      <c r="A1457" s="26" t="s">
        <v>181</v>
      </c>
      <c r="B1457" s="26" t="s">
        <v>182</v>
      </c>
      <c r="C1457" s="14" t="n">
        <f aca="false">IF(A1457="","",IFERROR(VLOOKUP(A1457,'Recert Status'!$A$8:$C$400,3,FALSE()),""))</f>
        <v>46752</v>
      </c>
      <c r="D1457" s="18" t="s">
        <v>524</v>
      </c>
      <c r="E1457" s="26" t="s">
        <v>426</v>
      </c>
      <c r="F1457" s="27" t="n">
        <v>0.5</v>
      </c>
      <c r="G1457" s="28" t="n">
        <v>45881</v>
      </c>
      <c r="H1457" s="28" t="n">
        <v>45881</v>
      </c>
      <c r="I1457" s="18" t="s">
        <v>525</v>
      </c>
      <c r="J1457" s="26" t="s">
        <v>426</v>
      </c>
      <c r="K1457" s="18" t="s">
        <v>526</v>
      </c>
      <c r="L1457" s="27" t="n">
        <v>0.5</v>
      </c>
      <c r="M1457" s="41" t="s">
        <v>429</v>
      </c>
      <c r="N1457" s="18" t="s">
        <v>430</v>
      </c>
      <c r="O1457" s="27" t="n">
        <v>0.5</v>
      </c>
      <c r="P1457" s="15" t="n">
        <f aca="false">IF(A1457="","",IF(O1457&lt;&gt;"",O1457,IF(L1457&lt;&gt;"",L1457,F1457)))</f>
        <v>0.5</v>
      </c>
    </row>
    <row r="1458" customFormat="false" ht="15" hidden="false" customHeight="true" outlineLevel="0" collapsed="false">
      <c r="A1458" s="30" t="s">
        <v>181</v>
      </c>
      <c r="B1458" s="30" t="s">
        <v>182</v>
      </c>
      <c r="C1458" s="21" t="n">
        <f aca="false">IF(A1458="","",IFERROR(VLOOKUP(A1458,'Recert Status'!$A$8:$C$400,3,FALSE()),""))</f>
        <v>46752</v>
      </c>
      <c r="D1458" s="31" t="s">
        <v>888</v>
      </c>
      <c r="E1458" s="30" t="s">
        <v>426</v>
      </c>
      <c r="F1458" s="32" t="n">
        <v>1</v>
      </c>
      <c r="G1458" s="33" t="n">
        <v>46001</v>
      </c>
      <c r="H1458" s="33" t="n">
        <v>46001</v>
      </c>
      <c r="I1458" s="31" t="s">
        <v>889</v>
      </c>
      <c r="J1458" s="30" t="s">
        <v>426</v>
      </c>
      <c r="K1458" s="31" t="s">
        <v>428</v>
      </c>
      <c r="L1458" s="32" t="n">
        <v>1</v>
      </c>
      <c r="M1458" s="41" t="s">
        <v>429</v>
      </c>
      <c r="N1458" s="31" t="s">
        <v>430</v>
      </c>
      <c r="O1458" s="32" t="n">
        <v>1</v>
      </c>
      <c r="P1458" s="15" t="n">
        <f aca="false">IF(A1458="","",IF(O1458&lt;&gt;"",O1458,IF(L1458&lt;&gt;"",L1458,F1458)))</f>
        <v>1</v>
      </c>
    </row>
    <row r="1459" customFormat="false" ht="15" hidden="false" customHeight="true" outlineLevel="0" collapsed="false">
      <c r="A1459" s="26" t="s">
        <v>181</v>
      </c>
      <c r="B1459" s="26" t="s">
        <v>182</v>
      </c>
      <c r="C1459" s="14" t="n">
        <f aca="false">IF(A1459="","",IFERROR(VLOOKUP(A1459,'Recert Status'!$A$8:$C$400,3,FALSE()),""))</f>
        <v>46752</v>
      </c>
      <c r="D1459" s="18" t="s">
        <v>433</v>
      </c>
      <c r="E1459" s="26" t="n">
        <v>29784</v>
      </c>
      <c r="F1459" s="27" t="n">
        <v>1</v>
      </c>
      <c r="G1459" s="28" t="n">
        <v>45722</v>
      </c>
      <c r="H1459" s="28" t="n">
        <v>45722</v>
      </c>
      <c r="I1459" s="18" t="s">
        <v>434</v>
      </c>
      <c r="J1459" s="26" t="s">
        <v>435</v>
      </c>
      <c r="K1459" s="18" t="s">
        <v>436</v>
      </c>
      <c r="L1459" s="27" t="n">
        <v>1</v>
      </c>
      <c r="M1459" s="35" t="s">
        <v>386</v>
      </c>
      <c r="N1459" s="18" t="s">
        <v>387</v>
      </c>
      <c r="O1459" s="27" t="n">
        <v>1</v>
      </c>
      <c r="P1459" s="15" t="n">
        <f aca="false">IF(A1459="","",IF(O1459&lt;&gt;"",O1459,IF(L1459&lt;&gt;"",L1459,F1459)))</f>
        <v>1</v>
      </c>
    </row>
    <row r="1460" customFormat="false" ht="15" hidden="false" customHeight="true" outlineLevel="0" collapsed="false">
      <c r="A1460" s="30" t="s">
        <v>181</v>
      </c>
      <c r="B1460" s="30" t="s">
        <v>182</v>
      </c>
      <c r="C1460" s="21" t="n">
        <f aca="false">IF(A1460="","",IFERROR(VLOOKUP(A1460,'Recert Status'!$A$8:$C$400,3,FALSE()),""))</f>
        <v>46752</v>
      </c>
      <c r="D1460" s="31" t="s">
        <v>437</v>
      </c>
      <c r="E1460" s="30" t="n">
        <v>29743</v>
      </c>
      <c r="F1460" s="32" t="n">
        <v>1</v>
      </c>
      <c r="G1460" s="33" t="n">
        <v>45833</v>
      </c>
      <c r="H1460" s="33" t="n">
        <v>45833</v>
      </c>
      <c r="I1460" s="31" t="s">
        <v>438</v>
      </c>
      <c r="J1460" s="30" t="s">
        <v>439</v>
      </c>
      <c r="K1460" s="31" t="s">
        <v>440</v>
      </c>
      <c r="L1460" s="32" t="n">
        <v>1</v>
      </c>
      <c r="M1460" s="35" t="s">
        <v>386</v>
      </c>
      <c r="N1460" s="31" t="s">
        <v>387</v>
      </c>
      <c r="O1460" s="32" t="n">
        <v>1</v>
      </c>
      <c r="P1460" s="15" t="n">
        <f aca="false">IF(A1460="","",IF(O1460&lt;&gt;"",O1460,IF(L1460&lt;&gt;"",L1460,F1460)))</f>
        <v>1</v>
      </c>
    </row>
    <row r="1461" customFormat="false" ht="15" hidden="false" customHeight="true" outlineLevel="0" collapsed="false">
      <c r="A1461" s="26" t="s">
        <v>181</v>
      </c>
      <c r="B1461" s="26" t="s">
        <v>182</v>
      </c>
      <c r="C1461" s="14" t="n">
        <f aca="false">IF(A1461="","",IFERROR(VLOOKUP(A1461,'Recert Status'!$A$8:$C$400,3,FALSE()),""))</f>
        <v>46752</v>
      </c>
      <c r="D1461" s="18" t="s">
        <v>441</v>
      </c>
      <c r="E1461" s="26" t="n">
        <v>29743</v>
      </c>
      <c r="F1461" s="27" t="n">
        <v>1</v>
      </c>
      <c r="G1461" s="28" t="n">
        <v>45833</v>
      </c>
      <c r="H1461" s="28" t="n">
        <v>45833</v>
      </c>
      <c r="I1461" s="18" t="s">
        <v>442</v>
      </c>
      <c r="J1461" s="26" t="s">
        <v>439</v>
      </c>
      <c r="K1461" s="18" t="s">
        <v>443</v>
      </c>
      <c r="L1461" s="27" t="n">
        <v>1</v>
      </c>
      <c r="M1461" s="35" t="s">
        <v>386</v>
      </c>
      <c r="N1461" s="18" t="s">
        <v>387</v>
      </c>
      <c r="O1461" s="27" t="n">
        <v>1</v>
      </c>
      <c r="P1461" s="15" t="n">
        <f aca="false">IF(A1461="","",IF(O1461&lt;&gt;"",O1461,IF(L1461&lt;&gt;"",L1461,F1461)))</f>
        <v>1</v>
      </c>
    </row>
    <row r="1462" customFormat="false" ht="15" hidden="false" customHeight="true" outlineLevel="0" collapsed="false">
      <c r="A1462" s="30" t="s">
        <v>181</v>
      </c>
      <c r="B1462" s="30" t="s">
        <v>182</v>
      </c>
      <c r="C1462" s="21" t="n">
        <f aca="false">IF(A1462="","",IFERROR(VLOOKUP(A1462,'Recert Status'!$A$8:$C$400,3,FALSE()),""))</f>
        <v>46752</v>
      </c>
      <c r="D1462" s="31" t="s">
        <v>441</v>
      </c>
      <c r="E1462" s="30" t="n">
        <v>29743</v>
      </c>
      <c r="F1462" s="32" t="n">
        <v>1</v>
      </c>
      <c r="G1462" s="33" t="n">
        <v>45911</v>
      </c>
      <c r="H1462" s="33" t="n">
        <v>45911</v>
      </c>
      <c r="I1462" s="31" t="s">
        <v>893</v>
      </c>
      <c r="J1462" s="30" t="s">
        <v>439</v>
      </c>
      <c r="K1462" s="31" t="s">
        <v>791</v>
      </c>
      <c r="L1462" s="32" t="n">
        <v>1</v>
      </c>
      <c r="M1462" s="35" t="s">
        <v>386</v>
      </c>
      <c r="N1462" s="31" t="s">
        <v>387</v>
      </c>
      <c r="O1462" s="32" t="n">
        <v>1</v>
      </c>
      <c r="P1462" s="15" t="n">
        <f aca="false">IF(A1462="","",IF(O1462&lt;&gt;"",O1462,IF(L1462&lt;&gt;"",L1462,F1462)))</f>
        <v>1</v>
      </c>
    </row>
    <row r="1463" customFormat="false" ht="15" hidden="false" customHeight="true" outlineLevel="0" collapsed="false">
      <c r="A1463" s="26" t="s">
        <v>181</v>
      </c>
      <c r="B1463" s="26" t="s">
        <v>182</v>
      </c>
      <c r="C1463" s="14" t="n">
        <f aca="false">IF(A1463="","",IFERROR(VLOOKUP(A1463,'Recert Status'!$A$8:$C$400,3,FALSE()),""))</f>
        <v>46752</v>
      </c>
      <c r="D1463" s="18" t="s">
        <v>899</v>
      </c>
      <c r="E1463" s="26" t="n">
        <v>29668</v>
      </c>
      <c r="F1463" s="27" t="n">
        <v>1</v>
      </c>
      <c r="G1463" s="28" t="n">
        <v>45974</v>
      </c>
      <c r="H1463" s="28" t="n">
        <v>45974</v>
      </c>
      <c r="I1463" s="18" t="s">
        <v>900</v>
      </c>
      <c r="J1463" s="26" t="s">
        <v>511</v>
      </c>
      <c r="K1463" s="18" t="s">
        <v>509</v>
      </c>
      <c r="L1463" s="27" t="n">
        <v>1</v>
      </c>
      <c r="M1463" s="35" t="s">
        <v>386</v>
      </c>
      <c r="N1463" s="18" t="s">
        <v>514</v>
      </c>
      <c r="O1463" s="27" t="n">
        <v>1</v>
      </c>
      <c r="P1463" s="15" t="n">
        <f aca="false">IF(A1463="","",IF(O1463&lt;&gt;"",O1463,IF(L1463&lt;&gt;"",L1463,F1463)))</f>
        <v>1</v>
      </c>
    </row>
    <row r="1464" customFormat="false" ht="15" hidden="false" customHeight="true" outlineLevel="0" collapsed="false">
      <c r="A1464" s="30" t="s">
        <v>181</v>
      </c>
      <c r="B1464" s="30" t="s">
        <v>182</v>
      </c>
      <c r="C1464" s="21" t="n">
        <f aca="false">IF(A1464="","",IFERROR(VLOOKUP(A1464,'Recert Status'!$A$8:$C$400,3,FALSE()),""))</f>
        <v>46752</v>
      </c>
      <c r="D1464" s="31" t="s">
        <v>531</v>
      </c>
      <c r="E1464" s="30" t="s">
        <v>452</v>
      </c>
      <c r="F1464" s="32" t="n">
        <v>1</v>
      </c>
      <c r="G1464" s="33" t="n">
        <v>45983</v>
      </c>
      <c r="H1464" s="33" t="n">
        <v>45983</v>
      </c>
      <c r="I1464" s="31" t="s">
        <v>532</v>
      </c>
      <c r="J1464" s="30" t="s">
        <v>452</v>
      </c>
      <c r="K1464" s="31" t="s">
        <v>385</v>
      </c>
      <c r="L1464" s="32" t="n">
        <v>1</v>
      </c>
      <c r="M1464" s="36" t="s">
        <v>396</v>
      </c>
      <c r="N1464" s="31" t="s">
        <v>397</v>
      </c>
      <c r="O1464" s="32" t="n">
        <v>1</v>
      </c>
      <c r="P1464" s="15" t="n">
        <f aca="false">IF(A1464="","",IF(O1464&lt;&gt;"",O1464,IF(L1464&lt;&gt;"",L1464,F1464)))</f>
        <v>1</v>
      </c>
    </row>
    <row r="1465" customFormat="false" ht="15" hidden="false" customHeight="true" outlineLevel="0" collapsed="false">
      <c r="A1465" s="26" t="s">
        <v>181</v>
      </c>
      <c r="B1465" s="26" t="s">
        <v>182</v>
      </c>
      <c r="C1465" s="14" t="n">
        <f aca="false">IF(A1465="","",IFERROR(VLOOKUP(A1465,'Recert Status'!$A$8:$C$400,3,FALSE()),""))</f>
        <v>46752</v>
      </c>
      <c r="D1465" s="18" t="s">
        <v>876</v>
      </c>
      <c r="E1465" s="26" t="n">
        <v>29740</v>
      </c>
      <c r="F1465" s="27" t="n">
        <v>1</v>
      </c>
      <c r="G1465" s="28" t="n">
        <v>45825</v>
      </c>
      <c r="H1465" s="28" t="n">
        <v>45825</v>
      </c>
      <c r="I1465" s="18" t="s">
        <v>877</v>
      </c>
      <c r="J1465" s="26" t="s">
        <v>394</v>
      </c>
      <c r="K1465" s="18" t="s">
        <v>418</v>
      </c>
      <c r="L1465" s="27" t="n">
        <v>1</v>
      </c>
      <c r="M1465" s="39" t="s">
        <v>413</v>
      </c>
      <c r="N1465" s="18" t="s">
        <v>514</v>
      </c>
      <c r="O1465" s="27" t="n">
        <v>1</v>
      </c>
      <c r="P1465" s="15" t="n">
        <f aca="false">IF(A1465="","",IF(O1465&lt;&gt;"",O1465,IF(L1465&lt;&gt;"",L1465,F1465)))</f>
        <v>1</v>
      </c>
    </row>
    <row r="1466" customFormat="false" ht="15" hidden="false" customHeight="true" outlineLevel="0" collapsed="false">
      <c r="A1466" s="30" t="s">
        <v>181</v>
      </c>
      <c r="B1466" s="30" t="s">
        <v>182</v>
      </c>
      <c r="C1466" s="21" t="n">
        <f aca="false">IF(A1466="","",IFERROR(VLOOKUP(A1466,'Recert Status'!$A$8:$C$400,3,FALSE()),""))</f>
        <v>46752</v>
      </c>
      <c r="D1466" s="31" t="s">
        <v>415</v>
      </c>
      <c r="E1466" s="30" t="s">
        <v>416</v>
      </c>
      <c r="F1466" s="32" t="n">
        <v>2</v>
      </c>
      <c r="G1466" s="33" t="n">
        <v>45860</v>
      </c>
      <c r="H1466" s="33" t="n">
        <v>45860</v>
      </c>
      <c r="I1466" s="31" t="s">
        <v>721</v>
      </c>
      <c r="J1466" s="30" t="s">
        <v>416</v>
      </c>
      <c r="K1466" s="31" t="s">
        <v>418</v>
      </c>
      <c r="L1466" s="32" t="n">
        <v>2</v>
      </c>
      <c r="M1466" s="39" t="s">
        <v>413</v>
      </c>
      <c r="N1466" s="31" t="s">
        <v>414</v>
      </c>
      <c r="O1466" s="32" t="n">
        <v>2</v>
      </c>
      <c r="P1466" s="15" t="n">
        <f aca="false">IF(A1466="","",IF(O1466&lt;&gt;"",O1466,IF(L1466&lt;&gt;"",L1466,F1466)))</f>
        <v>2</v>
      </c>
    </row>
    <row r="1467" customFormat="false" ht="15" hidden="false" customHeight="true" outlineLevel="0" collapsed="false">
      <c r="A1467" s="26" t="s">
        <v>181</v>
      </c>
      <c r="B1467" s="26" t="s">
        <v>182</v>
      </c>
      <c r="C1467" s="14" t="n">
        <f aca="false">IF(A1467="","",IFERROR(VLOOKUP(A1467,'Recert Status'!$A$8:$C$400,3,FALSE()),""))</f>
        <v>46752</v>
      </c>
      <c r="D1467" s="18" t="s">
        <v>705</v>
      </c>
      <c r="E1467" s="26" t="s">
        <v>416</v>
      </c>
      <c r="F1467" s="27" t="n">
        <v>1.5</v>
      </c>
      <c r="G1467" s="28" t="n">
        <v>45896</v>
      </c>
      <c r="H1467" s="28" t="n">
        <v>45896</v>
      </c>
      <c r="I1467" s="18" t="s">
        <v>722</v>
      </c>
      <c r="J1467" s="26" t="s">
        <v>416</v>
      </c>
      <c r="K1467" s="18" t="s">
        <v>723</v>
      </c>
      <c r="L1467" s="27" t="n">
        <v>1.5</v>
      </c>
      <c r="M1467" s="39" t="s">
        <v>413</v>
      </c>
      <c r="N1467" s="18" t="s">
        <v>414</v>
      </c>
      <c r="O1467" s="27" t="n">
        <v>1.5</v>
      </c>
      <c r="P1467" s="15" t="n">
        <f aca="false">IF(A1467="","",IF(O1467&lt;&gt;"",O1467,IF(L1467&lt;&gt;"",L1467,F1467)))</f>
        <v>1.5</v>
      </c>
    </row>
    <row r="1468" customFormat="false" ht="15" hidden="false" customHeight="true" outlineLevel="0" collapsed="false">
      <c r="A1468" s="30" t="s">
        <v>181</v>
      </c>
      <c r="B1468" s="30" t="s">
        <v>182</v>
      </c>
      <c r="C1468" s="21" t="n">
        <f aca="false">IF(A1468="","",IFERROR(VLOOKUP(A1468,'Recert Status'!$A$8:$C$400,3,FALSE()),""))</f>
        <v>46752</v>
      </c>
      <c r="D1468" s="31" t="s">
        <v>750</v>
      </c>
      <c r="E1468" s="30" t="s">
        <v>416</v>
      </c>
      <c r="F1468" s="32" t="n">
        <v>3</v>
      </c>
      <c r="G1468" s="33" t="n">
        <v>46001</v>
      </c>
      <c r="H1468" s="33" t="n">
        <v>46001</v>
      </c>
      <c r="I1468" s="31" t="s">
        <v>751</v>
      </c>
      <c r="J1468" s="30" t="s">
        <v>416</v>
      </c>
      <c r="K1468" s="31" t="s">
        <v>456</v>
      </c>
      <c r="L1468" s="32" t="n">
        <v>3</v>
      </c>
      <c r="M1468" s="39" t="s">
        <v>413</v>
      </c>
      <c r="N1468" s="31" t="s">
        <v>414</v>
      </c>
      <c r="O1468" s="32" t="n">
        <v>3</v>
      </c>
      <c r="P1468" s="15" t="n">
        <f aca="false">IF(A1468="","",IF(O1468&lt;&gt;"",O1468,IF(L1468&lt;&gt;"",L1468,F1468)))</f>
        <v>3</v>
      </c>
    </row>
    <row r="1469" customFormat="false" ht="15" hidden="false" customHeight="true" outlineLevel="0" collapsed="false">
      <c r="A1469" s="26" t="s">
        <v>181</v>
      </c>
      <c r="B1469" s="26" t="s">
        <v>182</v>
      </c>
      <c r="C1469" s="14" t="n">
        <f aca="false">IF(A1469="","",IFERROR(VLOOKUP(A1469,'Recert Status'!$A$8:$C$400,3,FALSE()),""))</f>
        <v>46752</v>
      </c>
      <c r="D1469" s="18" t="s">
        <v>488</v>
      </c>
      <c r="E1469" s="26" t="s">
        <v>416</v>
      </c>
      <c r="F1469" s="27" t="n">
        <v>1</v>
      </c>
      <c r="G1469" s="28" t="n">
        <v>46139</v>
      </c>
      <c r="H1469" s="28" t="n">
        <v>46139</v>
      </c>
      <c r="I1469" s="18" t="s">
        <v>610</v>
      </c>
      <c r="J1469" s="26" t="s">
        <v>416</v>
      </c>
      <c r="K1469" s="18" t="s">
        <v>490</v>
      </c>
      <c r="L1469" s="27" t="n">
        <v>1</v>
      </c>
      <c r="M1469" s="39" t="s">
        <v>413</v>
      </c>
      <c r="N1469" s="18" t="s">
        <v>414</v>
      </c>
      <c r="O1469" s="27" t="n">
        <v>1</v>
      </c>
      <c r="P1469" s="15" t="n">
        <f aca="false">IF(A1469="","",IF(O1469&lt;&gt;"",O1469,IF(L1469&lt;&gt;"",L1469,F1469)))</f>
        <v>1</v>
      </c>
    </row>
    <row r="1470" customFormat="false" ht="15" hidden="false" customHeight="true" outlineLevel="0" collapsed="false">
      <c r="A1470" s="30" t="s">
        <v>181</v>
      </c>
      <c r="B1470" s="30" t="s">
        <v>182</v>
      </c>
      <c r="C1470" s="21" t="n">
        <f aca="false">IF(A1470="","",IFERROR(VLOOKUP(A1470,'Recert Status'!$A$8:$C$400,3,FALSE()),""))</f>
        <v>46752</v>
      </c>
      <c r="D1470" s="31" t="s">
        <v>414</v>
      </c>
      <c r="E1470" s="30" t="s">
        <v>416</v>
      </c>
      <c r="F1470" s="32" t="n">
        <v>4</v>
      </c>
      <c r="G1470" s="33" t="n">
        <v>46217</v>
      </c>
      <c r="H1470" s="33" t="n">
        <v>46217</v>
      </c>
      <c r="I1470" s="31" t="s">
        <v>611</v>
      </c>
      <c r="J1470" s="30" t="s">
        <v>416</v>
      </c>
      <c r="K1470" s="31" t="s">
        <v>418</v>
      </c>
      <c r="L1470" s="32" t="n">
        <v>4</v>
      </c>
      <c r="M1470" s="39" t="s">
        <v>413</v>
      </c>
      <c r="N1470" s="31" t="s">
        <v>414</v>
      </c>
      <c r="O1470" s="32" t="n">
        <v>4</v>
      </c>
      <c r="P1470" s="15" t="n">
        <f aca="false">IF(A1470="","",IF(O1470&lt;&gt;"",O1470,IF(L1470&lt;&gt;"",L1470,F1470)))</f>
        <v>4</v>
      </c>
    </row>
    <row r="1471" customFormat="false" ht="15" hidden="false" customHeight="true" outlineLevel="0" collapsed="false">
      <c r="A1471" s="26" t="s">
        <v>181</v>
      </c>
      <c r="B1471" s="26" t="s">
        <v>182</v>
      </c>
      <c r="C1471" s="14" t="n">
        <f aca="false">IF(A1471="","",IFERROR(VLOOKUP(A1471,'Recert Status'!$A$8:$C$400,3,FALSE()),""))</f>
        <v>46752</v>
      </c>
      <c r="D1471" s="18" t="s">
        <v>414</v>
      </c>
      <c r="E1471" s="26" t="s">
        <v>416</v>
      </c>
      <c r="F1471" s="27" t="n">
        <v>4</v>
      </c>
      <c r="G1471" s="28" t="n">
        <v>46218</v>
      </c>
      <c r="H1471" s="28" t="n">
        <v>46218</v>
      </c>
      <c r="I1471" s="18" t="s">
        <v>752</v>
      </c>
      <c r="J1471" s="26" t="s">
        <v>416</v>
      </c>
      <c r="K1471" s="18" t="s">
        <v>418</v>
      </c>
      <c r="L1471" s="27" t="n">
        <v>4</v>
      </c>
      <c r="M1471" s="39" t="s">
        <v>413</v>
      </c>
      <c r="N1471" s="18" t="s">
        <v>414</v>
      </c>
      <c r="O1471" s="27" t="n">
        <v>4</v>
      </c>
      <c r="P1471" s="15" t="n">
        <f aca="false">IF(A1471="","",IF(O1471&lt;&gt;"",O1471,IF(L1471&lt;&gt;"",L1471,F1471)))</f>
        <v>4</v>
      </c>
    </row>
    <row r="1472" customFormat="false" ht="15" hidden="false" customHeight="true" outlineLevel="0" collapsed="false">
      <c r="A1472" s="30" t="s">
        <v>183</v>
      </c>
      <c r="B1472" s="30" t="s">
        <v>184</v>
      </c>
      <c r="C1472" s="21" t="n">
        <f aca="false">IF(A1472="","",IFERROR(VLOOKUP(A1472,'Recert Status'!$A$8:$C$400,3,FALSE()),""))</f>
        <v>46752</v>
      </c>
      <c r="D1472" s="31" t="s">
        <v>367</v>
      </c>
      <c r="E1472" s="30" t="s">
        <v>363</v>
      </c>
      <c r="F1472" s="32" t="n">
        <v>1</v>
      </c>
      <c r="G1472" s="33" t="n">
        <v>46228</v>
      </c>
      <c r="H1472" s="33" t="n">
        <v>46228</v>
      </c>
      <c r="I1472" s="31" t="s">
        <v>758</v>
      </c>
      <c r="J1472" s="30" t="s">
        <v>363</v>
      </c>
      <c r="K1472" s="31" t="s">
        <v>370</v>
      </c>
      <c r="L1472" s="32" t="n">
        <v>1</v>
      </c>
      <c r="M1472" s="29" t="s">
        <v>366</v>
      </c>
      <c r="N1472" s="31" t="s">
        <v>367</v>
      </c>
      <c r="O1472" s="32" t="n">
        <v>1</v>
      </c>
      <c r="P1472" s="15" t="n">
        <f aca="false">IF(A1472="","",IF(O1472&lt;&gt;"",O1472,IF(L1472&lt;&gt;"",L1472,F1472)))</f>
        <v>1</v>
      </c>
    </row>
    <row r="1473" customFormat="false" ht="15" hidden="false" customHeight="true" outlineLevel="0" collapsed="false">
      <c r="A1473" s="26" t="s">
        <v>183</v>
      </c>
      <c r="B1473" s="26" t="s">
        <v>184</v>
      </c>
      <c r="C1473" s="14" t="n">
        <f aca="false">IF(A1473="","",IFERROR(VLOOKUP(A1473,'Recert Status'!$A$8:$C$400,3,FALSE()),""))</f>
        <v>46752</v>
      </c>
      <c r="D1473" s="18" t="s">
        <v>589</v>
      </c>
      <c r="E1473" s="26" t="s">
        <v>542</v>
      </c>
      <c r="F1473" s="27" t="n">
        <v>1</v>
      </c>
      <c r="G1473" s="28" t="n">
        <v>46081</v>
      </c>
      <c r="H1473" s="28" t="n">
        <v>46081</v>
      </c>
      <c r="I1473" s="18" t="s">
        <v>590</v>
      </c>
      <c r="J1473" s="26" t="s">
        <v>542</v>
      </c>
      <c r="K1473" s="18" t="s">
        <v>422</v>
      </c>
      <c r="L1473" s="27" t="n">
        <v>1</v>
      </c>
      <c r="M1473" s="40" t="s">
        <v>423</v>
      </c>
      <c r="N1473" s="18" t="s">
        <v>424</v>
      </c>
      <c r="O1473" s="27" t="n">
        <v>1</v>
      </c>
      <c r="P1473" s="15" t="n">
        <f aca="false">IF(A1473="","",IF(O1473&lt;&gt;"",O1473,IF(L1473&lt;&gt;"",L1473,F1473)))</f>
        <v>1</v>
      </c>
    </row>
    <row r="1474" customFormat="false" ht="15" hidden="false" customHeight="true" outlineLevel="0" collapsed="false">
      <c r="A1474" s="30" t="s">
        <v>183</v>
      </c>
      <c r="B1474" s="30" t="s">
        <v>184</v>
      </c>
      <c r="C1474" s="21" t="n">
        <f aca="false">IF(A1474="","",IFERROR(VLOOKUP(A1474,'Recert Status'!$A$8:$C$400,3,FALSE()),""))</f>
        <v>46752</v>
      </c>
      <c r="D1474" s="31" t="s">
        <v>591</v>
      </c>
      <c r="E1474" s="30" t="n">
        <v>57435</v>
      </c>
      <c r="F1474" s="32" t="n">
        <v>0.5</v>
      </c>
      <c r="G1474" s="33" t="n">
        <v>45985</v>
      </c>
      <c r="H1474" s="33" t="n">
        <v>45985</v>
      </c>
      <c r="I1474" s="31" t="s">
        <v>592</v>
      </c>
      <c r="J1474" s="30" t="s">
        <v>593</v>
      </c>
      <c r="K1474" s="31" t="s">
        <v>446</v>
      </c>
      <c r="L1474" s="32" t="n">
        <v>0.5</v>
      </c>
      <c r="M1474" s="35" t="s">
        <v>386</v>
      </c>
      <c r="N1474" s="31" t="s">
        <v>387</v>
      </c>
      <c r="O1474" s="32" t="n">
        <v>0.5</v>
      </c>
      <c r="P1474" s="15" t="n">
        <f aca="false">IF(A1474="","",IF(O1474&lt;&gt;"",O1474,IF(L1474&lt;&gt;"",L1474,F1474)))</f>
        <v>0.5</v>
      </c>
    </row>
    <row r="1475" customFormat="false" ht="15" hidden="false" customHeight="true" outlineLevel="0" collapsed="false">
      <c r="A1475" s="26" t="s">
        <v>183</v>
      </c>
      <c r="B1475" s="26" t="s">
        <v>184</v>
      </c>
      <c r="C1475" s="14" t="n">
        <f aca="false">IF(A1475="","",IFERROR(VLOOKUP(A1475,'Recert Status'!$A$8:$C$400,3,FALSE()),""))</f>
        <v>46752</v>
      </c>
      <c r="D1475" s="18" t="s">
        <v>662</v>
      </c>
      <c r="E1475" s="26" t="s">
        <v>452</v>
      </c>
      <c r="F1475" s="27" t="n">
        <v>1</v>
      </c>
      <c r="G1475" s="28" t="n">
        <v>46141</v>
      </c>
      <c r="H1475" s="28" t="n">
        <v>46141</v>
      </c>
      <c r="I1475" s="18" t="s">
        <v>1375</v>
      </c>
      <c r="J1475" s="26" t="s">
        <v>452</v>
      </c>
      <c r="K1475" s="18" t="s">
        <v>385</v>
      </c>
      <c r="L1475" s="27" t="n">
        <v>1</v>
      </c>
      <c r="M1475" s="36" t="s">
        <v>396</v>
      </c>
      <c r="N1475" s="18" t="s">
        <v>397</v>
      </c>
      <c r="O1475" s="27" t="n">
        <v>1</v>
      </c>
      <c r="P1475" s="15" t="n">
        <f aca="false">IF(A1475="","",IF(O1475&lt;&gt;"",O1475,IF(L1475&lt;&gt;"",L1475,F1475)))</f>
        <v>1</v>
      </c>
    </row>
    <row r="1476" customFormat="false" ht="15" hidden="false" customHeight="true" outlineLevel="0" collapsed="false">
      <c r="A1476" s="30" t="s">
        <v>183</v>
      </c>
      <c r="B1476" s="30" t="s">
        <v>184</v>
      </c>
      <c r="C1476" s="21" t="n">
        <f aca="false">IF(A1476="","",IFERROR(VLOOKUP(A1476,'Recert Status'!$A$8:$C$400,3,FALSE()),""))</f>
        <v>46752</v>
      </c>
      <c r="D1476" s="31" t="s">
        <v>717</v>
      </c>
      <c r="E1476" s="30" t="s">
        <v>416</v>
      </c>
      <c r="F1476" s="32" t="n">
        <v>1</v>
      </c>
      <c r="G1476" s="33" t="n">
        <v>45826</v>
      </c>
      <c r="H1476" s="33" t="n">
        <v>45826</v>
      </c>
      <c r="I1476" s="31" t="s">
        <v>1227</v>
      </c>
      <c r="J1476" s="30" t="s">
        <v>416</v>
      </c>
      <c r="K1476" s="31" t="s">
        <v>418</v>
      </c>
      <c r="L1476" s="32" t="n">
        <v>1</v>
      </c>
      <c r="M1476" s="39" t="s">
        <v>413</v>
      </c>
      <c r="N1476" s="31" t="s">
        <v>414</v>
      </c>
      <c r="O1476" s="32" t="n">
        <v>1</v>
      </c>
      <c r="P1476" s="15" t="n">
        <f aca="false">IF(A1476="","",IF(O1476&lt;&gt;"",O1476,IF(L1476&lt;&gt;"",L1476,F1476)))</f>
        <v>1</v>
      </c>
    </row>
    <row r="1477" customFormat="false" ht="15" hidden="false" customHeight="true" outlineLevel="0" collapsed="false">
      <c r="A1477" s="26" t="s">
        <v>183</v>
      </c>
      <c r="B1477" s="26" t="s">
        <v>184</v>
      </c>
      <c r="C1477" s="14" t="n">
        <f aca="false">IF(A1477="","",IFERROR(VLOOKUP(A1477,'Recert Status'!$A$8:$C$400,3,FALSE()),""))</f>
        <v>46752</v>
      </c>
      <c r="D1477" s="18" t="s">
        <v>717</v>
      </c>
      <c r="E1477" s="26" t="s">
        <v>416</v>
      </c>
      <c r="F1477" s="27" t="n">
        <v>2</v>
      </c>
      <c r="G1477" s="28" t="n">
        <v>45859</v>
      </c>
      <c r="H1477" s="28" t="n">
        <v>45859</v>
      </c>
      <c r="I1477" s="18" t="s">
        <v>718</v>
      </c>
      <c r="J1477" s="26" t="s">
        <v>416</v>
      </c>
      <c r="K1477" s="18" t="s">
        <v>418</v>
      </c>
      <c r="L1477" s="27" t="n">
        <v>2</v>
      </c>
      <c r="M1477" s="39" t="s">
        <v>413</v>
      </c>
      <c r="N1477" s="18" t="s">
        <v>414</v>
      </c>
      <c r="O1477" s="27" t="n">
        <v>2</v>
      </c>
      <c r="P1477" s="15" t="n">
        <f aca="false">IF(A1477="","",IF(O1477&lt;&gt;"",O1477,IF(L1477&lt;&gt;"",L1477,F1477)))</f>
        <v>2</v>
      </c>
    </row>
    <row r="1478" customFormat="false" ht="15" hidden="false" customHeight="true" outlineLevel="0" collapsed="false">
      <c r="A1478" s="30" t="s">
        <v>183</v>
      </c>
      <c r="B1478" s="30" t="s">
        <v>184</v>
      </c>
      <c r="C1478" s="21" t="n">
        <f aca="false">IF(A1478="","",IFERROR(VLOOKUP(A1478,'Recert Status'!$A$8:$C$400,3,FALSE()),""))</f>
        <v>46752</v>
      </c>
      <c r="D1478" s="31" t="s">
        <v>488</v>
      </c>
      <c r="E1478" s="30" t="s">
        <v>416</v>
      </c>
      <c r="F1478" s="32" t="n">
        <v>1</v>
      </c>
      <c r="G1478" s="33" t="n">
        <v>46126</v>
      </c>
      <c r="H1478" s="33" t="n">
        <v>46126</v>
      </c>
      <c r="I1478" s="31" t="s">
        <v>489</v>
      </c>
      <c r="J1478" s="30" t="s">
        <v>416</v>
      </c>
      <c r="K1478" s="31" t="s">
        <v>490</v>
      </c>
      <c r="L1478" s="32" t="n">
        <v>1</v>
      </c>
      <c r="M1478" s="39" t="s">
        <v>413</v>
      </c>
      <c r="N1478" s="31" t="s">
        <v>414</v>
      </c>
      <c r="O1478" s="32" t="n">
        <v>1</v>
      </c>
      <c r="P1478" s="15" t="n">
        <f aca="false">IF(A1478="","",IF(O1478&lt;&gt;"",O1478,IF(L1478&lt;&gt;"",L1478,F1478)))</f>
        <v>1</v>
      </c>
    </row>
    <row r="1479" customFormat="false" ht="15" hidden="false" customHeight="true" outlineLevel="0" collapsed="false">
      <c r="A1479" s="26" t="s">
        <v>183</v>
      </c>
      <c r="B1479" s="26" t="s">
        <v>184</v>
      </c>
      <c r="C1479" s="14" t="n">
        <f aca="false">IF(A1479="","",IFERROR(VLOOKUP(A1479,'Recert Status'!$A$8:$C$400,3,FALSE()),""))</f>
        <v>46752</v>
      </c>
      <c r="D1479" s="18" t="s">
        <v>414</v>
      </c>
      <c r="E1479" s="26" t="s">
        <v>416</v>
      </c>
      <c r="F1479" s="27" t="n">
        <v>1</v>
      </c>
      <c r="G1479" s="28" t="n">
        <v>46201</v>
      </c>
      <c r="H1479" s="28" t="n">
        <v>46201</v>
      </c>
      <c r="I1479" s="18" t="s">
        <v>1370</v>
      </c>
      <c r="J1479" s="26" t="s">
        <v>416</v>
      </c>
      <c r="K1479" s="18" t="s">
        <v>485</v>
      </c>
      <c r="L1479" s="27" t="n">
        <v>1</v>
      </c>
      <c r="M1479" s="39" t="s">
        <v>413</v>
      </c>
      <c r="N1479" s="18" t="s">
        <v>414</v>
      </c>
      <c r="O1479" s="27" t="n">
        <v>1</v>
      </c>
      <c r="P1479" s="15" t="n">
        <f aca="false">IF(A1479="","",IF(O1479&lt;&gt;"",O1479,IF(L1479&lt;&gt;"",L1479,F1479)))</f>
        <v>1</v>
      </c>
    </row>
    <row r="1480" customFormat="false" ht="15" hidden="false" customHeight="true" outlineLevel="0" collapsed="false">
      <c r="A1480" s="30" t="s">
        <v>183</v>
      </c>
      <c r="B1480" s="30" t="s">
        <v>184</v>
      </c>
      <c r="C1480" s="21" t="n">
        <f aca="false">IF(A1480="","",IFERROR(VLOOKUP(A1480,'Recert Status'!$A$8:$C$400,3,FALSE()),""))</f>
        <v>46752</v>
      </c>
      <c r="D1480" s="31" t="s">
        <v>414</v>
      </c>
      <c r="E1480" s="30" t="s">
        <v>416</v>
      </c>
      <c r="F1480" s="32" t="n">
        <v>2</v>
      </c>
      <c r="G1480" s="33" t="n">
        <v>46219</v>
      </c>
      <c r="H1480" s="33" t="n">
        <v>46219</v>
      </c>
      <c r="I1480" s="31" t="s">
        <v>567</v>
      </c>
      <c r="J1480" s="30" t="s">
        <v>416</v>
      </c>
      <c r="K1480" s="31" t="s">
        <v>418</v>
      </c>
      <c r="L1480" s="32" t="n">
        <v>2</v>
      </c>
      <c r="M1480" s="39" t="s">
        <v>413</v>
      </c>
      <c r="N1480" s="31" t="s">
        <v>414</v>
      </c>
      <c r="O1480" s="32" t="n">
        <v>2</v>
      </c>
      <c r="P1480" s="15" t="n">
        <f aca="false">IF(A1480="","",IF(O1480&lt;&gt;"",O1480,IF(L1480&lt;&gt;"",L1480,F1480)))</f>
        <v>2</v>
      </c>
    </row>
    <row r="1481" customFormat="false" ht="15" hidden="false" customHeight="true" outlineLevel="0" collapsed="false">
      <c r="A1481" s="26" t="s">
        <v>185</v>
      </c>
      <c r="B1481" s="26" t="s">
        <v>186</v>
      </c>
      <c r="C1481" s="14" t="n">
        <f aca="false">IF(A1481="","",IFERROR(VLOOKUP(A1481,'Recert Status'!$A$8:$C$400,3,FALSE()),""))</f>
        <v>46387</v>
      </c>
      <c r="D1481" s="18" t="s">
        <v>1237</v>
      </c>
      <c r="E1481" s="26" t="s">
        <v>363</v>
      </c>
      <c r="F1481" s="27" t="n">
        <v>0.5</v>
      </c>
      <c r="G1481" s="28" t="n">
        <v>45843</v>
      </c>
      <c r="H1481" s="28" t="n">
        <v>45843</v>
      </c>
      <c r="I1481" s="18" t="s">
        <v>1238</v>
      </c>
      <c r="J1481" s="26" t="s">
        <v>363</v>
      </c>
      <c r="K1481" s="18" t="s">
        <v>370</v>
      </c>
      <c r="L1481" s="27" t="n">
        <v>0.5</v>
      </c>
      <c r="M1481" s="29" t="s">
        <v>366</v>
      </c>
      <c r="N1481" s="18" t="s">
        <v>367</v>
      </c>
      <c r="O1481" s="27" t="n">
        <v>0.5</v>
      </c>
      <c r="P1481" s="15" t="n">
        <f aca="false">IF(A1481="","",IF(O1481&lt;&gt;"",O1481,IF(L1481&lt;&gt;"",L1481,F1481)))</f>
        <v>0.5</v>
      </c>
    </row>
    <row r="1482" customFormat="false" ht="15" hidden="false" customHeight="true" outlineLevel="0" collapsed="false">
      <c r="A1482" s="30" t="s">
        <v>185</v>
      </c>
      <c r="B1482" s="30" t="s">
        <v>186</v>
      </c>
      <c r="C1482" s="21" t="n">
        <f aca="false">IF(A1482="","",IFERROR(VLOOKUP(A1482,'Recert Status'!$A$8:$C$400,3,FALSE()),""))</f>
        <v>46387</v>
      </c>
      <c r="D1482" s="31" t="s">
        <v>726</v>
      </c>
      <c r="E1482" s="30" t="n">
        <v>57404</v>
      </c>
      <c r="F1482" s="32" t="n">
        <v>3</v>
      </c>
      <c r="G1482" s="33" t="n">
        <v>45971</v>
      </c>
      <c r="H1482" s="33" t="n">
        <v>45971</v>
      </c>
      <c r="I1482" s="31" t="s">
        <v>727</v>
      </c>
      <c r="J1482" s="30" t="s">
        <v>728</v>
      </c>
      <c r="K1482" s="31" t="s">
        <v>630</v>
      </c>
      <c r="L1482" s="32" t="n">
        <v>3</v>
      </c>
      <c r="M1482" s="29" t="s">
        <v>366</v>
      </c>
      <c r="N1482" s="31" t="s">
        <v>514</v>
      </c>
      <c r="O1482" s="32" t="n">
        <v>3</v>
      </c>
      <c r="P1482" s="15" t="n">
        <f aca="false">IF(A1482="","",IF(O1482&lt;&gt;"",O1482,IF(L1482&lt;&gt;"",L1482,F1482)))</f>
        <v>3</v>
      </c>
    </row>
    <row r="1483" customFormat="false" ht="15" hidden="false" customHeight="true" outlineLevel="0" collapsed="false">
      <c r="A1483" s="26" t="s">
        <v>185</v>
      </c>
      <c r="B1483" s="26" t="s">
        <v>186</v>
      </c>
      <c r="C1483" s="14" t="n">
        <f aca="false">IF(A1483="","",IFERROR(VLOOKUP(A1483,'Recert Status'!$A$8:$C$400,3,FALSE()),""))</f>
        <v>46387</v>
      </c>
      <c r="D1483" s="18" t="s">
        <v>569</v>
      </c>
      <c r="E1483" s="26" t="n">
        <v>57433</v>
      </c>
      <c r="F1483" s="27" t="n">
        <v>1</v>
      </c>
      <c r="G1483" s="28" t="n">
        <v>46017</v>
      </c>
      <c r="H1483" s="28" t="n">
        <v>46017</v>
      </c>
      <c r="I1483" s="18" t="s">
        <v>570</v>
      </c>
      <c r="J1483" s="26" t="s">
        <v>421</v>
      </c>
      <c r="K1483" s="18" t="s">
        <v>428</v>
      </c>
      <c r="L1483" s="27" t="n">
        <v>1</v>
      </c>
      <c r="M1483" s="40" t="s">
        <v>423</v>
      </c>
      <c r="N1483" s="18" t="s">
        <v>514</v>
      </c>
      <c r="O1483" s="27" t="n">
        <v>1</v>
      </c>
      <c r="P1483" s="15" t="n">
        <f aca="false">IF(A1483="","",IF(O1483&lt;&gt;"",O1483,IF(L1483&lt;&gt;"",L1483,F1483)))</f>
        <v>1</v>
      </c>
    </row>
    <row r="1484" customFormat="false" ht="15" hidden="false" customHeight="true" outlineLevel="0" collapsed="false">
      <c r="A1484" s="30" t="s">
        <v>185</v>
      </c>
      <c r="B1484" s="30" t="s">
        <v>186</v>
      </c>
      <c r="C1484" s="21" t="n">
        <f aca="false">IF(A1484="","",IFERROR(VLOOKUP(A1484,'Recert Status'!$A$8:$C$400,3,FALSE()),""))</f>
        <v>46387</v>
      </c>
      <c r="D1484" s="31" t="s">
        <v>884</v>
      </c>
      <c r="E1484" s="30" t="s">
        <v>426</v>
      </c>
      <c r="F1484" s="32" t="n">
        <v>2</v>
      </c>
      <c r="G1484" s="33" t="n">
        <v>45929</v>
      </c>
      <c r="H1484" s="33" t="n">
        <v>45929</v>
      </c>
      <c r="I1484" s="31" t="s">
        <v>885</v>
      </c>
      <c r="J1484" s="30" t="s">
        <v>426</v>
      </c>
      <c r="K1484" s="31" t="s">
        <v>428</v>
      </c>
      <c r="L1484" s="32" t="n">
        <v>2</v>
      </c>
      <c r="M1484" s="41" t="s">
        <v>429</v>
      </c>
      <c r="N1484" s="31" t="s">
        <v>430</v>
      </c>
      <c r="O1484" s="32" t="n">
        <v>2</v>
      </c>
      <c r="P1484" s="15" t="n">
        <f aca="false">IF(A1484="","",IF(O1484&lt;&gt;"",O1484,IF(L1484&lt;&gt;"",L1484,F1484)))</f>
        <v>2</v>
      </c>
    </row>
    <row r="1485" customFormat="false" ht="15" hidden="false" customHeight="true" outlineLevel="0" collapsed="false">
      <c r="A1485" s="26" t="s">
        <v>185</v>
      </c>
      <c r="B1485" s="26" t="s">
        <v>186</v>
      </c>
      <c r="C1485" s="14" t="n">
        <f aca="false">IF(A1485="","",IFERROR(VLOOKUP(A1485,'Recert Status'!$A$8:$C$400,3,FALSE()),""))</f>
        <v>46387</v>
      </c>
      <c r="D1485" s="18" t="s">
        <v>729</v>
      </c>
      <c r="E1485" s="26" t="s">
        <v>426</v>
      </c>
      <c r="F1485" s="27" t="n">
        <v>2</v>
      </c>
      <c r="G1485" s="28" t="n">
        <v>45971</v>
      </c>
      <c r="H1485" s="28" t="n">
        <v>45971</v>
      </c>
      <c r="I1485" s="18" t="s">
        <v>730</v>
      </c>
      <c r="J1485" s="26" t="s">
        <v>426</v>
      </c>
      <c r="K1485" s="18" t="s">
        <v>428</v>
      </c>
      <c r="L1485" s="27" t="n">
        <v>2</v>
      </c>
      <c r="M1485" s="41" t="s">
        <v>429</v>
      </c>
      <c r="N1485" s="18" t="s">
        <v>430</v>
      </c>
      <c r="O1485" s="27" t="n">
        <v>2</v>
      </c>
      <c r="P1485" s="15" t="n">
        <f aca="false">IF(A1485="","",IF(O1485&lt;&gt;"",O1485,IF(L1485&lt;&gt;"",L1485,F1485)))</f>
        <v>2</v>
      </c>
    </row>
    <row r="1486" customFormat="false" ht="15" hidden="false" customHeight="true" outlineLevel="0" collapsed="false">
      <c r="A1486" s="30" t="s">
        <v>185</v>
      </c>
      <c r="B1486" s="30" t="s">
        <v>186</v>
      </c>
      <c r="C1486" s="21" t="n">
        <f aca="false">IF(A1486="","",IFERROR(VLOOKUP(A1486,'Recert Status'!$A$8:$C$400,3,FALSE()),""))</f>
        <v>46387</v>
      </c>
      <c r="D1486" s="31" t="s">
        <v>508</v>
      </c>
      <c r="E1486" s="30" t="s">
        <v>426</v>
      </c>
      <c r="F1486" s="32" t="n">
        <v>1.5</v>
      </c>
      <c r="G1486" s="33" t="n">
        <v>45973</v>
      </c>
      <c r="H1486" s="33" t="n">
        <v>45973</v>
      </c>
      <c r="I1486" s="31" t="s">
        <v>731</v>
      </c>
      <c r="J1486" s="30" t="s">
        <v>426</v>
      </c>
      <c r="K1486" s="31" t="s">
        <v>428</v>
      </c>
      <c r="L1486" s="32" t="n">
        <v>1.5</v>
      </c>
      <c r="M1486" s="41" t="s">
        <v>429</v>
      </c>
      <c r="N1486" s="31" t="s">
        <v>430</v>
      </c>
      <c r="O1486" s="32" t="n">
        <v>1.5</v>
      </c>
      <c r="P1486" s="15" t="n">
        <f aca="false">IF(A1486="","",IF(O1486&lt;&gt;"",O1486,IF(L1486&lt;&gt;"",L1486,F1486)))</f>
        <v>1.5</v>
      </c>
    </row>
    <row r="1487" customFormat="false" ht="15" hidden="false" customHeight="true" outlineLevel="0" collapsed="false">
      <c r="A1487" s="26" t="s">
        <v>185</v>
      </c>
      <c r="B1487" s="26" t="s">
        <v>186</v>
      </c>
      <c r="C1487" s="14" t="n">
        <f aca="false">IF(A1487="","",IFERROR(VLOOKUP(A1487,'Recert Status'!$A$8:$C$400,3,FALSE()),""))</f>
        <v>46387</v>
      </c>
      <c r="D1487" s="18" t="s">
        <v>1376</v>
      </c>
      <c r="E1487" s="26" t="s">
        <v>372</v>
      </c>
      <c r="F1487" s="27" t="n">
        <v>1</v>
      </c>
      <c r="G1487" s="28" t="n">
        <v>45944</v>
      </c>
      <c r="H1487" s="28" t="n">
        <v>45944</v>
      </c>
      <c r="I1487" s="18" t="s">
        <v>1377</v>
      </c>
      <c r="J1487" s="26" t="s">
        <v>372</v>
      </c>
      <c r="K1487" s="18" t="s">
        <v>374</v>
      </c>
      <c r="L1487" s="27" t="n">
        <v>1</v>
      </c>
      <c r="M1487" s="34" t="s">
        <v>375</v>
      </c>
      <c r="N1487" s="18" t="s">
        <v>376</v>
      </c>
      <c r="O1487" s="27" t="n">
        <v>1</v>
      </c>
      <c r="P1487" s="15" t="n">
        <f aca="false">IF(A1487="","",IF(O1487&lt;&gt;"",O1487,IF(L1487&lt;&gt;"",L1487,F1487)))</f>
        <v>1</v>
      </c>
    </row>
    <row r="1488" customFormat="false" ht="15" hidden="false" customHeight="true" outlineLevel="0" collapsed="false">
      <c r="A1488" s="30" t="s">
        <v>185</v>
      </c>
      <c r="B1488" s="30" t="s">
        <v>186</v>
      </c>
      <c r="C1488" s="21" t="n">
        <f aca="false">IF(A1488="","",IFERROR(VLOOKUP(A1488,'Recert Status'!$A$8:$C$400,3,FALSE()),""))</f>
        <v>46387</v>
      </c>
      <c r="D1488" s="31" t="s">
        <v>1231</v>
      </c>
      <c r="E1488" s="30" t="n">
        <v>29740</v>
      </c>
      <c r="F1488" s="32" t="n">
        <v>0.75</v>
      </c>
      <c r="G1488" s="33" t="n">
        <v>45698</v>
      </c>
      <c r="H1488" s="33" t="n">
        <v>45698</v>
      </c>
      <c r="I1488" s="31" t="s">
        <v>1232</v>
      </c>
      <c r="J1488" s="30" t="s">
        <v>394</v>
      </c>
      <c r="K1488" s="31" t="s">
        <v>509</v>
      </c>
      <c r="L1488" s="32" t="n">
        <v>0.75</v>
      </c>
      <c r="M1488" s="35" t="s">
        <v>386</v>
      </c>
      <c r="N1488" s="31" t="s">
        <v>387</v>
      </c>
      <c r="O1488" s="32" t="n">
        <v>0.75</v>
      </c>
      <c r="P1488" s="15" t="n">
        <f aca="false">IF(A1488="","",IF(O1488&lt;&gt;"",O1488,IF(L1488&lt;&gt;"",L1488,F1488)))</f>
        <v>0.75</v>
      </c>
    </row>
    <row r="1489" customFormat="false" ht="15" hidden="false" customHeight="true" outlineLevel="0" collapsed="false">
      <c r="A1489" s="26" t="s">
        <v>185</v>
      </c>
      <c r="B1489" s="26" t="s">
        <v>186</v>
      </c>
      <c r="C1489" s="14" t="n">
        <f aca="false">IF(A1489="","",IFERROR(VLOOKUP(A1489,'Recert Status'!$A$8:$C$400,3,FALSE()),""))</f>
        <v>46387</v>
      </c>
      <c r="D1489" s="18" t="s">
        <v>942</v>
      </c>
      <c r="E1489" s="26" t="s">
        <v>389</v>
      </c>
      <c r="F1489" s="27" t="n">
        <v>1</v>
      </c>
      <c r="G1489" s="28" t="n">
        <v>45731</v>
      </c>
      <c r="H1489" s="28" t="n">
        <v>45731</v>
      </c>
      <c r="I1489" s="18" t="s">
        <v>943</v>
      </c>
      <c r="J1489" s="26" t="s">
        <v>389</v>
      </c>
      <c r="K1489" s="18" t="s">
        <v>365</v>
      </c>
      <c r="L1489" s="27" t="n">
        <v>1</v>
      </c>
      <c r="M1489" s="35" t="s">
        <v>386</v>
      </c>
      <c r="N1489" s="18" t="s">
        <v>387</v>
      </c>
      <c r="O1489" s="27" t="n">
        <v>1</v>
      </c>
      <c r="P1489" s="15" t="n">
        <f aca="false">IF(A1489="","",IF(O1489&lt;&gt;"",O1489,IF(L1489&lt;&gt;"",L1489,F1489)))</f>
        <v>1</v>
      </c>
    </row>
    <row r="1490" customFormat="false" ht="15" hidden="false" customHeight="true" outlineLevel="0" collapsed="false">
      <c r="A1490" s="30" t="s">
        <v>185</v>
      </c>
      <c r="B1490" s="30" t="s">
        <v>186</v>
      </c>
      <c r="C1490" s="21" t="n">
        <f aca="false">IF(A1490="","",IFERROR(VLOOKUP(A1490,'Recert Status'!$A$8:$C$400,3,FALSE()),""))</f>
        <v>46387</v>
      </c>
      <c r="D1490" s="31" t="s">
        <v>437</v>
      </c>
      <c r="E1490" s="30" t="n">
        <v>29743</v>
      </c>
      <c r="F1490" s="32" t="n">
        <v>1</v>
      </c>
      <c r="G1490" s="33" t="n">
        <v>45833</v>
      </c>
      <c r="H1490" s="33" t="n">
        <v>45833</v>
      </c>
      <c r="I1490" s="31" t="s">
        <v>438</v>
      </c>
      <c r="J1490" s="30" t="s">
        <v>439</v>
      </c>
      <c r="K1490" s="31" t="s">
        <v>440</v>
      </c>
      <c r="L1490" s="32" t="n">
        <v>1</v>
      </c>
      <c r="M1490" s="35" t="s">
        <v>386</v>
      </c>
      <c r="N1490" s="31" t="s">
        <v>387</v>
      </c>
      <c r="O1490" s="32" t="n">
        <v>1</v>
      </c>
      <c r="P1490" s="15" t="n">
        <f aca="false">IF(A1490="","",IF(O1490&lt;&gt;"",O1490,IF(L1490&lt;&gt;"",L1490,F1490)))</f>
        <v>1</v>
      </c>
    </row>
    <row r="1491" customFormat="false" ht="15" hidden="false" customHeight="true" outlineLevel="0" collapsed="false">
      <c r="A1491" s="26" t="s">
        <v>185</v>
      </c>
      <c r="B1491" s="26" t="s">
        <v>186</v>
      </c>
      <c r="C1491" s="14" t="n">
        <f aca="false">IF(A1491="","",IFERROR(VLOOKUP(A1491,'Recert Status'!$A$8:$C$400,3,FALSE()),""))</f>
        <v>46387</v>
      </c>
      <c r="D1491" s="18" t="s">
        <v>441</v>
      </c>
      <c r="E1491" s="26" t="n">
        <v>29743</v>
      </c>
      <c r="F1491" s="27" t="n">
        <v>1</v>
      </c>
      <c r="G1491" s="28" t="n">
        <v>45833</v>
      </c>
      <c r="H1491" s="28" t="n">
        <v>45833</v>
      </c>
      <c r="I1491" s="18" t="s">
        <v>442</v>
      </c>
      <c r="J1491" s="26" t="s">
        <v>439</v>
      </c>
      <c r="K1491" s="18" t="s">
        <v>443</v>
      </c>
      <c r="L1491" s="27" t="n">
        <v>1</v>
      </c>
      <c r="M1491" s="35" t="s">
        <v>386</v>
      </c>
      <c r="N1491" s="18" t="s">
        <v>387</v>
      </c>
      <c r="O1491" s="27" t="n">
        <v>1</v>
      </c>
      <c r="P1491" s="15" t="n">
        <f aca="false">IF(A1491="","",IF(O1491&lt;&gt;"",O1491,IF(L1491&lt;&gt;"",L1491,F1491)))</f>
        <v>1</v>
      </c>
    </row>
    <row r="1492" customFormat="false" ht="15" hidden="false" customHeight="true" outlineLevel="0" collapsed="false">
      <c r="A1492" s="30" t="s">
        <v>185</v>
      </c>
      <c r="B1492" s="30" t="s">
        <v>186</v>
      </c>
      <c r="C1492" s="21" t="n">
        <f aca="false">IF(A1492="","",IFERROR(VLOOKUP(A1492,'Recert Status'!$A$8:$C$400,3,FALSE()),""))</f>
        <v>46387</v>
      </c>
      <c r="D1492" s="31" t="s">
        <v>816</v>
      </c>
      <c r="E1492" s="30" t="s">
        <v>817</v>
      </c>
      <c r="F1492" s="32" t="n">
        <v>2</v>
      </c>
      <c r="G1492" s="33" t="n">
        <v>45882</v>
      </c>
      <c r="H1492" s="33" t="n">
        <v>45882</v>
      </c>
      <c r="I1492" s="31" t="s">
        <v>818</v>
      </c>
      <c r="J1492" s="30" t="s">
        <v>817</v>
      </c>
      <c r="K1492" s="31" t="s">
        <v>819</v>
      </c>
      <c r="L1492" s="32" t="n">
        <v>2</v>
      </c>
      <c r="M1492" s="35" t="s">
        <v>386</v>
      </c>
      <c r="N1492" s="31" t="s">
        <v>387</v>
      </c>
      <c r="O1492" s="32" t="n">
        <v>2</v>
      </c>
      <c r="P1492" s="15" t="n">
        <f aca="false">IF(A1492="","",IF(O1492&lt;&gt;"",O1492,IF(L1492&lt;&gt;"",L1492,F1492)))</f>
        <v>2</v>
      </c>
    </row>
    <row r="1493" customFormat="false" ht="15" hidden="false" customHeight="true" outlineLevel="0" collapsed="false">
      <c r="A1493" s="26" t="s">
        <v>185</v>
      </c>
      <c r="B1493" s="26" t="s">
        <v>186</v>
      </c>
      <c r="C1493" s="14" t="n">
        <f aca="false">IF(A1493="","",IFERROR(VLOOKUP(A1493,'Recert Status'!$A$8:$C$400,3,FALSE()),""))</f>
        <v>46387</v>
      </c>
      <c r="D1493" s="18" t="s">
        <v>615</v>
      </c>
      <c r="E1493" s="26" t="n">
        <v>29740</v>
      </c>
      <c r="F1493" s="27" t="n">
        <v>2</v>
      </c>
      <c r="G1493" s="28" t="n">
        <v>45884</v>
      </c>
      <c r="H1493" s="28" t="n">
        <v>45884</v>
      </c>
      <c r="I1493" s="18" t="s">
        <v>616</v>
      </c>
      <c r="J1493" s="26" t="s">
        <v>394</v>
      </c>
      <c r="K1493" s="18" t="s">
        <v>385</v>
      </c>
      <c r="L1493" s="27" t="n">
        <v>2</v>
      </c>
      <c r="M1493" s="35" t="s">
        <v>386</v>
      </c>
      <c r="N1493" s="18" t="s">
        <v>397</v>
      </c>
      <c r="O1493" s="27" t="n">
        <v>2</v>
      </c>
      <c r="P1493" s="15" t="n">
        <f aca="false">IF(A1493="","",IF(O1493&lt;&gt;"",O1493,IF(L1493&lt;&gt;"",L1493,F1493)))</f>
        <v>2</v>
      </c>
    </row>
    <row r="1494" customFormat="false" ht="15" hidden="false" customHeight="true" outlineLevel="0" collapsed="false">
      <c r="A1494" s="30" t="s">
        <v>185</v>
      </c>
      <c r="B1494" s="30" t="s">
        <v>186</v>
      </c>
      <c r="C1494" s="21" t="n">
        <f aca="false">IF(A1494="","",IFERROR(VLOOKUP(A1494,'Recert Status'!$A$8:$C$400,3,FALSE()),""))</f>
        <v>46387</v>
      </c>
      <c r="D1494" s="31" t="s">
        <v>789</v>
      </c>
      <c r="E1494" s="30" t="n">
        <v>29743</v>
      </c>
      <c r="F1494" s="32" t="n">
        <v>1</v>
      </c>
      <c r="G1494" s="33" t="n">
        <v>45911</v>
      </c>
      <c r="H1494" s="33" t="n">
        <v>45911</v>
      </c>
      <c r="I1494" s="31" t="s">
        <v>790</v>
      </c>
      <c r="J1494" s="30" t="s">
        <v>439</v>
      </c>
      <c r="K1494" s="31" t="s">
        <v>791</v>
      </c>
      <c r="L1494" s="32" t="n">
        <v>1</v>
      </c>
      <c r="M1494" s="35" t="s">
        <v>386</v>
      </c>
      <c r="N1494" s="31" t="s">
        <v>387</v>
      </c>
      <c r="O1494" s="32" t="n">
        <v>1</v>
      </c>
      <c r="P1494" s="15" t="n">
        <f aca="false">IF(A1494="","",IF(O1494&lt;&gt;"",O1494,IF(L1494&lt;&gt;"",L1494,F1494)))</f>
        <v>1</v>
      </c>
    </row>
    <row r="1495" customFormat="false" ht="15" hidden="false" customHeight="true" outlineLevel="0" collapsed="false">
      <c r="A1495" s="26" t="s">
        <v>185</v>
      </c>
      <c r="B1495" s="26" t="s">
        <v>186</v>
      </c>
      <c r="C1495" s="14" t="n">
        <f aca="false">IF(A1495="","",IFERROR(VLOOKUP(A1495,'Recert Status'!$A$8:$C$400,3,FALSE()),""))</f>
        <v>46387</v>
      </c>
      <c r="D1495" s="18" t="s">
        <v>792</v>
      </c>
      <c r="E1495" s="26" t="n">
        <v>29743</v>
      </c>
      <c r="F1495" s="27" t="n">
        <v>1</v>
      </c>
      <c r="G1495" s="28" t="n">
        <v>45911</v>
      </c>
      <c r="H1495" s="28" t="n">
        <v>45911</v>
      </c>
      <c r="I1495" s="18" t="s">
        <v>790</v>
      </c>
      <c r="J1495" s="26" t="s">
        <v>439</v>
      </c>
      <c r="K1495" s="18" t="s">
        <v>791</v>
      </c>
      <c r="L1495" s="27" t="n">
        <v>1</v>
      </c>
      <c r="M1495" s="35" t="s">
        <v>386</v>
      </c>
      <c r="N1495" s="18" t="s">
        <v>387</v>
      </c>
      <c r="O1495" s="27" t="n">
        <v>1</v>
      </c>
      <c r="P1495" s="15" t="n">
        <f aca="false">IF(A1495="","",IF(O1495&lt;&gt;"",O1495,IF(L1495&lt;&gt;"",L1495,F1495)))</f>
        <v>1</v>
      </c>
    </row>
    <row r="1496" customFormat="false" ht="15" hidden="false" customHeight="true" outlineLevel="0" collapsed="false">
      <c r="A1496" s="30" t="s">
        <v>185</v>
      </c>
      <c r="B1496" s="30" t="s">
        <v>186</v>
      </c>
      <c r="C1496" s="21" t="n">
        <f aca="false">IF(A1496="","",IFERROR(VLOOKUP(A1496,'Recert Status'!$A$8:$C$400,3,FALSE()),""))</f>
        <v>46387</v>
      </c>
      <c r="D1496" s="31" t="s">
        <v>738</v>
      </c>
      <c r="E1496" s="30" t="s">
        <v>389</v>
      </c>
      <c r="F1496" s="32" t="n">
        <v>3</v>
      </c>
      <c r="G1496" s="33" t="n">
        <v>45971</v>
      </c>
      <c r="H1496" s="33" t="n">
        <v>45971</v>
      </c>
      <c r="I1496" s="31" t="s">
        <v>739</v>
      </c>
      <c r="J1496" s="30" t="s">
        <v>389</v>
      </c>
      <c r="K1496" s="31" t="s">
        <v>740</v>
      </c>
      <c r="L1496" s="32" t="n">
        <v>3</v>
      </c>
      <c r="M1496" s="35" t="s">
        <v>386</v>
      </c>
      <c r="N1496" s="31" t="s">
        <v>387</v>
      </c>
      <c r="O1496" s="32" t="n">
        <v>3</v>
      </c>
      <c r="P1496" s="15" t="n">
        <f aca="false">IF(A1496="","",IF(O1496&lt;&gt;"",O1496,IF(L1496&lt;&gt;"",L1496,F1496)))</f>
        <v>3</v>
      </c>
    </row>
    <row r="1497" customFormat="false" ht="15" hidden="false" customHeight="true" outlineLevel="0" collapsed="false">
      <c r="A1497" s="26" t="s">
        <v>185</v>
      </c>
      <c r="B1497" s="26" t="s">
        <v>186</v>
      </c>
      <c r="C1497" s="14" t="n">
        <f aca="false">IF(A1497="","",IFERROR(VLOOKUP(A1497,'Recert Status'!$A$8:$C$400,3,FALSE()),""))</f>
        <v>46387</v>
      </c>
      <c r="D1497" s="18" t="s">
        <v>741</v>
      </c>
      <c r="E1497" s="26" t="s">
        <v>389</v>
      </c>
      <c r="F1497" s="27" t="n">
        <v>1</v>
      </c>
      <c r="G1497" s="28" t="n">
        <v>45973</v>
      </c>
      <c r="H1497" s="28" t="n">
        <v>45973</v>
      </c>
      <c r="I1497" s="18" t="s">
        <v>731</v>
      </c>
      <c r="J1497" s="26" t="s">
        <v>389</v>
      </c>
      <c r="K1497" s="18" t="s">
        <v>509</v>
      </c>
      <c r="L1497" s="27" t="n">
        <v>1</v>
      </c>
      <c r="M1497" s="35" t="s">
        <v>386</v>
      </c>
      <c r="N1497" s="18" t="s">
        <v>387</v>
      </c>
      <c r="O1497" s="27" t="n">
        <v>1</v>
      </c>
      <c r="P1497" s="15" t="n">
        <f aca="false">IF(A1497="","",IF(O1497&lt;&gt;"",O1497,IF(L1497&lt;&gt;"",L1497,F1497)))</f>
        <v>1</v>
      </c>
    </row>
    <row r="1498" customFormat="false" ht="15" hidden="false" customHeight="true" outlineLevel="0" collapsed="false">
      <c r="A1498" s="30" t="s">
        <v>185</v>
      </c>
      <c r="B1498" s="30" t="s">
        <v>186</v>
      </c>
      <c r="C1498" s="21" t="n">
        <f aca="false">IF(A1498="","",IFERROR(VLOOKUP(A1498,'Recert Status'!$A$8:$C$400,3,FALSE()),""))</f>
        <v>46387</v>
      </c>
      <c r="D1498" s="31" t="s">
        <v>742</v>
      </c>
      <c r="E1498" s="30" t="n">
        <v>29668</v>
      </c>
      <c r="F1498" s="32" t="n">
        <v>1.5</v>
      </c>
      <c r="G1498" s="33" t="n">
        <v>45973</v>
      </c>
      <c r="H1498" s="33" t="n">
        <v>45973</v>
      </c>
      <c r="I1498" s="31" t="s">
        <v>743</v>
      </c>
      <c r="J1498" s="30" t="s">
        <v>511</v>
      </c>
      <c r="K1498" s="31" t="s">
        <v>509</v>
      </c>
      <c r="L1498" s="32" t="n">
        <v>1.5</v>
      </c>
      <c r="M1498" s="35" t="s">
        <v>386</v>
      </c>
      <c r="N1498" s="31" t="s">
        <v>387</v>
      </c>
      <c r="O1498" s="32" t="n">
        <v>1.5</v>
      </c>
      <c r="P1498" s="15" t="n">
        <f aca="false">IF(A1498="","",IF(O1498&lt;&gt;"",O1498,IF(L1498&lt;&gt;"",L1498,F1498)))</f>
        <v>1.5</v>
      </c>
    </row>
    <row r="1499" customFormat="false" ht="15" hidden="false" customHeight="true" outlineLevel="0" collapsed="false">
      <c r="A1499" s="26" t="s">
        <v>185</v>
      </c>
      <c r="B1499" s="26" t="s">
        <v>186</v>
      </c>
      <c r="C1499" s="14" t="n">
        <f aca="false">IF(A1499="","",IFERROR(VLOOKUP(A1499,'Recert Status'!$A$8:$C$400,3,FALSE()),""))</f>
        <v>46387</v>
      </c>
      <c r="D1499" s="18" t="s">
        <v>744</v>
      </c>
      <c r="E1499" s="26" t="s">
        <v>452</v>
      </c>
      <c r="F1499" s="27" t="n">
        <v>4</v>
      </c>
      <c r="G1499" s="28" t="n">
        <v>45973</v>
      </c>
      <c r="H1499" s="28" t="n">
        <v>45973</v>
      </c>
      <c r="I1499" s="18" t="s">
        <v>731</v>
      </c>
      <c r="J1499" s="26" t="s">
        <v>452</v>
      </c>
      <c r="K1499" s="18" t="s">
        <v>385</v>
      </c>
      <c r="L1499" s="27" t="n">
        <v>4</v>
      </c>
      <c r="M1499" s="36" t="s">
        <v>396</v>
      </c>
      <c r="N1499" s="18" t="s">
        <v>397</v>
      </c>
      <c r="O1499" s="27" t="n">
        <v>4</v>
      </c>
      <c r="P1499" s="15" t="n">
        <f aca="false">IF(A1499="","",IF(O1499&lt;&gt;"",O1499,IF(L1499&lt;&gt;"",L1499,F1499)))</f>
        <v>4</v>
      </c>
    </row>
    <row r="1500" customFormat="false" ht="15" hidden="false" customHeight="true" outlineLevel="0" collapsed="false">
      <c r="A1500" s="30" t="s">
        <v>185</v>
      </c>
      <c r="B1500" s="30" t="s">
        <v>186</v>
      </c>
      <c r="C1500" s="21" t="n">
        <f aca="false">IF(A1500="","",IFERROR(VLOOKUP(A1500,'Recert Status'!$A$8:$C$400,3,FALSE()),""))</f>
        <v>46387</v>
      </c>
      <c r="D1500" s="31" t="s">
        <v>1378</v>
      </c>
      <c r="E1500" s="30" t="s">
        <v>399</v>
      </c>
      <c r="F1500" s="32" t="n">
        <v>1</v>
      </c>
      <c r="G1500" s="33" t="n">
        <v>45944</v>
      </c>
      <c r="H1500" s="33" t="n">
        <v>45944</v>
      </c>
      <c r="I1500" s="31" t="s">
        <v>1377</v>
      </c>
      <c r="J1500" s="30" t="s">
        <v>399</v>
      </c>
      <c r="K1500" s="31" t="s">
        <v>401</v>
      </c>
      <c r="L1500" s="32" t="n">
        <v>1</v>
      </c>
      <c r="M1500" s="37" t="s">
        <v>402</v>
      </c>
      <c r="N1500" s="31" t="s">
        <v>403</v>
      </c>
      <c r="O1500" s="32" t="n">
        <v>1</v>
      </c>
      <c r="P1500" s="15" t="n">
        <f aca="false">IF(A1500="","",IF(O1500&lt;&gt;"",O1500,IF(L1500&lt;&gt;"",L1500,F1500)))</f>
        <v>1</v>
      </c>
    </row>
    <row r="1501" customFormat="false" ht="15" hidden="false" customHeight="true" outlineLevel="0" collapsed="false">
      <c r="A1501" s="26" t="s">
        <v>185</v>
      </c>
      <c r="B1501" s="26" t="s">
        <v>186</v>
      </c>
      <c r="C1501" s="14" t="n">
        <f aca="false">IF(A1501="","",IFERROR(VLOOKUP(A1501,'Recert Status'!$A$8:$C$400,3,FALSE()),""))</f>
        <v>46387</v>
      </c>
      <c r="D1501" s="18" t="s">
        <v>944</v>
      </c>
      <c r="E1501" s="26" t="s">
        <v>416</v>
      </c>
      <c r="F1501" s="27" t="n">
        <v>1</v>
      </c>
      <c r="G1501" s="28" t="n">
        <v>45824</v>
      </c>
      <c r="H1501" s="28" t="n">
        <v>45824</v>
      </c>
      <c r="I1501" s="18" t="s">
        <v>945</v>
      </c>
      <c r="J1501" s="26" t="s">
        <v>416</v>
      </c>
      <c r="K1501" s="18" t="s">
        <v>456</v>
      </c>
      <c r="L1501" s="27" t="n">
        <v>1</v>
      </c>
      <c r="M1501" s="39" t="s">
        <v>413</v>
      </c>
      <c r="N1501" s="18" t="s">
        <v>414</v>
      </c>
      <c r="O1501" s="27" t="n">
        <v>1</v>
      </c>
      <c r="P1501" s="15" t="n">
        <f aca="false">IF(A1501="","",IF(O1501&lt;&gt;"",O1501,IF(L1501&lt;&gt;"",L1501,F1501)))</f>
        <v>1</v>
      </c>
    </row>
    <row r="1502" customFormat="false" ht="15" hidden="false" customHeight="true" outlineLevel="0" collapsed="false">
      <c r="A1502" s="30" t="s">
        <v>185</v>
      </c>
      <c r="B1502" s="30" t="s">
        <v>186</v>
      </c>
      <c r="C1502" s="21" t="n">
        <f aca="false">IF(A1502="","",IFERROR(VLOOKUP(A1502,'Recert Status'!$A$8:$C$400,3,FALSE()),""))</f>
        <v>46387</v>
      </c>
      <c r="D1502" s="31" t="s">
        <v>822</v>
      </c>
      <c r="E1502" s="30" t="s">
        <v>416</v>
      </c>
      <c r="F1502" s="32" t="n">
        <v>2</v>
      </c>
      <c r="G1502" s="33" t="n">
        <v>45861</v>
      </c>
      <c r="H1502" s="33" t="n">
        <v>45861</v>
      </c>
      <c r="I1502" s="31" t="s">
        <v>823</v>
      </c>
      <c r="J1502" s="30" t="s">
        <v>416</v>
      </c>
      <c r="K1502" s="31" t="s">
        <v>523</v>
      </c>
      <c r="L1502" s="32" t="n">
        <v>2</v>
      </c>
      <c r="M1502" s="39" t="s">
        <v>413</v>
      </c>
      <c r="N1502" s="31" t="s">
        <v>414</v>
      </c>
      <c r="O1502" s="32" t="n">
        <v>2</v>
      </c>
      <c r="P1502" s="15" t="n">
        <f aca="false">IF(A1502="","",IF(O1502&lt;&gt;"",O1502,IF(L1502&lt;&gt;"",L1502,F1502)))</f>
        <v>2</v>
      </c>
    </row>
    <row r="1503" customFormat="false" ht="15" hidden="false" customHeight="true" outlineLevel="0" collapsed="false">
      <c r="A1503" s="26" t="s">
        <v>185</v>
      </c>
      <c r="B1503" s="26" t="s">
        <v>186</v>
      </c>
      <c r="C1503" s="14" t="n">
        <f aca="false">IF(A1503="","",IFERROR(VLOOKUP(A1503,'Recert Status'!$A$8:$C$400,3,FALSE()),""))</f>
        <v>46387</v>
      </c>
      <c r="D1503" s="18" t="s">
        <v>415</v>
      </c>
      <c r="E1503" s="26" t="s">
        <v>416</v>
      </c>
      <c r="F1503" s="27" t="n">
        <v>8</v>
      </c>
      <c r="G1503" s="28" t="n">
        <v>45972</v>
      </c>
      <c r="H1503" s="28" t="n">
        <v>45972</v>
      </c>
      <c r="I1503" s="18" t="s">
        <v>749</v>
      </c>
      <c r="J1503" s="26" t="s">
        <v>416</v>
      </c>
      <c r="K1503" s="18" t="s">
        <v>456</v>
      </c>
      <c r="L1503" s="27" t="n">
        <v>8</v>
      </c>
      <c r="M1503" s="39" t="s">
        <v>413</v>
      </c>
      <c r="N1503" s="18" t="s">
        <v>414</v>
      </c>
      <c r="O1503" s="27" t="n">
        <v>8</v>
      </c>
      <c r="P1503" s="15" t="n">
        <f aca="false">IF(A1503="","",IF(O1503&lt;&gt;"",O1503,IF(L1503&lt;&gt;"",L1503,F1503)))</f>
        <v>8</v>
      </c>
    </row>
    <row r="1504" customFormat="false" ht="15" hidden="false" customHeight="true" outlineLevel="0" collapsed="false">
      <c r="A1504" s="30" t="s">
        <v>187</v>
      </c>
      <c r="B1504" s="30" t="s">
        <v>188</v>
      </c>
      <c r="C1504" s="21" t="n">
        <f aca="false">IF(A1504="","",IFERROR(VLOOKUP(A1504,'Recert Status'!$A$8:$C$400,3,FALSE()),""))</f>
        <v>46387</v>
      </c>
      <c r="D1504" s="31" t="s">
        <v>364</v>
      </c>
      <c r="E1504" s="30" t="n">
        <v>29675</v>
      </c>
      <c r="F1504" s="32" t="n">
        <v>1</v>
      </c>
      <c r="G1504" s="33" t="n">
        <v>45909</v>
      </c>
      <c r="H1504" s="33" t="n">
        <v>45909</v>
      </c>
      <c r="I1504" s="31" t="s">
        <v>1379</v>
      </c>
      <c r="J1504" s="30" t="s">
        <v>406</v>
      </c>
      <c r="K1504" s="31" t="s">
        <v>630</v>
      </c>
      <c r="L1504" s="32" t="n">
        <v>1</v>
      </c>
      <c r="M1504" s="29" t="s">
        <v>366</v>
      </c>
      <c r="N1504" s="31" t="s">
        <v>514</v>
      </c>
      <c r="O1504" s="32" t="n">
        <v>1</v>
      </c>
      <c r="P1504" s="15" t="n">
        <f aca="false">IF(A1504="","",IF(O1504&lt;&gt;"",O1504,IF(L1504&lt;&gt;"",L1504,F1504)))</f>
        <v>1</v>
      </c>
    </row>
    <row r="1505" customFormat="false" ht="15" hidden="false" customHeight="true" outlineLevel="0" collapsed="false">
      <c r="A1505" s="26" t="s">
        <v>187</v>
      </c>
      <c r="B1505" s="26" t="s">
        <v>188</v>
      </c>
      <c r="C1505" s="14" t="n">
        <f aca="false">IF(A1505="","",IFERROR(VLOOKUP(A1505,'Recert Status'!$A$8:$C$400,3,FALSE()),""))</f>
        <v>46387</v>
      </c>
      <c r="D1505" s="18" t="s">
        <v>1239</v>
      </c>
      <c r="E1505" s="26" t="s">
        <v>372</v>
      </c>
      <c r="F1505" s="27" t="n">
        <v>0.75</v>
      </c>
      <c r="G1505" s="28" t="n">
        <v>45873</v>
      </c>
      <c r="H1505" s="28" t="n">
        <v>45873</v>
      </c>
      <c r="I1505" s="18" t="s">
        <v>1240</v>
      </c>
      <c r="J1505" s="26" t="s">
        <v>372</v>
      </c>
      <c r="K1505" s="18" t="s">
        <v>374</v>
      </c>
      <c r="L1505" s="27" t="n">
        <v>0.75</v>
      </c>
      <c r="M1505" s="34" t="s">
        <v>375</v>
      </c>
      <c r="N1505" s="18" t="s">
        <v>376</v>
      </c>
      <c r="O1505" s="27" t="n">
        <v>0.75</v>
      </c>
      <c r="P1505" s="15" t="n">
        <f aca="false">IF(A1505="","",IF(O1505&lt;&gt;"",O1505,IF(L1505&lt;&gt;"",L1505,F1505)))</f>
        <v>0.75</v>
      </c>
    </row>
    <row r="1506" customFormat="false" ht="15" hidden="false" customHeight="true" outlineLevel="0" collapsed="false">
      <c r="A1506" s="30" t="s">
        <v>187</v>
      </c>
      <c r="B1506" s="30" t="s">
        <v>188</v>
      </c>
      <c r="C1506" s="21" t="n">
        <f aca="false">IF(A1506="","",IFERROR(VLOOKUP(A1506,'Recert Status'!$A$8:$C$400,3,FALSE()),""))</f>
        <v>46387</v>
      </c>
      <c r="D1506" s="31" t="s">
        <v>379</v>
      </c>
      <c r="E1506" s="30" t="s">
        <v>452</v>
      </c>
      <c r="F1506" s="32" t="n">
        <v>1</v>
      </c>
      <c r="G1506" s="33" t="n">
        <v>46140</v>
      </c>
      <c r="H1506" s="33" t="n">
        <v>46140</v>
      </c>
      <c r="I1506" s="31" t="s">
        <v>1380</v>
      </c>
      <c r="J1506" s="30" t="s">
        <v>452</v>
      </c>
      <c r="K1506" s="31" t="s">
        <v>735</v>
      </c>
      <c r="L1506" s="32" t="n">
        <v>1</v>
      </c>
      <c r="M1506" s="34" t="s">
        <v>375</v>
      </c>
      <c r="N1506" s="31" t="s">
        <v>376</v>
      </c>
      <c r="O1506" s="32" t="n">
        <v>1</v>
      </c>
      <c r="P1506" s="15" t="n">
        <f aca="false">IF(A1506="","",IF(O1506&lt;&gt;"",O1506,IF(L1506&lt;&gt;"",L1506,F1506)))</f>
        <v>1</v>
      </c>
    </row>
    <row r="1507" customFormat="false" ht="15" hidden="false" customHeight="true" outlineLevel="0" collapsed="false">
      <c r="A1507" s="26" t="s">
        <v>187</v>
      </c>
      <c r="B1507" s="26" t="s">
        <v>188</v>
      </c>
      <c r="C1507" s="14" t="n">
        <f aca="false">IF(A1507="","",IFERROR(VLOOKUP(A1507,'Recert Status'!$A$8:$C$400,3,FALSE()),""))</f>
        <v>46387</v>
      </c>
      <c r="D1507" s="18" t="s">
        <v>571</v>
      </c>
      <c r="E1507" s="26" t="n">
        <v>29675</v>
      </c>
      <c r="F1507" s="27" t="n">
        <v>1</v>
      </c>
      <c r="G1507" s="28" t="n">
        <v>45924</v>
      </c>
      <c r="H1507" s="28" t="n">
        <v>45924</v>
      </c>
      <c r="I1507" s="18" t="s">
        <v>572</v>
      </c>
      <c r="J1507" s="26" t="s">
        <v>406</v>
      </c>
      <c r="K1507" s="18" t="s">
        <v>468</v>
      </c>
      <c r="L1507" s="27" t="n">
        <v>1</v>
      </c>
      <c r="M1507" s="35" t="s">
        <v>386</v>
      </c>
      <c r="N1507" s="18" t="s">
        <v>387</v>
      </c>
      <c r="O1507" s="27" t="n">
        <v>1</v>
      </c>
      <c r="P1507" s="15" t="n">
        <f aca="false">IF(A1507="","",IF(O1507&lt;&gt;"",O1507,IF(L1507&lt;&gt;"",L1507,F1507)))</f>
        <v>1</v>
      </c>
    </row>
    <row r="1508" customFormat="false" ht="15" hidden="false" customHeight="true" outlineLevel="0" collapsed="false">
      <c r="A1508" s="30" t="s">
        <v>187</v>
      </c>
      <c r="B1508" s="30" t="s">
        <v>188</v>
      </c>
      <c r="C1508" s="21" t="n">
        <f aca="false">IF(A1508="","",IFERROR(VLOOKUP(A1508,'Recert Status'!$A$8:$C$400,3,FALSE()),""))</f>
        <v>46387</v>
      </c>
      <c r="D1508" s="31" t="s">
        <v>1297</v>
      </c>
      <c r="E1508" s="30" t="s">
        <v>389</v>
      </c>
      <c r="F1508" s="32" t="n">
        <v>1.5</v>
      </c>
      <c r="G1508" s="33" t="n">
        <v>46011</v>
      </c>
      <c r="H1508" s="33" t="n">
        <v>46011</v>
      </c>
      <c r="I1508" s="31" t="s">
        <v>1298</v>
      </c>
      <c r="J1508" s="30" t="s">
        <v>389</v>
      </c>
      <c r="K1508" s="31" t="s">
        <v>451</v>
      </c>
      <c r="L1508" s="32" t="n">
        <v>1.5</v>
      </c>
      <c r="M1508" s="35" t="s">
        <v>386</v>
      </c>
      <c r="N1508" s="31" t="s">
        <v>387</v>
      </c>
      <c r="O1508" s="32" t="n">
        <v>1.5</v>
      </c>
      <c r="P1508" s="15" t="n">
        <f aca="false">IF(A1508="","",IF(O1508&lt;&gt;"",O1508,IF(L1508&lt;&gt;"",L1508,F1508)))</f>
        <v>1.5</v>
      </c>
    </row>
    <row r="1509" customFormat="false" ht="15" hidden="false" customHeight="true" outlineLevel="0" collapsed="false">
      <c r="A1509" s="26" t="s">
        <v>187</v>
      </c>
      <c r="B1509" s="26" t="s">
        <v>188</v>
      </c>
      <c r="C1509" s="14" t="n">
        <f aca="false">IF(A1509="","",IFERROR(VLOOKUP(A1509,'Recert Status'!$A$8:$C$400,3,FALSE()),""))</f>
        <v>46387</v>
      </c>
      <c r="D1509" s="18" t="s">
        <v>1297</v>
      </c>
      <c r="E1509" s="26" t="s">
        <v>389</v>
      </c>
      <c r="F1509" s="27" t="n">
        <v>1.5</v>
      </c>
      <c r="G1509" s="28" t="n">
        <v>46011</v>
      </c>
      <c r="H1509" s="28" t="n">
        <v>46011</v>
      </c>
      <c r="I1509" s="18" t="s">
        <v>1298</v>
      </c>
      <c r="J1509" s="26" t="s">
        <v>389</v>
      </c>
      <c r="K1509" s="18" t="s">
        <v>451</v>
      </c>
      <c r="L1509" s="27" t="n">
        <v>1.5</v>
      </c>
      <c r="M1509" s="35" t="s">
        <v>386</v>
      </c>
      <c r="N1509" s="18" t="s">
        <v>387</v>
      </c>
      <c r="O1509" s="27" t="n">
        <v>1.5</v>
      </c>
      <c r="P1509" s="15" t="n">
        <f aca="false">IF(A1509="","",IF(O1509&lt;&gt;"",O1509,IF(L1509&lt;&gt;"",L1509,F1509)))</f>
        <v>1.5</v>
      </c>
    </row>
    <row r="1510" customFormat="false" ht="15" hidden="false" customHeight="true" outlineLevel="0" collapsed="false">
      <c r="A1510" s="30" t="s">
        <v>187</v>
      </c>
      <c r="B1510" s="30" t="s">
        <v>188</v>
      </c>
      <c r="C1510" s="21" t="n">
        <f aca="false">IF(A1510="","",IFERROR(VLOOKUP(A1510,'Recert Status'!$A$8:$C$400,3,FALSE()),""))</f>
        <v>46387</v>
      </c>
      <c r="D1510" s="31" t="s">
        <v>787</v>
      </c>
      <c r="E1510" s="30" t="n">
        <v>29784</v>
      </c>
      <c r="F1510" s="32" t="n">
        <v>1.5</v>
      </c>
      <c r="G1510" s="33" t="n">
        <v>46011</v>
      </c>
      <c r="H1510" s="33" t="n">
        <v>46011</v>
      </c>
      <c r="I1510" s="31" t="s">
        <v>1299</v>
      </c>
      <c r="J1510" s="30" t="s">
        <v>435</v>
      </c>
      <c r="K1510" s="31" t="s">
        <v>468</v>
      </c>
      <c r="L1510" s="32" t="n">
        <v>1.5</v>
      </c>
      <c r="M1510" s="35" t="s">
        <v>386</v>
      </c>
      <c r="N1510" s="31" t="s">
        <v>387</v>
      </c>
      <c r="O1510" s="32" t="n">
        <v>1.5</v>
      </c>
      <c r="P1510" s="15" t="n">
        <f aca="false">IF(A1510="","",IF(O1510&lt;&gt;"",O1510,IF(L1510&lt;&gt;"",L1510,F1510)))</f>
        <v>1.5</v>
      </c>
    </row>
    <row r="1511" customFormat="false" ht="15" hidden="false" customHeight="true" outlineLevel="0" collapsed="false">
      <c r="A1511" s="26" t="s">
        <v>187</v>
      </c>
      <c r="B1511" s="26" t="s">
        <v>188</v>
      </c>
      <c r="C1511" s="14" t="n">
        <f aca="false">IF(A1511="","",IFERROR(VLOOKUP(A1511,'Recert Status'!$A$8:$C$400,3,FALSE()),""))</f>
        <v>46387</v>
      </c>
      <c r="D1511" s="18" t="s">
        <v>388</v>
      </c>
      <c r="E1511" s="26" t="s">
        <v>389</v>
      </c>
      <c r="F1511" s="27" t="n">
        <v>3</v>
      </c>
      <c r="G1511" s="28" t="n">
        <v>46083</v>
      </c>
      <c r="H1511" s="28" t="n">
        <v>46083</v>
      </c>
      <c r="I1511" s="18" t="s">
        <v>390</v>
      </c>
      <c r="J1511" s="26" t="s">
        <v>389</v>
      </c>
      <c r="K1511" s="18" t="s">
        <v>391</v>
      </c>
      <c r="L1511" s="27" t="n">
        <v>3</v>
      </c>
      <c r="M1511" s="35" t="s">
        <v>386</v>
      </c>
      <c r="N1511" s="18" t="s">
        <v>387</v>
      </c>
      <c r="O1511" s="27" t="n">
        <v>3</v>
      </c>
      <c r="P1511" s="15" t="n">
        <f aca="false">IF(A1511="","",IF(O1511&lt;&gt;"",O1511,IF(L1511&lt;&gt;"",L1511,F1511)))</f>
        <v>3</v>
      </c>
    </row>
    <row r="1512" customFormat="false" ht="15" hidden="false" customHeight="true" outlineLevel="0" collapsed="false">
      <c r="A1512" s="30" t="s">
        <v>187</v>
      </c>
      <c r="B1512" s="30" t="s">
        <v>188</v>
      </c>
      <c r="C1512" s="21" t="n">
        <f aca="false">IF(A1512="","",IFERROR(VLOOKUP(A1512,'Recert Status'!$A$8:$C$400,3,FALSE()),""))</f>
        <v>46387</v>
      </c>
      <c r="D1512" s="31" t="s">
        <v>1246</v>
      </c>
      <c r="E1512" s="30" t="n">
        <v>29769</v>
      </c>
      <c r="F1512" s="32" t="n">
        <v>0.5</v>
      </c>
      <c r="G1512" s="33" t="n">
        <v>45843</v>
      </c>
      <c r="H1512" s="33" t="n">
        <v>45843</v>
      </c>
      <c r="I1512" s="31" t="s">
        <v>1247</v>
      </c>
      <c r="J1512" s="30" t="s">
        <v>517</v>
      </c>
      <c r="K1512" s="31" t="s">
        <v>412</v>
      </c>
      <c r="L1512" s="32" t="n">
        <v>0.5</v>
      </c>
      <c r="M1512" s="36" t="s">
        <v>396</v>
      </c>
      <c r="N1512" s="31" t="s">
        <v>397</v>
      </c>
      <c r="O1512" s="32" t="n">
        <v>0.5</v>
      </c>
      <c r="P1512" s="15" t="n">
        <f aca="false">IF(A1512="","",IF(O1512&lt;&gt;"",O1512,IF(L1512&lt;&gt;"",L1512,F1512)))</f>
        <v>0.5</v>
      </c>
    </row>
    <row r="1513" customFormat="false" ht="15" hidden="false" customHeight="true" outlineLevel="0" collapsed="false">
      <c r="A1513" s="26" t="s">
        <v>187</v>
      </c>
      <c r="B1513" s="26" t="s">
        <v>188</v>
      </c>
      <c r="C1513" s="14" t="n">
        <f aca="false">IF(A1513="","",IFERROR(VLOOKUP(A1513,'Recert Status'!$A$8:$C$400,3,FALSE()),""))</f>
        <v>46387</v>
      </c>
      <c r="D1513" s="18" t="s">
        <v>1300</v>
      </c>
      <c r="E1513" s="26" t="s">
        <v>452</v>
      </c>
      <c r="F1513" s="27" t="n">
        <v>1.5</v>
      </c>
      <c r="G1513" s="28" t="n">
        <v>46011</v>
      </c>
      <c r="H1513" s="28" t="n">
        <v>46011</v>
      </c>
      <c r="I1513" s="18" t="s">
        <v>1301</v>
      </c>
      <c r="J1513" s="26" t="s">
        <v>452</v>
      </c>
      <c r="K1513" s="18" t="s">
        <v>385</v>
      </c>
      <c r="L1513" s="27" t="n">
        <v>1.5</v>
      </c>
      <c r="M1513" s="36" t="s">
        <v>396</v>
      </c>
      <c r="N1513" s="18" t="s">
        <v>397</v>
      </c>
      <c r="O1513" s="27" t="n">
        <v>1.5</v>
      </c>
      <c r="P1513" s="15" t="n">
        <f aca="false">IF(A1513="","",IF(O1513&lt;&gt;"",O1513,IF(L1513&lt;&gt;"",L1513,F1513)))</f>
        <v>1.5</v>
      </c>
    </row>
    <row r="1514" customFormat="false" ht="15" hidden="false" customHeight="true" outlineLevel="0" collapsed="false">
      <c r="A1514" s="30" t="s">
        <v>187</v>
      </c>
      <c r="B1514" s="30" t="s">
        <v>188</v>
      </c>
      <c r="C1514" s="21" t="n">
        <f aca="false">IF(A1514="","",IFERROR(VLOOKUP(A1514,'Recert Status'!$A$8:$C$400,3,FALSE()),""))</f>
        <v>46387</v>
      </c>
      <c r="D1514" s="31" t="s">
        <v>1302</v>
      </c>
      <c r="E1514" s="30" t="s">
        <v>452</v>
      </c>
      <c r="F1514" s="32" t="n">
        <v>1</v>
      </c>
      <c r="G1514" s="33" t="n">
        <v>46017</v>
      </c>
      <c r="H1514" s="33" t="n">
        <v>46017</v>
      </c>
      <c r="I1514" s="31" t="s">
        <v>1303</v>
      </c>
      <c r="J1514" s="30" t="s">
        <v>452</v>
      </c>
      <c r="K1514" s="31" t="s">
        <v>385</v>
      </c>
      <c r="L1514" s="32" t="n">
        <v>1</v>
      </c>
      <c r="M1514" s="36" t="s">
        <v>396</v>
      </c>
      <c r="N1514" s="31" t="s">
        <v>397</v>
      </c>
      <c r="O1514" s="32" t="n">
        <v>1</v>
      </c>
      <c r="P1514" s="15" t="n">
        <f aca="false">IF(A1514="","",IF(O1514&lt;&gt;"",O1514,IF(L1514&lt;&gt;"",L1514,F1514)))</f>
        <v>1</v>
      </c>
    </row>
    <row r="1515" customFormat="false" ht="15" hidden="false" customHeight="true" outlineLevel="0" collapsed="false">
      <c r="A1515" s="26" t="s">
        <v>187</v>
      </c>
      <c r="B1515" s="26" t="s">
        <v>188</v>
      </c>
      <c r="C1515" s="14" t="n">
        <f aca="false">IF(A1515="","",IFERROR(VLOOKUP(A1515,'Recert Status'!$A$8:$C$400,3,FALSE()),""))</f>
        <v>46387</v>
      </c>
      <c r="D1515" s="18" t="s">
        <v>392</v>
      </c>
      <c r="E1515" s="26" t="n">
        <v>29740</v>
      </c>
      <c r="F1515" s="27" t="n">
        <v>1</v>
      </c>
      <c r="G1515" s="28" t="n">
        <v>46071</v>
      </c>
      <c r="H1515" s="28" t="n">
        <v>46071</v>
      </c>
      <c r="I1515" s="18" t="s">
        <v>393</v>
      </c>
      <c r="J1515" s="26" t="s">
        <v>394</v>
      </c>
      <c r="K1515" s="18" t="s">
        <v>395</v>
      </c>
      <c r="L1515" s="27" t="n">
        <v>1</v>
      </c>
      <c r="M1515" s="36" t="s">
        <v>396</v>
      </c>
      <c r="N1515" s="18" t="s">
        <v>397</v>
      </c>
      <c r="O1515" s="27" t="n">
        <v>1</v>
      </c>
      <c r="P1515" s="15" t="n">
        <f aca="false">IF(A1515="","",IF(O1515&lt;&gt;"",O1515,IF(L1515&lt;&gt;"",L1515,F1515)))</f>
        <v>1</v>
      </c>
    </row>
    <row r="1516" customFormat="false" ht="15" hidden="false" customHeight="true" outlineLevel="0" collapsed="false">
      <c r="A1516" s="30" t="s">
        <v>187</v>
      </c>
      <c r="B1516" s="30" t="s">
        <v>188</v>
      </c>
      <c r="C1516" s="21" t="n">
        <f aca="false">IF(A1516="","",IFERROR(VLOOKUP(A1516,'Recert Status'!$A$8:$C$400,3,FALSE()),""))</f>
        <v>46387</v>
      </c>
      <c r="D1516" s="31" t="s">
        <v>955</v>
      </c>
      <c r="E1516" s="30" t="s">
        <v>399</v>
      </c>
      <c r="F1516" s="32" t="n">
        <v>1</v>
      </c>
      <c r="G1516" s="33" t="n">
        <v>45972</v>
      </c>
      <c r="H1516" s="33" t="n">
        <v>45972</v>
      </c>
      <c r="I1516" s="31" t="s">
        <v>956</v>
      </c>
      <c r="J1516" s="30" t="s">
        <v>399</v>
      </c>
      <c r="K1516" s="31" t="s">
        <v>401</v>
      </c>
      <c r="L1516" s="32" t="n">
        <v>1</v>
      </c>
      <c r="M1516" s="37" t="s">
        <v>402</v>
      </c>
      <c r="N1516" s="31" t="s">
        <v>403</v>
      </c>
      <c r="O1516" s="32" t="n">
        <v>1</v>
      </c>
      <c r="P1516" s="15" t="n">
        <f aca="false">IF(A1516="","",IF(O1516&lt;&gt;"",O1516,IF(L1516&lt;&gt;"",L1516,F1516)))</f>
        <v>1</v>
      </c>
    </row>
    <row r="1517" customFormat="false" ht="15" hidden="false" customHeight="true" outlineLevel="0" collapsed="false">
      <c r="A1517" s="26" t="s">
        <v>187</v>
      </c>
      <c r="B1517" s="26" t="s">
        <v>188</v>
      </c>
      <c r="C1517" s="14" t="n">
        <f aca="false">IF(A1517="","",IFERROR(VLOOKUP(A1517,'Recert Status'!$A$8:$C$400,3,FALSE()),""))</f>
        <v>46387</v>
      </c>
      <c r="D1517" s="18" t="s">
        <v>959</v>
      </c>
      <c r="E1517" s="26" t="s">
        <v>416</v>
      </c>
      <c r="F1517" s="27" t="n">
        <v>1</v>
      </c>
      <c r="G1517" s="28" t="n">
        <v>45825</v>
      </c>
      <c r="H1517" s="28" t="n">
        <v>45825</v>
      </c>
      <c r="I1517" s="18" t="s">
        <v>1210</v>
      </c>
      <c r="J1517" s="26" t="s">
        <v>416</v>
      </c>
      <c r="K1517" s="18" t="s">
        <v>456</v>
      </c>
      <c r="L1517" s="27" t="n">
        <v>1</v>
      </c>
      <c r="M1517" s="39" t="s">
        <v>413</v>
      </c>
      <c r="N1517" s="18" t="s">
        <v>414</v>
      </c>
      <c r="O1517" s="27" t="n">
        <v>1</v>
      </c>
      <c r="P1517" s="15" t="n">
        <f aca="false">IF(A1517="","",IF(O1517&lt;&gt;"",O1517,IF(L1517&lt;&gt;"",L1517,F1517)))</f>
        <v>1</v>
      </c>
    </row>
    <row r="1518" customFormat="false" ht="15" hidden="false" customHeight="true" outlineLevel="0" collapsed="false">
      <c r="A1518" s="30" t="s">
        <v>187</v>
      </c>
      <c r="B1518" s="30" t="s">
        <v>188</v>
      </c>
      <c r="C1518" s="21" t="n">
        <f aca="false">IF(A1518="","",IFERROR(VLOOKUP(A1518,'Recert Status'!$A$8:$C$400,3,FALSE()),""))</f>
        <v>46387</v>
      </c>
      <c r="D1518" s="31" t="s">
        <v>717</v>
      </c>
      <c r="E1518" s="30" t="s">
        <v>416</v>
      </c>
      <c r="F1518" s="32" t="n">
        <v>1</v>
      </c>
      <c r="G1518" s="33" t="n">
        <v>45867</v>
      </c>
      <c r="H1518" s="33" t="n">
        <v>45867</v>
      </c>
      <c r="I1518" s="31" t="s">
        <v>1251</v>
      </c>
      <c r="J1518" s="30" t="s">
        <v>416</v>
      </c>
      <c r="K1518" s="31" t="s">
        <v>674</v>
      </c>
      <c r="L1518" s="32" t="n">
        <v>1</v>
      </c>
      <c r="M1518" s="39" t="s">
        <v>413</v>
      </c>
      <c r="N1518" s="31" t="s">
        <v>414</v>
      </c>
      <c r="O1518" s="32" t="n">
        <v>1</v>
      </c>
      <c r="P1518" s="15" t="n">
        <f aca="false">IF(A1518="","",IF(O1518&lt;&gt;"",O1518,IF(L1518&lt;&gt;"",L1518,F1518)))</f>
        <v>1</v>
      </c>
    </row>
    <row r="1519" customFormat="false" ht="15" hidden="false" customHeight="true" outlineLevel="0" collapsed="false">
      <c r="A1519" s="26" t="s">
        <v>187</v>
      </c>
      <c r="B1519" s="26" t="s">
        <v>188</v>
      </c>
      <c r="C1519" s="14" t="n">
        <f aca="false">IF(A1519="","",IFERROR(VLOOKUP(A1519,'Recert Status'!$A$8:$C$400,3,FALSE()),""))</f>
        <v>46387</v>
      </c>
      <c r="D1519" s="18" t="s">
        <v>415</v>
      </c>
      <c r="E1519" s="26" t="s">
        <v>416</v>
      </c>
      <c r="F1519" s="27" t="n">
        <v>2</v>
      </c>
      <c r="G1519" s="28" t="n">
        <v>46071</v>
      </c>
      <c r="H1519" s="28" t="n">
        <v>46071</v>
      </c>
      <c r="I1519" s="18" t="s">
        <v>417</v>
      </c>
      <c r="J1519" s="26" t="s">
        <v>416</v>
      </c>
      <c r="K1519" s="18" t="s">
        <v>418</v>
      </c>
      <c r="L1519" s="27" t="n">
        <v>2</v>
      </c>
      <c r="M1519" s="39" t="s">
        <v>413</v>
      </c>
      <c r="N1519" s="18" t="s">
        <v>414</v>
      </c>
      <c r="O1519" s="27" t="n">
        <v>2</v>
      </c>
      <c r="P1519" s="15" t="n">
        <f aca="false">IF(A1519="","",IF(O1519&lt;&gt;"",O1519,IF(L1519&lt;&gt;"",L1519,F1519)))</f>
        <v>2</v>
      </c>
    </row>
    <row r="1520" customFormat="false" ht="15" hidden="false" customHeight="true" outlineLevel="0" collapsed="false">
      <c r="A1520" s="30" t="s">
        <v>187</v>
      </c>
      <c r="B1520" s="30" t="s">
        <v>188</v>
      </c>
      <c r="C1520" s="21" t="n">
        <f aca="false">IF(A1520="","",IFERROR(VLOOKUP(A1520,'Recert Status'!$A$8:$C$400,3,FALSE()),""))</f>
        <v>46387</v>
      </c>
      <c r="D1520" s="31" t="s">
        <v>488</v>
      </c>
      <c r="E1520" s="30" t="s">
        <v>416</v>
      </c>
      <c r="F1520" s="32" t="n">
        <v>1</v>
      </c>
      <c r="G1520" s="33" t="n">
        <v>46125</v>
      </c>
      <c r="H1520" s="33" t="n">
        <v>46125</v>
      </c>
      <c r="I1520" s="31" t="s">
        <v>608</v>
      </c>
      <c r="J1520" s="30" t="s">
        <v>416</v>
      </c>
      <c r="K1520" s="31" t="s">
        <v>490</v>
      </c>
      <c r="L1520" s="32" t="n">
        <v>1</v>
      </c>
      <c r="M1520" s="39" t="s">
        <v>413</v>
      </c>
      <c r="N1520" s="31" t="s">
        <v>414</v>
      </c>
      <c r="O1520" s="32" t="n">
        <v>1</v>
      </c>
      <c r="P1520" s="15" t="n">
        <f aca="false">IF(A1520="","",IF(O1520&lt;&gt;"",O1520,IF(L1520&lt;&gt;"",L1520,F1520)))</f>
        <v>1</v>
      </c>
    </row>
    <row r="1521" customFormat="false" ht="15" hidden="false" customHeight="true" outlineLevel="0" collapsed="false">
      <c r="A1521" s="26" t="s">
        <v>187</v>
      </c>
      <c r="B1521" s="26" t="s">
        <v>188</v>
      </c>
      <c r="C1521" s="14" t="n">
        <f aca="false">IF(A1521="","",IFERROR(VLOOKUP(A1521,'Recert Status'!$A$8:$C$400,3,FALSE()),""))</f>
        <v>46387</v>
      </c>
      <c r="D1521" s="18" t="s">
        <v>414</v>
      </c>
      <c r="E1521" s="26" t="s">
        <v>416</v>
      </c>
      <c r="F1521" s="27" t="n">
        <v>2</v>
      </c>
      <c r="G1521" s="28" t="n">
        <v>46218</v>
      </c>
      <c r="H1521" s="28" t="n">
        <v>46218</v>
      </c>
      <c r="I1521" s="18" t="s">
        <v>535</v>
      </c>
      <c r="J1521" s="26" t="s">
        <v>416</v>
      </c>
      <c r="K1521" s="18" t="s">
        <v>418</v>
      </c>
      <c r="L1521" s="27" t="n">
        <v>2</v>
      </c>
      <c r="M1521" s="39" t="s">
        <v>413</v>
      </c>
      <c r="N1521" s="18" t="s">
        <v>414</v>
      </c>
      <c r="O1521" s="27" t="n">
        <v>2</v>
      </c>
      <c r="P1521" s="15" t="n">
        <f aca="false">IF(A1521="","",IF(O1521&lt;&gt;"",O1521,IF(L1521&lt;&gt;"",L1521,F1521)))</f>
        <v>2</v>
      </c>
    </row>
    <row r="1522" customFormat="false" ht="15" hidden="false" customHeight="true" outlineLevel="0" collapsed="false">
      <c r="A1522" s="30" t="s">
        <v>189</v>
      </c>
      <c r="B1522" s="30" t="s">
        <v>190</v>
      </c>
      <c r="C1522" s="21" t="n">
        <f aca="false">IF(A1522="","",IFERROR(VLOOKUP(A1522,'Recert Status'!$A$8:$C$400,3,FALSE()),""))</f>
        <v>46387</v>
      </c>
      <c r="D1522" s="31" t="s">
        <v>884</v>
      </c>
      <c r="E1522" s="30" t="s">
        <v>426</v>
      </c>
      <c r="F1522" s="32" t="n">
        <v>2</v>
      </c>
      <c r="G1522" s="33" t="n">
        <v>45929</v>
      </c>
      <c r="H1522" s="33" t="n">
        <v>45929</v>
      </c>
      <c r="I1522" s="31" t="s">
        <v>885</v>
      </c>
      <c r="J1522" s="30" t="s">
        <v>426</v>
      </c>
      <c r="K1522" s="31" t="s">
        <v>428</v>
      </c>
      <c r="L1522" s="32" t="n">
        <v>2</v>
      </c>
      <c r="M1522" s="41" t="s">
        <v>429</v>
      </c>
      <c r="N1522" s="31" t="s">
        <v>430</v>
      </c>
      <c r="O1522" s="32" t="n">
        <v>2</v>
      </c>
      <c r="P1522" s="15" t="n">
        <f aca="false">IF(A1522="","",IF(O1522&lt;&gt;"",O1522,IF(L1522&lt;&gt;"",L1522,F1522)))</f>
        <v>2</v>
      </c>
    </row>
    <row r="1523" customFormat="false" ht="15" hidden="false" customHeight="true" outlineLevel="0" collapsed="false">
      <c r="A1523" s="26" t="s">
        <v>189</v>
      </c>
      <c r="B1523" s="26" t="s">
        <v>190</v>
      </c>
      <c r="C1523" s="14" t="n">
        <f aca="false">IF(A1523="","",IFERROR(VLOOKUP(A1523,'Recert Status'!$A$8:$C$400,3,FALSE()),""))</f>
        <v>46387</v>
      </c>
      <c r="D1523" s="18" t="s">
        <v>732</v>
      </c>
      <c r="E1523" s="26" t="s">
        <v>372</v>
      </c>
      <c r="F1523" s="27" t="n">
        <v>1</v>
      </c>
      <c r="G1523" s="28" t="n">
        <v>45788</v>
      </c>
      <c r="H1523" s="28" t="n">
        <v>45788</v>
      </c>
      <c r="I1523" s="18" t="s">
        <v>1381</v>
      </c>
      <c r="J1523" s="26" t="s">
        <v>372</v>
      </c>
      <c r="K1523" s="18" t="s">
        <v>374</v>
      </c>
      <c r="L1523" s="27" t="n">
        <v>1</v>
      </c>
      <c r="M1523" s="34" t="s">
        <v>375</v>
      </c>
      <c r="N1523" s="18" t="s">
        <v>376</v>
      </c>
      <c r="O1523" s="27" t="n">
        <v>1</v>
      </c>
      <c r="P1523" s="15" t="n">
        <f aca="false">IF(A1523="","",IF(O1523&lt;&gt;"",O1523,IF(L1523&lt;&gt;"",L1523,F1523)))</f>
        <v>1</v>
      </c>
    </row>
    <row r="1524" customFormat="false" ht="15" hidden="false" customHeight="true" outlineLevel="0" collapsed="false">
      <c r="A1524" s="30" t="s">
        <v>189</v>
      </c>
      <c r="B1524" s="30" t="s">
        <v>190</v>
      </c>
      <c r="C1524" s="21" t="n">
        <f aca="false">IF(A1524="","",IFERROR(VLOOKUP(A1524,'Recert Status'!$A$8:$C$400,3,FALSE()),""))</f>
        <v>46387</v>
      </c>
      <c r="D1524" s="31" t="s">
        <v>1382</v>
      </c>
      <c r="E1524" s="30" t="n">
        <v>29740</v>
      </c>
      <c r="F1524" s="32" t="n">
        <v>0.5</v>
      </c>
      <c r="G1524" s="33" t="n">
        <v>45666</v>
      </c>
      <c r="H1524" s="33" t="n">
        <v>45666</v>
      </c>
      <c r="I1524" s="31" t="s">
        <v>1383</v>
      </c>
      <c r="J1524" s="30" t="s">
        <v>394</v>
      </c>
      <c r="K1524" s="31" t="s">
        <v>509</v>
      </c>
      <c r="L1524" s="32" t="n">
        <v>0.5</v>
      </c>
      <c r="M1524" s="35" t="s">
        <v>386</v>
      </c>
      <c r="N1524" s="31" t="s">
        <v>387</v>
      </c>
      <c r="O1524" s="32" t="n">
        <v>0.5</v>
      </c>
      <c r="P1524" s="15" t="n">
        <f aca="false">IF(A1524="","",IF(O1524&lt;&gt;"",O1524,IF(L1524&lt;&gt;"",L1524,F1524)))</f>
        <v>0.5</v>
      </c>
    </row>
    <row r="1525" customFormat="false" ht="15" hidden="false" customHeight="true" outlineLevel="0" collapsed="false">
      <c r="A1525" s="26" t="s">
        <v>189</v>
      </c>
      <c r="B1525" s="26" t="s">
        <v>190</v>
      </c>
      <c r="C1525" s="14" t="n">
        <f aca="false">IF(A1525="","",IFERROR(VLOOKUP(A1525,'Recert Status'!$A$8:$C$400,3,FALSE()),""))</f>
        <v>46387</v>
      </c>
      <c r="D1525" s="18" t="s">
        <v>787</v>
      </c>
      <c r="E1525" s="26" t="n">
        <v>29784</v>
      </c>
      <c r="F1525" s="27" t="n">
        <v>1</v>
      </c>
      <c r="G1525" s="28" t="n">
        <v>45738</v>
      </c>
      <c r="H1525" s="28" t="n">
        <v>45738</v>
      </c>
      <c r="I1525" s="18" t="s">
        <v>788</v>
      </c>
      <c r="J1525" s="26" t="s">
        <v>435</v>
      </c>
      <c r="K1525" s="18" t="s">
        <v>468</v>
      </c>
      <c r="L1525" s="27" t="n">
        <v>1</v>
      </c>
      <c r="M1525" s="35" t="s">
        <v>386</v>
      </c>
      <c r="N1525" s="18" t="s">
        <v>387</v>
      </c>
      <c r="O1525" s="27" t="n">
        <v>1</v>
      </c>
      <c r="P1525" s="15" t="n">
        <f aca="false">IF(A1525="","",IF(O1525&lt;&gt;"",O1525,IF(L1525&lt;&gt;"",L1525,F1525)))</f>
        <v>1</v>
      </c>
    </row>
    <row r="1526" customFormat="false" ht="15" hidden="false" customHeight="true" outlineLevel="0" collapsed="false">
      <c r="A1526" s="30" t="s">
        <v>189</v>
      </c>
      <c r="B1526" s="30" t="s">
        <v>190</v>
      </c>
      <c r="C1526" s="21" t="n">
        <f aca="false">IF(A1526="","",IFERROR(VLOOKUP(A1526,'Recert Status'!$A$8:$C$400,3,FALSE()),""))</f>
        <v>46387</v>
      </c>
      <c r="D1526" s="31" t="s">
        <v>1384</v>
      </c>
      <c r="E1526" s="30" t="n">
        <v>29743</v>
      </c>
      <c r="F1526" s="32" t="n">
        <v>0.5</v>
      </c>
      <c r="G1526" s="33" t="n">
        <v>45785</v>
      </c>
      <c r="H1526" s="33" t="n">
        <v>45785</v>
      </c>
      <c r="I1526" s="31" t="s">
        <v>1385</v>
      </c>
      <c r="J1526" s="30" t="s">
        <v>439</v>
      </c>
      <c r="K1526" s="31" t="s">
        <v>509</v>
      </c>
      <c r="L1526" s="32" t="n">
        <v>0.5</v>
      </c>
      <c r="M1526" s="35" t="s">
        <v>386</v>
      </c>
      <c r="N1526" s="31" t="s">
        <v>387</v>
      </c>
      <c r="O1526" s="32" t="n">
        <v>0.5</v>
      </c>
      <c r="P1526" s="15" t="n">
        <f aca="false">IF(A1526="","",IF(O1526&lt;&gt;"",O1526,IF(L1526&lt;&gt;"",L1526,F1526)))</f>
        <v>0.5</v>
      </c>
    </row>
    <row r="1527" customFormat="false" ht="15" hidden="false" customHeight="true" outlineLevel="0" collapsed="false">
      <c r="A1527" s="26" t="s">
        <v>189</v>
      </c>
      <c r="B1527" s="26" t="s">
        <v>190</v>
      </c>
      <c r="C1527" s="14" t="n">
        <f aca="false">IF(A1527="","",IFERROR(VLOOKUP(A1527,'Recert Status'!$A$8:$C$400,3,FALSE()),""))</f>
        <v>46387</v>
      </c>
      <c r="D1527" s="18" t="s">
        <v>1386</v>
      </c>
      <c r="E1527" s="26" t="n">
        <v>29668</v>
      </c>
      <c r="F1527" s="27" t="n">
        <v>1</v>
      </c>
      <c r="G1527" s="28" t="n">
        <v>45812</v>
      </c>
      <c r="H1527" s="28" t="n">
        <v>45812</v>
      </c>
      <c r="I1527" s="18" t="s">
        <v>1387</v>
      </c>
      <c r="J1527" s="26" t="s">
        <v>511</v>
      </c>
      <c r="K1527" s="18" t="s">
        <v>509</v>
      </c>
      <c r="L1527" s="27" t="n">
        <v>1</v>
      </c>
      <c r="M1527" s="35" t="s">
        <v>386</v>
      </c>
      <c r="N1527" s="18" t="s">
        <v>387</v>
      </c>
      <c r="O1527" s="27" t="n">
        <v>1</v>
      </c>
      <c r="P1527" s="15" t="n">
        <f aca="false">IF(A1527="","",IF(O1527&lt;&gt;"",O1527,IF(L1527&lt;&gt;"",L1527,F1527)))</f>
        <v>1</v>
      </c>
    </row>
    <row r="1528" customFormat="false" ht="15" hidden="false" customHeight="true" outlineLevel="0" collapsed="false">
      <c r="A1528" s="30" t="s">
        <v>189</v>
      </c>
      <c r="B1528" s="30" t="s">
        <v>190</v>
      </c>
      <c r="C1528" s="21" t="n">
        <f aca="false">IF(A1528="","",IFERROR(VLOOKUP(A1528,'Recert Status'!$A$8:$C$400,3,FALSE()),""))</f>
        <v>46387</v>
      </c>
      <c r="D1528" s="31" t="s">
        <v>736</v>
      </c>
      <c r="E1528" s="30" t="n">
        <v>35513</v>
      </c>
      <c r="F1528" s="32" t="n">
        <v>2</v>
      </c>
      <c r="G1528" s="33" t="n">
        <v>45884</v>
      </c>
      <c r="H1528" s="33" t="n">
        <v>45884</v>
      </c>
      <c r="I1528" s="31" t="s">
        <v>737</v>
      </c>
      <c r="J1528" s="30" t="s">
        <v>384</v>
      </c>
      <c r="K1528" s="31" t="s">
        <v>385</v>
      </c>
      <c r="L1528" s="32" t="n">
        <v>2</v>
      </c>
      <c r="M1528" s="35" t="s">
        <v>386</v>
      </c>
      <c r="N1528" s="31" t="s">
        <v>387</v>
      </c>
      <c r="O1528" s="32" t="n">
        <v>2</v>
      </c>
      <c r="P1528" s="15" t="n">
        <f aca="false">IF(A1528="","",IF(O1528&lt;&gt;"",O1528,IF(L1528&lt;&gt;"",L1528,F1528)))</f>
        <v>2</v>
      </c>
    </row>
    <row r="1529" customFormat="false" ht="15" hidden="false" customHeight="true" outlineLevel="0" collapsed="false">
      <c r="A1529" s="26" t="s">
        <v>189</v>
      </c>
      <c r="B1529" s="26" t="s">
        <v>190</v>
      </c>
      <c r="C1529" s="14" t="n">
        <f aca="false">IF(A1529="","",IFERROR(VLOOKUP(A1529,'Recert Status'!$A$8:$C$400,3,FALSE()),""))</f>
        <v>46387</v>
      </c>
      <c r="D1529" s="18" t="s">
        <v>1088</v>
      </c>
      <c r="E1529" s="26" t="n">
        <v>29740</v>
      </c>
      <c r="F1529" s="27" t="n">
        <v>1</v>
      </c>
      <c r="G1529" s="28" t="n">
        <v>45987</v>
      </c>
      <c r="H1529" s="28" t="n">
        <v>45987</v>
      </c>
      <c r="I1529" s="18" t="s">
        <v>1089</v>
      </c>
      <c r="J1529" s="26" t="s">
        <v>394</v>
      </c>
      <c r="K1529" s="18" t="s">
        <v>468</v>
      </c>
      <c r="L1529" s="27" t="n">
        <v>1</v>
      </c>
      <c r="M1529" s="35" t="s">
        <v>386</v>
      </c>
      <c r="N1529" s="18" t="s">
        <v>387</v>
      </c>
      <c r="O1529" s="27" t="n">
        <v>1</v>
      </c>
      <c r="P1529" s="15" t="n">
        <f aca="false">IF(A1529="","",IF(O1529&lt;&gt;"",O1529,IF(L1529&lt;&gt;"",L1529,F1529)))</f>
        <v>1</v>
      </c>
    </row>
    <row r="1530" customFormat="false" ht="15" hidden="false" customHeight="true" outlineLevel="0" collapsed="false">
      <c r="A1530" s="30" t="s">
        <v>189</v>
      </c>
      <c r="B1530" s="30" t="s">
        <v>190</v>
      </c>
      <c r="C1530" s="21" t="n">
        <f aca="false">IF(A1530="","",IFERROR(VLOOKUP(A1530,'Recert Status'!$A$8:$C$400,3,FALSE()),""))</f>
        <v>46387</v>
      </c>
      <c r="D1530" s="31" t="s">
        <v>1388</v>
      </c>
      <c r="E1530" s="30" t="n">
        <v>29740</v>
      </c>
      <c r="F1530" s="32" t="n">
        <v>3</v>
      </c>
      <c r="G1530" s="33" t="n">
        <v>46083</v>
      </c>
      <c r="H1530" s="33" t="n">
        <v>46083</v>
      </c>
      <c r="I1530" s="31" t="s">
        <v>1389</v>
      </c>
      <c r="J1530" s="30" t="s">
        <v>394</v>
      </c>
      <c r="K1530" s="31" t="s">
        <v>391</v>
      </c>
      <c r="L1530" s="32" t="n">
        <v>3</v>
      </c>
      <c r="M1530" s="35" t="s">
        <v>386</v>
      </c>
      <c r="N1530" s="31" t="s">
        <v>387</v>
      </c>
      <c r="O1530" s="32" t="n">
        <v>3</v>
      </c>
      <c r="P1530" s="15" t="n">
        <f aca="false">IF(A1530="","",IF(O1530&lt;&gt;"",O1530,IF(L1530&lt;&gt;"",L1530,F1530)))</f>
        <v>3</v>
      </c>
    </row>
    <row r="1531" customFormat="false" ht="15" hidden="false" customHeight="true" outlineLevel="0" collapsed="false">
      <c r="A1531" s="26" t="s">
        <v>189</v>
      </c>
      <c r="B1531" s="26" t="s">
        <v>190</v>
      </c>
      <c r="C1531" s="14" t="n">
        <f aca="false">IF(A1531="","",IFERROR(VLOOKUP(A1531,'Recert Status'!$A$8:$C$400,3,FALSE()),""))</f>
        <v>46387</v>
      </c>
      <c r="D1531" s="18" t="s">
        <v>1148</v>
      </c>
      <c r="E1531" s="26" t="n">
        <v>29668</v>
      </c>
      <c r="F1531" s="27" t="n">
        <v>1</v>
      </c>
      <c r="G1531" s="28" t="n">
        <v>46179</v>
      </c>
      <c r="H1531" s="28" t="n">
        <v>46179</v>
      </c>
      <c r="I1531" s="18" t="s">
        <v>1390</v>
      </c>
      <c r="J1531" s="26" t="s">
        <v>511</v>
      </c>
      <c r="K1531" s="18" t="s">
        <v>509</v>
      </c>
      <c r="L1531" s="27" t="n">
        <v>1</v>
      </c>
      <c r="M1531" s="35" t="s">
        <v>386</v>
      </c>
      <c r="N1531" s="18" t="s">
        <v>387</v>
      </c>
      <c r="O1531" s="27" t="n">
        <v>1</v>
      </c>
      <c r="P1531" s="15" t="n">
        <f aca="false">IF(A1531="","",IF(O1531&lt;&gt;"",O1531,IF(L1531&lt;&gt;"",L1531,F1531)))</f>
        <v>1</v>
      </c>
    </row>
    <row r="1532" customFormat="false" ht="15" hidden="false" customHeight="true" outlineLevel="0" collapsed="false">
      <c r="A1532" s="30" t="s">
        <v>189</v>
      </c>
      <c r="B1532" s="30" t="s">
        <v>190</v>
      </c>
      <c r="C1532" s="21" t="n">
        <f aca="false">IF(A1532="","",IFERROR(VLOOKUP(A1532,'Recert Status'!$A$8:$C$400,3,FALSE()),""))</f>
        <v>46387</v>
      </c>
      <c r="D1532" s="31" t="s">
        <v>1009</v>
      </c>
      <c r="E1532" s="30" t="n">
        <v>29769</v>
      </c>
      <c r="F1532" s="32" t="n">
        <v>0.5</v>
      </c>
      <c r="G1532" s="33" t="n">
        <v>45854</v>
      </c>
      <c r="H1532" s="33" t="n">
        <v>45854</v>
      </c>
      <c r="I1532" s="31" t="s">
        <v>1391</v>
      </c>
      <c r="J1532" s="30" t="s">
        <v>517</v>
      </c>
      <c r="K1532" s="31" t="s">
        <v>412</v>
      </c>
      <c r="L1532" s="32" t="n">
        <v>0.5</v>
      </c>
      <c r="M1532" s="36" t="s">
        <v>396</v>
      </c>
      <c r="N1532" s="31" t="s">
        <v>397</v>
      </c>
      <c r="O1532" s="32" t="n">
        <v>0.5</v>
      </c>
      <c r="P1532" s="15" t="n">
        <f aca="false">IF(A1532="","",IF(O1532&lt;&gt;"",O1532,IF(L1532&lt;&gt;"",L1532,F1532)))</f>
        <v>0.5</v>
      </c>
    </row>
    <row r="1533" customFormat="false" ht="15" hidden="false" customHeight="true" outlineLevel="0" collapsed="false">
      <c r="A1533" s="26" t="s">
        <v>189</v>
      </c>
      <c r="B1533" s="26" t="s">
        <v>190</v>
      </c>
      <c r="C1533" s="14" t="n">
        <f aca="false">IF(A1533="","",IFERROR(VLOOKUP(A1533,'Recert Status'!$A$8:$C$400,3,FALSE()),""))</f>
        <v>46387</v>
      </c>
      <c r="D1533" s="18" t="s">
        <v>560</v>
      </c>
      <c r="E1533" s="26" t="n">
        <v>35513</v>
      </c>
      <c r="F1533" s="27" t="n">
        <v>1</v>
      </c>
      <c r="G1533" s="28" t="n">
        <v>46116</v>
      </c>
      <c r="H1533" s="28" t="n">
        <v>46116</v>
      </c>
      <c r="I1533" s="18" t="s">
        <v>1392</v>
      </c>
      <c r="J1533" s="26" t="s">
        <v>384</v>
      </c>
      <c r="K1533" s="18" t="s">
        <v>385</v>
      </c>
      <c r="L1533" s="27" t="n">
        <v>1</v>
      </c>
      <c r="M1533" s="36" t="s">
        <v>396</v>
      </c>
      <c r="N1533" s="18" t="s">
        <v>397</v>
      </c>
      <c r="O1533" s="27" t="n">
        <v>1</v>
      </c>
      <c r="P1533" s="15" t="n">
        <f aca="false">IF(A1533="","",IF(O1533&lt;&gt;"",O1533,IF(L1533&lt;&gt;"",L1533,F1533)))</f>
        <v>1</v>
      </c>
    </row>
    <row r="1534" customFormat="false" ht="15" hidden="false" customHeight="true" outlineLevel="0" collapsed="false">
      <c r="A1534" s="30" t="s">
        <v>189</v>
      </c>
      <c r="B1534" s="30" t="s">
        <v>190</v>
      </c>
      <c r="C1534" s="21" t="n">
        <f aca="false">IF(A1534="","",IFERROR(VLOOKUP(A1534,'Recert Status'!$A$8:$C$400,3,FALSE()),""))</f>
        <v>46387</v>
      </c>
      <c r="D1534" s="31" t="s">
        <v>397</v>
      </c>
      <c r="E1534" s="30" t="s">
        <v>452</v>
      </c>
      <c r="F1534" s="32" t="n">
        <v>1</v>
      </c>
      <c r="G1534" s="33" t="n">
        <v>46245</v>
      </c>
      <c r="H1534" s="33" t="n">
        <v>46245</v>
      </c>
      <c r="I1534" s="31" t="s">
        <v>605</v>
      </c>
      <c r="J1534" s="30" t="s">
        <v>452</v>
      </c>
      <c r="K1534" s="31" t="s">
        <v>385</v>
      </c>
      <c r="L1534" s="32" t="n">
        <v>1</v>
      </c>
      <c r="M1534" s="36" t="s">
        <v>396</v>
      </c>
      <c r="N1534" s="31" t="s">
        <v>397</v>
      </c>
      <c r="O1534" s="32" t="n">
        <v>1</v>
      </c>
      <c r="P1534" s="15" t="n">
        <f aca="false">IF(A1534="","",IF(O1534&lt;&gt;"",O1534,IF(L1534&lt;&gt;"",L1534,F1534)))</f>
        <v>1</v>
      </c>
    </row>
    <row r="1535" customFormat="false" ht="15" hidden="false" customHeight="true" outlineLevel="0" collapsed="false">
      <c r="A1535" s="26" t="s">
        <v>189</v>
      </c>
      <c r="B1535" s="26" t="s">
        <v>190</v>
      </c>
      <c r="C1535" s="14" t="n">
        <f aca="false">IF(A1535="","",IFERROR(VLOOKUP(A1535,'Recert Status'!$A$8:$C$400,3,FALSE()),""))</f>
        <v>46387</v>
      </c>
      <c r="D1535" s="18" t="s">
        <v>992</v>
      </c>
      <c r="E1535" s="26" t="n">
        <v>29675</v>
      </c>
      <c r="F1535" s="27" t="n">
        <v>1</v>
      </c>
      <c r="G1535" s="28" t="n">
        <v>45824</v>
      </c>
      <c r="H1535" s="28" t="n">
        <v>45824</v>
      </c>
      <c r="I1535" s="18" t="s">
        <v>970</v>
      </c>
      <c r="J1535" s="26" t="s">
        <v>406</v>
      </c>
      <c r="K1535" s="18" t="s">
        <v>418</v>
      </c>
      <c r="L1535" s="27" t="n">
        <v>1</v>
      </c>
      <c r="M1535" s="39" t="s">
        <v>413</v>
      </c>
      <c r="N1535" s="18" t="s">
        <v>514</v>
      </c>
      <c r="O1535" s="27" t="n">
        <v>1</v>
      </c>
      <c r="P1535" s="15" t="n">
        <f aca="false">IF(A1535="","",IF(O1535&lt;&gt;"",O1535,IF(L1535&lt;&gt;"",L1535,F1535)))</f>
        <v>1</v>
      </c>
    </row>
    <row r="1536" customFormat="false" ht="15" hidden="false" customHeight="true" outlineLevel="0" collapsed="false">
      <c r="A1536" s="30" t="s">
        <v>189</v>
      </c>
      <c r="B1536" s="30" t="s">
        <v>190</v>
      </c>
      <c r="C1536" s="21" t="n">
        <f aca="false">IF(A1536="","",IFERROR(VLOOKUP(A1536,'Recert Status'!$A$8:$C$400,3,FALSE()),""))</f>
        <v>46387</v>
      </c>
      <c r="D1536" s="31" t="s">
        <v>415</v>
      </c>
      <c r="E1536" s="30" t="s">
        <v>416</v>
      </c>
      <c r="F1536" s="32" t="n">
        <v>2</v>
      </c>
      <c r="G1536" s="33" t="n">
        <v>45860</v>
      </c>
      <c r="H1536" s="33" t="n">
        <v>45860</v>
      </c>
      <c r="I1536" s="31" t="s">
        <v>721</v>
      </c>
      <c r="J1536" s="30" t="s">
        <v>416</v>
      </c>
      <c r="K1536" s="31" t="s">
        <v>418</v>
      </c>
      <c r="L1536" s="32" t="n">
        <v>2</v>
      </c>
      <c r="M1536" s="39" t="s">
        <v>413</v>
      </c>
      <c r="N1536" s="31" t="s">
        <v>414</v>
      </c>
      <c r="O1536" s="32" t="n">
        <v>2</v>
      </c>
      <c r="P1536" s="15" t="n">
        <f aca="false">IF(A1536="","",IF(O1536&lt;&gt;"",O1536,IF(L1536&lt;&gt;"",L1536,F1536)))</f>
        <v>2</v>
      </c>
    </row>
    <row r="1537" customFormat="false" ht="15" hidden="false" customHeight="true" outlineLevel="0" collapsed="false">
      <c r="A1537" s="26" t="s">
        <v>189</v>
      </c>
      <c r="B1537" s="26" t="s">
        <v>190</v>
      </c>
      <c r="C1537" s="14" t="n">
        <f aca="false">IF(A1537="","",IFERROR(VLOOKUP(A1537,'Recert Status'!$A$8:$C$400,3,FALSE()),""))</f>
        <v>46387</v>
      </c>
      <c r="D1537" s="18" t="s">
        <v>488</v>
      </c>
      <c r="E1537" s="26" t="s">
        <v>416</v>
      </c>
      <c r="F1537" s="27" t="n">
        <v>1</v>
      </c>
      <c r="G1537" s="28" t="n">
        <v>46128</v>
      </c>
      <c r="H1537" s="28" t="n">
        <v>46128</v>
      </c>
      <c r="I1537" s="18" t="s">
        <v>609</v>
      </c>
      <c r="J1537" s="26" t="s">
        <v>416</v>
      </c>
      <c r="K1537" s="18" t="s">
        <v>490</v>
      </c>
      <c r="L1537" s="27" t="n">
        <v>1</v>
      </c>
      <c r="M1537" s="39" t="s">
        <v>413</v>
      </c>
      <c r="N1537" s="18" t="s">
        <v>414</v>
      </c>
      <c r="O1537" s="27" t="n">
        <v>1</v>
      </c>
      <c r="P1537" s="15" t="n">
        <f aca="false">IF(A1537="","",IF(O1537&lt;&gt;"",O1537,IF(L1537&lt;&gt;"",L1537,F1537)))</f>
        <v>1</v>
      </c>
    </row>
    <row r="1538" customFormat="false" ht="15" hidden="false" customHeight="true" outlineLevel="0" collapsed="false">
      <c r="A1538" s="30" t="s">
        <v>189</v>
      </c>
      <c r="B1538" s="30" t="s">
        <v>190</v>
      </c>
      <c r="C1538" s="21" t="n">
        <f aca="false">IF(A1538="","",IFERROR(VLOOKUP(A1538,'Recert Status'!$A$8:$C$400,3,FALSE()),""))</f>
        <v>46387</v>
      </c>
      <c r="D1538" s="31" t="s">
        <v>414</v>
      </c>
      <c r="E1538" s="30" t="s">
        <v>416</v>
      </c>
      <c r="F1538" s="32" t="n">
        <v>2</v>
      </c>
      <c r="G1538" s="33" t="n">
        <v>46218</v>
      </c>
      <c r="H1538" s="33" t="n">
        <v>46218</v>
      </c>
      <c r="I1538" s="31" t="s">
        <v>535</v>
      </c>
      <c r="J1538" s="30" t="s">
        <v>416</v>
      </c>
      <c r="K1538" s="31" t="s">
        <v>418</v>
      </c>
      <c r="L1538" s="32" t="n">
        <v>2</v>
      </c>
      <c r="M1538" s="39" t="s">
        <v>413</v>
      </c>
      <c r="N1538" s="31" t="s">
        <v>414</v>
      </c>
      <c r="O1538" s="32" t="n">
        <v>2</v>
      </c>
      <c r="P1538" s="15" t="n">
        <f aca="false">IF(A1538="","",IF(O1538&lt;&gt;"",O1538,IF(L1538&lt;&gt;"",L1538,F1538)))</f>
        <v>2</v>
      </c>
    </row>
    <row r="1539" customFormat="false" ht="15" hidden="false" customHeight="true" outlineLevel="0" collapsed="false">
      <c r="A1539" s="26" t="s">
        <v>191</v>
      </c>
      <c r="B1539" s="26" t="s">
        <v>192</v>
      </c>
      <c r="C1539" s="14" t="n">
        <f aca="false">IF(A1539="","",IFERROR(VLOOKUP(A1539,'Recert Status'!$A$8:$C$400,3,FALSE()),""))</f>
        <v>46387</v>
      </c>
      <c r="D1539" s="18" t="s">
        <v>1393</v>
      </c>
      <c r="E1539" s="26" t="n">
        <v>29743</v>
      </c>
      <c r="F1539" s="27" t="n">
        <v>1</v>
      </c>
      <c r="G1539" s="28" t="n">
        <v>45911</v>
      </c>
      <c r="H1539" s="28" t="n">
        <v>45911</v>
      </c>
      <c r="I1539" s="18" t="s">
        <v>1394</v>
      </c>
      <c r="J1539" s="26" t="s">
        <v>439</v>
      </c>
      <c r="K1539" s="18" t="s">
        <v>365</v>
      </c>
      <c r="L1539" s="27" t="n">
        <v>1</v>
      </c>
      <c r="M1539" s="29" t="s">
        <v>366</v>
      </c>
      <c r="N1539" s="18" t="s">
        <v>367</v>
      </c>
      <c r="O1539" s="27" t="n">
        <v>1</v>
      </c>
      <c r="P1539" s="15" t="n">
        <f aca="false">IF(A1539="","",IF(O1539&lt;&gt;"",O1539,IF(L1539&lt;&gt;"",L1539,F1539)))</f>
        <v>1</v>
      </c>
    </row>
    <row r="1540" customFormat="false" ht="15" hidden="false" customHeight="true" outlineLevel="0" collapsed="false">
      <c r="A1540" s="30" t="s">
        <v>191</v>
      </c>
      <c r="B1540" s="30" t="s">
        <v>192</v>
      </c>
      <c r="C1540" s="21" t="n">
        <f aca="false">IF(A1540="","",IFERROR(VLOOKUP(A1540,'Recert Status'!$A$8:$C$400,3,FALSE()),""))</f>
        <v>46387</v>
      </c>
      <c r="D1540" s="31" t="s">
        <v>1395</v>
      </c>
      <c r="E1540" s="30" t="s">
        <v>426</v>
      </c>
      <c r="F1540" s="32" t="n">
        <v>1</v>
      </c>
      <c r="G1540" s="33" t="n">
        <v>45725</v>
      </c>
      <c r="H1540" s="33" t="n">
        <v>45725</v>
      </c>
      <c r="I1540" s="31" t="s">
        <v>1396</v>
      </c>
      <c r="J1540" s="30" t="s">
        <v>426</v>
      </c>
      <c r="K1540" s="31" t="s">
        <v>428</v>
      </c>
      <c r="L1540" s="32" t="n">
        <v>1</v>
      </c>
      <c r="M1540" s="41" t="s">
        <v>429</v>
      </c>
      <c r="N1540" s="31" t="s">
        <v>430</v>
      </c>
      <c r="O1540" s="32" t="n">
        <v>1</v>
      </c>
      <c r="P1540" s="15" t="n">
        <f aca="false">IF(A1540="","",IF(O1540&lt;&gt;"",O1540,IF(L1540&lt;&gt;"",L1540,F1540)))</f>
        <v>1</v>
      </c>
    </row>
    <row r="1541" customFormat="false" ht="15" hidden="false" customHeight="true" outlineLevel="0" collapsed="false">
      <c r="A1541" s="26" t="s">
        <v>191</v>
      </c>
      <c r="B1541" s="26" t="s">
        <v>192</v>
      </c>
      <c r="C1541" s="14" t="n">
        <f aca="false">IF(A1541="","",IFERROR(VLOOKUP(A1541,'Recert Status'!$A$8:$C$400,3,FALSE()),""))</f>
        <v>46387</v>
      </c>
      <c r="D1541" s="18" t="s">
        <v>732</v>
      </c>
      <c r="E1541" s="26" t="s">
        <v>372</v>
      </c>
      <c r="F1541" s="27" t="n">
        <v>0.5</v>
      </c>
      <c r="G1541" s="28" t="n">
        <v>45772</v>
      </c>
      <c r="H1541" s="28" t="n">
        <v>45772</v>
      </c>
      <c r="I1541" s="18" t="s">
        <v>1397</v>
      </c>
      <c r="J1541" s="26" t="s">
        <v>372</v>
      </c>
      <c r="K1541" s="18" t="s">
        <v>374</v>
      </c>
      <c r="L1541" s="27" t="n">
        <v>0.5</v>
      </c>
      <c r="M1541" s="34" t="s">
        <v>375</v>
      </c>
      <c r="N1541" s="18" t="s">
        <v>376</v>
      </c>
      <c r="O1541" s="27" t="n">
        <v>0.5</v>
      </c>
      <c r="P1541" s="15" t="n">
        <f aca="false">IF(A1541="","",IF(O1541&lt;&gt;"",O1541,IF(L1541&lt;&gt;"",L1541,F1541)))</f>
        <v>0.5</v>
      </c>
    </row>
    <row r="1542" customFormat="false" ht="15" hidden="false" customHeight="true" outlineLevel="0" collapsed="false">
      <c r="A1542" s="30" t="s">
        <v>191</v>
      </c>
      <c r="B1542" s="30" t="s">
        <v>192</v>
      </c>
      <c r="C1542" s="21" t="n">
        <f aca="false">IF(A1542="","",IFERROR(VLOOKUP(A1542,'Recert Status'!$A$8:$C$400,3,FALSE()),""))</f>
        <v>46387</v>
      </c>
      <c r="D1542" s="31" t="s">
        <v>613</v>
      </c>
      <c r="E1542" s="30" t="n">
        <v>29784</v>
      </c>
      <c r="F1542" s="32" t="n">
        <v>0.5</v>
      </c>
      <c r="G1542" s="33" t="n">
        <v>45670</v>
      </c>
      <c r="H1542" s="33" t="n">
        <v>45670</v>
      </c>
      <c r="I1542" s="31" t="s">
        <v>614</v>
      </c>
      <c r="J1542" s="30" t="s">
        <v>435</v>
      </c>
      <c r="K1542" s="31" t="s">
        <v>468</v>
      </c>
      <c r="L1542" s="32" t="n">
        <v>0.5</v>
      </c>
      <c r="M1542" s="35" t="s">
        <v>386</v>
      </c>
      <c r="N1542" s="31" t="s">
        <v>387</v>
      </c>
      <c r="O1542" s="32" t="n">
        <v>0.5</v>
      </c>
      <c r="P1542" s="15" t="n">
        <f aca="false">IF(A1542="","",IF(O1542&lt;&gt;"",O1542,IF(L1542&lt;&gt;"",L1542,F1542)))</f>
        <v>0.5</v>
      </c>
    </row>
    <row r="1543" customFormat="false" ht="15" hidden="false" customHeight="true" outlineLevel="0" collapsed="false">
      <c r="A1543" s="26" t="s">
        <v>191</v>
      </c>
      <c r="B1543" s="26" t="s">
        <v>192</v>
      </c>
      <c r="C1543" s="14" t="n">
        <f aca="false">IF(A1543="","",IFERROR(VLOOKUP(A1543,'Recert Status'!$A$8:$C$400,3,FALSE()),""))</f>
        <v>46387</v>
      </c>
      <c r="D1543" s="18" t="s">
        <v>1398</v>
      </c>
      <c r="E1543" s="26" t="n">
        <v>29743</v>
      </c>
      <c r="F1543" s="27" t="n">
        <v>1</v>
      </c>
      <c r="G1543" s="28" t="n">
        <v>45676</v>
      </c>
      <c r="H1543" s="28" t="n">
        <v>45676</v>
      </c>
      <c r="I1543" s="18" t="s">
        <v>1399</v>
      </c>
      <c r="J1543" s="26" t="s">
        <v>439</v>
      </c>
      <c r="K1543" s="18" t="s">
        <v>791</v>
      </c>
      <c r="L1543" s="27" t="n">
        <v>1</v>
      </c>
      <c r="M1543" s="35" t="s">
        <v>386</v>
      </c>
      <c r="N1543" s="18" t="s">
        <v>387</v>
      </c>
      <c r="O1543" s="27"/>
      <c r="P1543" s="15" t="n">
        <f aca="false">IF(A1543="","",IF(O1543&lt;&gt;"",O1543,IF(L1543&lt;&gt;"",L1543,F1543)))</f>
        <v>1</v>
      </c>
    </row>
    <row r="1544" customFormat="false" ht="15" hidden="false" customHeight="true" outlineLevel="0" collapsed="false">
      <c r="A1544" s="30" t="s">
        <v>191</v>
      </c>
      <c r="B1544" s="30" t="s">
        <v>192</v>
      </c>
      <c r="C1544" s="21" t="n">
        <f aca="false">IF(A1544="","",IFERROR(VLOOKUP(A1544,'Recert Status'!$A$8:$C$400,3,FALSE()),""))</f>
        <v>46387</v>
      </c>
      <c r="D1544" s="31" t="s">
        <v>1400</v>
      </c>
      <c r="E1544" s="30" t="n">
        <v>29668</v>
      </c>
      <c r="F1544" s="32" t="n">
        <v>1</v>
      </c>
      <c r="G1544" s="33" t="n">
        <v>45829</v>
      </c>
      <c r="H1544" s="33" t="n">
        <v>45829</v>
      </c>
      <c r="I1544" s="31" t="s">
        <v>1401</v>
      </c>
      <c r="J1544" s="30" t="s">
        <v>511</v>
      </c>
      <c r="K1544" s="31" t="s">
        <v>509</v>
      </c>
      <c r="L1544" s="32" t="n">
        <v>1</v>
      </c>
      <c r="M1544" s="35" t="s">
        <v>386</v>
      </c>
      <c r="N1544" s="31" t="s">
        <v>387</v>
      </c>
      <c r="O1544" s="32" t="n">
        <v>1</v>
      </c>
      <c r="P1544" s="15" t="n">
        <f aca="false">IF(A1544="","",IF(O1544&lt;&gt;"",O1544,IF(L1544&lt;&gt;"",L1544,F1544)))</f>
        <v>1</v>
      </c>
    </row>
    <row r="1545" customFormat="false" ht="15" hidden="false" customHeight="true" outlineLevel="0" collapsed="false">
      <c r="A1545" s="26" t="s">
        <v>191</v>
      </c>
      <c r="B1545" s="26" t="s">
        <v>192</v>
      </c>
      <c r="C1545" s="14" t="n">
        <f aca="false">IF(A1545="","",IFERROR(VLOOKUP(A1545,'Recert Status'!$A$8:$C$400,3,FALSE()),""))</f>
        <v>46387</v>
      </c>
      <c r="D1545" s="18" t="s">
        <v>1014</v>
      </c>
      <c r="E1545" s="26" t="n">
        <v>29675</v>
      </c>
      <c r="F1545" s="27" t="n">
        <v>0.5</v>
      </c>
      <c r="G1545" s="28" t="n">
        <v>45925</v>
      </c>
      <c r="H1545" s="28" t="n">
        <v>45925</v>
      </c>
      <c r="I1545" s="18" t="s">
        <v>1015</v>
      </c>
      <c r="J1545" s="26" t="s">
        <v>406</v>
      </c>
      <c r="K1545" s="18" t="s">
        <v>451</v>
      </c>
      <c r="L1545" s="27" t="n">
        <v>0.5</v>
      </c>
      <c r="M1545" s="35" t="s">
        <v>386</v>
      </c>
      <c r="N1545" s="18" t="s">
        <v>514</v>
      </c>
      <c r="O1545" s="27" t="n">
        <v>0.5</v>
      </c>
      <c r="P1545" s="15" t="n">
        <f aca="false">IF(A1545="","",IF(O1545&lt;&gt;"",O1545,IF(L1545&lt;&gt;"",L1545,F1545)))</f>
        <v>0.5</v>
      </c>
    </row>
    <row r="1546" customFormat="false" ht="15" hidden="false" customHeight="true" outlineLevel="0" collapsed="false">
      <c r="A1546" s="30" t="s">
        <v>191</v>
      </c>
      <c r="B1546" s="30" t="s">
        <v>192</v>
      </c>
      <c r="C1546" s="21" t="n">
        <f aca="false">IF(A1546="","",IFERROR(VLOOKUP(A1546,'Recert Status'!$A$8:$C$400,3,FALSE()),""))</f>
        <v>46387</v>
      </c>
      <c r="D1546" s="31" t="s">
        <v>913</v>
      </c>
      <c r="E1546" s="30" t="n">
        <v>29784</v>
      </c>
      <c r="F1546" s="32" t="n">
        <v>0.5</v>
      </c>
      <c r="G1546" s="33" t="n">
        <v>46000</v>
      </c>
      <c r="H1546" s="33" t="n">
        <v>46000</v>
      </c>
      <c r="I1546" s="31" t="s">
        <v>1019</v>
      </c>
      <c r="J1546" s="30" t="s">
        <v>435</v>
      </c>
      <c r="K1546" s="31" t="s">
        <v>468</v>
      </c>
      <c r="L1546" s="32" t="n">
        <v>0.5</v>
      </c>
      <c r="M1546" s="35" t="s">
        <v>386</v>
      </c>
      <c r="N1546" s="31" t="s">
        <v>387</v>
      </c>
      <c r="O1546" s="32" t="n">
        <v>0.5</v>
      </c>
      <c r="P1546" s="15" t="n">
        <f aca="false">IF(A1546="","",IF(O1546&lt;&gt;"",O1546,IF(L1546&lt;&gt;"",L1546,F1546)))</f>
        <v>0.5</v>
      </c>
    </row>
    <row r="1547" customFormat="false" ht="15" hidden="false" customHeight="true" outlineLevel="0" collapsed="false">
      <c r="A1547" s="26" t="s">
        <v>191</v>
      </c>
      <c r="B1547" s="26" t="s">
        <v>192</v>
      </c>
      <c r="C1547" s="14" t="n">
        <f aca="false">IF(A1547="","",IFERROR(VLOOKUP(A1547,'Recert Status'!$A$8:$C$400,3,FALSE()),""))</f>
        <v>46387</v>
      </c>
      <c r="D1547" s="18" t="s">
        <v>689</v>
      </c>
      <c r="E1547" s="26" t="n">
        <v>29743</v>
      </c>
      <c r="F1547" s="27" t="n">
        <v>1</v>
      </c>
      <c r="G1547" s="28" t="n">
        <v>46096</v>
      </c>
      <c r="H1547" s="28" t="n">
        <v>46096</v>
      </c>
      <c r="I1547" s="18" t="s">
        <v>1402</v>
      </c>
      <c r="J1547" s="26" t="s">
        <v>439</v>
      </c>
      <c r="K1547" s="18" t="s">
        <v>791</v>
      </c>
      <c r="L1547" s="27" t="n">
        <v>1</v>
      </c>
      <c r="M1547" s="35" t="s">
        <v>386</v>
      </c>
      <c r="N1547" s="18" t="s">
        <v>387</v>
      </c>
      <c r="O1547" s="27" t="n">
        <v>1</v>
      </c>
      <c r="P1547" s="15" t="n">
        <f aca="false">IF(A1547="","",IF(O1547&lt;&gt;"",O1547,IF(L1547&lt;&gt;"",L1547,F1547)))</f>
        <v>1</v>
      </c>
    </row>
    <row r="1548" customFormat="false" ht="15" hidden="false" customHeight="true" outlineLevel="0" collapsed="false">
      <c r="A1548" s="30" t="s">
        <v>191</v>
      </c>
      <c r="B1548" s="30" t="s">
        <v>192</v>
      </c>
      <c r="C1548" s="21" t="n">
        <f aca="false">IF(A1548="","",IFERROR(VLOOKUP(A1548,'Recert Status'!$A$8:$C$400,3,FALSE()),""))</f>
        <v>46387</v>
      </c>
      <c r="D1548" s="31" t="s">
        <v>474</v>
      </c>
      <c r="E1548" s="30" t="s">
        <v>389</v>
      </c>
      <c r="F1548" s="32" t="n">
        <v>1</v>
      </c>
      <c r="G1548" s="33" t="n">
        <v>46204</v>
      </c>
      <c r="H1548" s="33" t="n">
        <v>46204</v>
      </c>
      <c r="I1548" s="31" t="s">
        <v>475</v>
      </c>
      <c r="J1548" s="30" t="s">
        <v>389</v>
      </c>
      <c r="K1548" s="31" t="s">
        <v>476</v>
      </c>
      <c r="L1548" s="32" t="n">
        <v>1</v>
      </c>
      <c r="M1548" s="35" t="s">
        <v>386</v>
      </c>
      <c r="N1548" s="31" t="s">
        <v>387</v>
      </c>
      <c r="O1548" s="32" t="n">
        <v>1</v>
      </c>
      <c r="P1548" s="15" t="n">
        <f aca="false">IF(A1548="","",IF(O1548&lt;&gt;"",O1548,IF(L1548&lt;&gt;"",L1548,F1548)))</f>
        <v>1</v>
      </c>
    </row>
    <row r="1549" customFormat="false" ht="15" hidden="false" customHeight="true" outlineLevel="0" collapsed="false">
      <c r="A1549" s="26" t="s">
        <v>191</v>
      </c>
      <c r="B1549" s="26" t="s">
        <v>192</v>
      </c>
      <c r="C1549" s="14" t="n">
        <f aca="false">IF(A1549="","",IFERROR(VLOOKUP(A1549,'Recert Status'!$A$8:$C$400,3,FALSE()),""))</f>
        <v>46387</v>
      </c>
      <c r="D1549" s="18" t="s">
        <v>387</v>
      </c>
      <c r="E1549" s="26" t="s">
        <v>389</v>
      </c>
      <c r="F1549" s="27" t="n">
        <v>1</v>
      </c>
      <c r="G1549" s="28" t="n">
        <v>46231</v>
      </c>
      <c r="H1549" s="28" t="n">
        <v>46231</v>
      </c>
      <c r="I1549" s="18" t="s">
        <v>1212</v>
      </c>
      <c r="J1549" s="26" t="s">
        <v>389</v>
      </c>
      <c r="K1549" s="18" t="s">
        <v>451</v>
      </c>
      <c r="L1549" s="27" t="n">
        <v>1</v>
      </c>
      <c r="M1549" s="35" t="s">
        <v>386</v>
      </c>
      <c r="N1549" s="18" t="s">
        <v>387</v>
      </c>
      <c r="O1549" s="27" t="n">
        <v>1</v>
      </c>
      <c r="P1549" s="15" t="n">
        <f aca="false">IF(A1549="","",IF(O1549&lt;&gt;"",O1549,IF(L1549&lt;&gt;"",L1549,F1549)))</f>
        <v>1</v>
      </c>
    </row>
    <row r="1550" customFormat="false" ht="15" hidden="false" customHeight="true" outlineLevel="0" collapsed="false">
      <c r="A1550" s="30" t="s">
        <v>191</v>
      </c>
      <c r="B1550" s="30" t="s">
        <v>192</v>
      </c>
      <c r="C1550" s="21" t="n">
        <f aca="false">IF(A1550="","",IFERROR(VLOOKUP(A1550,'Recert Status'!$A$8:$C$400,3,FALSE()),""))</f>
        <v>46387</v>
      </c>
      <c r="D1550" s="31" t="s">
        <v>617</v>
      </c>
      <c r="E1550" s="30" t="s">
        <v>452</v>
      </c>
      <c r="F1550" s="32" t="n">
        <v>2</v>
      </c>
      <c r="G1550" s="33" t="n">
        <v>45883</v>
      </c>
      <c r="H1550" s="33" t="n">
        <v>45883</v>
      </c>
      <c r="I1550" s="31" t="s">
        <v>618</v>
      </c>
      <c r="J1550" s="30" t="s">
        <v>452</v>
      </c>
      <c r="K1550" s="31" t="s">
        <v>385</v>
      </c>
      <c r="L1550" s="32" t="n">
        <v>2</v>
      </c>
      <c r="M1550" s="36" t="s">
        <v>396</v>
      </c>
      <c r="N1550" s="31" t="s">
        <v>397</v>
      </c>
      <c r="O1550" s="32" t="n">
        <v>2</v>
      </c>
      <c r="P1550" s="15" t="n">
        <f aca="false">IF(A1550="","",IF(O1550&lt;&gt;"",O1550,IF(L1550&lt;&gt;"",L1550,F1550)))</f>
        <v>2</v>
      </c>
    </row>
    <row r="1551" customFormat="false" ht="15" hidden="false" customHeight="true" outlineLevel="0" collapsed="false">
      <c r="A1551" s="26" t="s">
        <v>191</v>
      </c>
      <c r="B1551" s="26" t="s">
        <v>192</v>
      </c>
      <c r="C1551" s="14" t="n">
        <f aca="false">IF(A1551="","",IFERROR(VLOOKUP(A1551,'Recert Status'!$A$8:$C$400,3,FALSE()),""))</f>
        <v>46387</v>
      </c>
      <c r="D1551" s="18" t="s">
        <v>1403</v>
      </c>
      <c r="E1551" s="26" t="s">
        <v>452</v>
      </c>
      <c r="F1551" s="27" t="n">
        <v>1</v>
      </c>
      <c r="G1551" s="28" t="n">
        <v>46117</v>
      </c>
      <c r="H1551" s="28" t="n">
        <v>46117</v>
      </c>
      <c r="I1551" s="18" t="s">
        <v>1404</v>
      </c>
      <c r="J1551" s="26" t="s">
        <v>452</v>
      </c>
      <c r="K1551" s="18" t="s">
        <v>385</v>
      </c>
      <c r="L1551" s="27" t="n">
        <v>1</v>
      </c>
      <c r="M1551" s="36" t="s">
        <v>396</v>
      </c>
      <c r="N1551" s="18" t="s">
        <v>397</v>
      </c>
      <c r="O1551" s="27" t="n">
        <v>1</v>
      </c>
      <c r="P1551" s="15" t="n">
        <f aca="false">IF(A1551="","",IF(O1551&lt;&gt;"",O1551,IF(L1551&lt;&gt;"",L1551,F1551)))</f>
        <v>1</v>
      </c>
    </row>
    <row r="1552" customFormat="false" ht="15" hidden="false" customHeight="true" outlineLevel="0" collapsed="false">
      <c r="A1552" s="30" t="s">
        <v>191</v>
      </c>
      <c r="B1552" s="30" t="s">
        <v>192</v>
      </c>
      <c r="C1552" s="21" t="n">
        <f aca="false">IF(A1552="","",IFERROR(VLOOKUP(A1552,'Recert Status'!$A$8:$C$400,3,FALSE()),""))</f>
        <v>46387</v>
      </c>
      <c r="D1552" s="31" t="s">
        <v>732</v>
      </c>
      <c r="E1552" s="30" t="s">
        <v>452</v>
      </c>
      <c r="F1552" s="32" t="n">
        <v>1</v>
      </c>
      <c r="G1552" s="33" t="n">
        <v>46138</v>
      </c>
      <c r="H1552" s="33" t="n">
        <v>46138</v>
      </c>
      <c r="I1552" s="31" t="s">
        <v>1405</v>
      </c>
      <c r="J1552" s="30" t="s">
        <v>452</v>
      </c>
      <c r="K1552" s="31" t="s">
        <v>385</v>
      </c>
      <c r="L1552" s="32" t="n">
        <v>1</v>
      </c>
      <c r="M1552" s="36" t="s">
        <v>396</v>
      </c>
      <c r="N1552" s="31" t="s">
        <v>397</v>
      </c>
      <c r="O1552" s="32" t="n">
        <v>1</v>
      </c>
      <c r="P1552" s="15" t="n">
        <f aca="false">IF(A1552="","",IF(O1552&lt;&gt;"",O1552,IF(L1552&lt;&gt;"",L1552,F1552)))</f>
        <v>1</v>
      </c>
    </row>
    <row r="1553" customFormat="false" ht="15" hidden="false" customHeight="true" outlineLevel="0" collapsed="false">
      <c r="A1553" s="26" t="s">
        <v>191</v>
      </c>
      <c r="B1553" s="26" t="s">
        <v>192</v>
      </c>
      <c r="C1553" s="14" t="n">
        <f aca="false">IF(A1553="","",IFERROR(VLOOKUP(A1553,'Recert Status'!$A$8:$C$400,3,FALSE()),""))</f>
        <v>46387</v>
      </c>
      <c r="D1553" s="18" t="s">
        <v>397</v>
      </c>
      <c r="E1553" s="26" t="s">
        <v>452</v>
      </c>
      <c r="F1553" s="27" t="n">
        <v>1</v>
      </c>
      <c r="G1553" s="28" t="n">
        <v>46246</v>
      </c>
      <c r="H1553" s="28" t="n">
        <v>46246</v>
      </c>
      <c r="I1553" s="18" t="s">
        <v>478</v>
      </c>
      <c r="J1553" s="26" t="s">
        <v>452</v>
      </c>
      <c r="K1553" s="18" t="s">
        <v>385</v>
      </c>
      <c r="L1553" s="27" t="n">
        <v>1</v>
      </c>
      <c r="M1553" s="36" t="s">
        <v>396</v>
      </c>
      <c r="N1553" s="18" t="s">
        <v>397</v>
      </c>
      <c r="O1553" s="27" t="n">
        <v>1</v>
      </c>
      <c r="P1553" s="15" t="n">
        <f aca="false">IF(A1553="","",IF(O1553&lt;&gt;"",O1553,IF(L1553&lt;&gt;"",L1553,F1553)))</f>
        <v>1</v>
      </c>
    </row>
    <row r="1554" customFormat="false" ht="15" hidden="false" customHeight="true" outlineLevel="0" collapsed="false">
      <c r="A1554" s="30" t="s">
        <v>191</v>
      </c>
      <c r="B1554" s="30" t="s">
        <v>192</v>
      </c>
      <c r="C1554" s="21" t="n">
        <f aca="false">IF(A1554="","",IFERROR(VLOOKUP(A1554,'Recert Status'!$A$8:$C$400,3,FALSE()),""))</f>
        <v>46387</v>
      </c>
      <c r="D1554" s="31" t="s">
        <v>398</v>
      </c>
      <c r="E1554" s="30" t="s">
        <v>399</v>
      </c>
      <c r="F1554" s="32" t="n">
        <v>1</v>
      </c>
      <c r="G1554" s="33" t="n">
        <v>45685</v>
      </c>
      <c r="H1554" s="33" t="n">
        <v>45685</v>
      </c>
      <c r="I1554" s="31" t="s">
        <v>1406</v>
      </c>
      <c r="J1554" s="30" t="s">
        <v>399</v>
      </c>
      <c r="K1554" s="31" t="s">
        <v>401</v>
      </c>
      <c r="L1554" s="32" t="n">
        <v>1</v>
      </c>
      <c r="M1554" s="37" t="s">
        <v>402</v>
      </c>
      <c r="N1554" s="31" t="s">
        <v>403</v>
      </c>
      <c r="O1554" s="32" t="n">
        <v>1</v>
      </c>
      <c r="P1554" s="15" t="n">
        <f aca="false">IF(A1554="","",IF(O1554&lt;&gt;"",O1554,IF(L1554&lt;&gt;"",L1554,F1554)))</f>
        <v>1</v>
      </c>
    </row>
    <row r="1555" customFormat="false" ht="15" hidden="false" customHeight="true" outlineLevel="0" collapsed="false">
      <c r="A1555" s="26" t="s">
        <v>191</v>
      </c>
      <c r="B1555" s="26" t="s">
        <v>192</v>
      </c>
      <c r="C1555" s="14" t="n">
        <f aca="false">IF(A1555="","",IFERROR(VLOOKUP(A1555,'Recert Status'!$A$8:$C$400,3,FALSE()),""))</f>
        <v>46387</v>
      </c>
      <c r="D1555" s="18" t="s">
        <v>409</v>
      </c>
      <c r="E1555" s="26" t="s">
        <v>480</v>
      </c>
      <c r="F1555" s="27" t="n">
        <v>1</v>
      </c>
      <c r="G1555" s="28" t="n">
        <v>46264</v>
      </c>
      <c r="H1555" s="28" t="n">
        <v>46264</v>
      </c>
      <c r="I1555" s="18" t="s">
        <v>481</v>
      </c>
      <c r="J1555" s="26" t="s">
        <v>480</v>
      </c>
      <c r="K1555" s="18" t="s">
        <v>482</v>
      </c>
      <c r="L1555" s="27" t="n">
        <v>1</v>
      </c>
      <c r="M1555" s="38" t="s">
        <v>408</v>
      </c>
      <c r="N1555" s="18" t="s">
        <v>409</v>
      </c>
      <c r="O1555" s="27" t="n">
        <v>1</v>
      </c>
      <c r="P1555" s="15" t="n">
        <f aca="false">IF(A1555="","",IF(O1555&lt;&gt;"",O1555,IF(L1555&lt;&gt;"",L1555,F1555)))</f>
        <v>1</v>
      </c>
    </row>
    <row r="1556" customFormat="false" ht="15" hidden="false" customHeight="true" outlineLevel="0" collapsed="false">
      <c r="A1556" s="30" t="s">
        <v>191</v>
      </c>
      <c r="B1556" s="30" t="s">
        <v>192</v>
      </c>
      <c r="C1556" s="21" t="n">
        <f aca="false">IF(A1556="","",IFERROR(VLOOKUP(A1556,'Recert Status'!$A$8:$C$400,3,FALSE()),""))</f>
        <v>46387</v>
      </c>
      <c r="D1556" s="31" t="s">
        <v>719</v>
      </c>
      <c r="E1556" s="30" t="s">
        <v>416</v>
      </c>
      <c r="F1556" s="32" t="n">
        <v>2</v>
      </c>
      <c r="G1556" s="33" t="n">
        <v>45859</v>
      </c>
      <c r="H1556" s="33" t="n">
        <v>45859</v>
      </c>
      <c r="I1556" s="31" t="s">
        <v>486</v>
      </c>
      <c r="J1556" s="30" t="s">
        <v>416</v>
      </c>
      <c r="K1556" s="31" t="s">
        <v>418</v>
      </c>
      <c r="L1556" s="32" t="n">
        <v>2</v>
      </c>
      <c r="M1556" s="39" t="s">
        <v>413</v>
      </c>
      <c r="N1556" s="31" t="s">
        <v>414</v>
      </c>
      <c r="O1556" s="32" t="n">
        <v>2</v>
      </c>
      <c r="P1556" s="15" t="n">
        <f aca="false">IF(A1556="","",IF(O1556&lt;&gt;"",O1556,IF(L1556&lt;&gt;"",L1556,F1556)))</f>
        <v>2</v>
      </c>
    </row>
    <row r="1557" customFormat="false" ht="15" hidden="false" customHeight="true" outlineLevel="0" collapsed="false">
      <c r="A1557" s="26" t="s">
        <v>191</v>
      </c>
      <c r="B1557" s="26" t="s">
        <v>192</v>
      </c>
      <c r="C1557" s="14" t="n">
        <f aca="false">IF(A1557="","",IFERROR(VLOOKUP(A1557,'Recert Status'!$A$8:$C$400,3,FALSE()),""))</f>
        <v>46387</v>
      </c>
      <c r="D1557" s="18" t="s">
        <v>1407</v>
      </c>
      <c r="E1557" s="26" t="n">
        <v>29743</v>
      </c>
      <c r="F1557" s="27" t="n">
        <v>1</v>
      </c>
      <c r="G1557" s="28" t="n">
        <v>45911</v>
      </c>
      <c r="H1557" s="28" t="n">
        <v>45911</v>
      </c>
      <c r="I1557" s="18" t="s">
        <v>1408</v>
      </c>
      <c r="J1557" s="26" t="s">
        <v>439</v>
      </c>
      <c r="K1557" s="18" t="s">
        <v>418</v>
      </c>
      <c r="L1557" s="27" t="n">
        <v>1</v>
      </c>
      <c r="M1557" s="39" t="s">
        <v>413</v>
      </c>
      <c r="N1557" s="18" t="s">
        <v>414</v>
      </c>
      <c r="O1557" s="27" t="n">
        <v>1</v>
      </c>
      <c r="P1557" s="15" t="n">
        <f aca="false">IF(A1557="","",IF(O1557&lt;&gt;"",O1557,IF(L1557&lt;&gt;"",L1557,F1557)))</f>
        <v>1</v>
      </c>
    </row>
    <row r="1558" customFormat="false" ht="15" hidden="false" customHeight="true" outlineLevel="0" collapsed="false">
      <c r="A1558" s="30" t="s">
        <v>191</v>
      </c>
      <c r="B1558" s="30" t="s">
        <v>192</v>
      </c>
      <c r="C1558" s="21" t="n">
        <f aca="false">IF(A1558="","",IFERROR(VLOOKUP(A1558,'Recert Status'!$A$8:$C$400,3,FALSE()),""))</f>
        <v>46387</v>
      </c>
      <c r="D1558" s="31" t="s">
        <v>488</v>
      </c>
      <c r="E1558" s="30" t="s">
        <v>416</v>
      </c>
      <c r="F1558" s="32" t="n">
        <v>1</v>
      </c>
      <c r="G1558" s="33" t="n">
        <v>46132</v>
      </c>
      <c r="H1558" s="33" t="n">
        <v>46132</v>
      </c>
      <c r="I1558" s="31" t="s">
        <v>609</v>
      </c>
      <c r="J1558" s="30" t="s">
        <v>416</v>
      </c>
      <c r="K1558" s="31" t="s">
        <v>490</v>
      </c>
      <c r="L1558" s="32" t="n">
        <v>1</v>
      </c>
      <c r="M1558" s="39" t="s">
        <v>413</v>
      </c>
      <c r="N1558" s="31" t="s">
        <v>414</v>
      </c>
      <c r="O1558" s="32" t="n">
        <v>1</v>
      </c>
      <c r="P1558" s="15" t="n">
        <f aca="false">IF(A1558="","",IF(O1558&lt;&gt;"",O1558,IF(L1558&lt;&gt;"",L1558,F1558)))</f>
        <v>1</v>
      </c>
    </row>
    <row r="1559" customFormat="false" ht="15" hidden="false" customHeight="true" outlineLevel="0" collapsed="false">
      <c r="A1559" s="26" t="s">
        <v>191</v>
      </c>
      <c r="B1559" s="26" t="s">
        <v>192</v>
      </c>
      <c r="C1559" s="14" t="n">
        <f aca="false">IF(A1559="","",IFERROR(VLOOKUP(A1559,'Recert Status'!$A$8:$C$400,3,FALSE()),""))</f>
        <v>46387</v>
      </c>
      <c r="D1559" s="18" t="s">
        <v>414</v>
      </c>
      <c r="E1559" s="26" t="s">
        <v>416</v>
      </c>
      <c r="F1559" s="27" t="n">
        <v>2</v>
      </c>
      <c r="G1559" s="28" t="n">
        <v>46219</v>
      </c>
      <c r="H1559" s="28" t="n">
        <v>46219</v>
      </c>
      <c r="I1559" s="18" t="s">
        <v>567</v>
      </c>
      <c r="J1559" s="26" t="s">
        <v>416</v>
      </c>
      <c r="K1559" s="18" t="s">
        <v>418</v>
      </c>
      <c r="L1559" s="27" t="n">
        <v>2</v>
      </c>
      <c r="M1559" s="39" t="s">
        <v>413</v>
      </c>
      <c r="N1559" s="18" t="s">
        <v>414</v>
      </c>
      <c r="O1559" s="27" t="n">
        <v>2</v>
      </c>
      <c r="P1559" s="15" t="n">
        <f aca="false">IF(A1559="","",IF(O1559&lt;&gt;"",O1559,IF(L1559&lt;&gt;"",L1559,F1559)))</f>
        <v>2</v>
      </c>
    </row>
    <row r="1560" customFormat="false" ht="15" hidden="false" customHeight="true" outlineLevel="0" collapsed="false">
      <c r="A1560" s="30" t="s">
        <v>193</v>
      </c>
      <c r="B1560" s="30" t="s">
        <v>194</v>
      </c>
      <c r="C1560" s="21" t="n">
        <f aca="false">IF(A1560="","",IFERROR(VLOOKUP(A1560,'Recert Status'!$A$8:$C$400,3,FALSE()),""))</f>
        <v>46387</v>
      </c>
      <c r="D1560" s="31" t="s">
        <v>544</v>
      </c>
      <c r="E1560" s="30" t="s">
        <v>426</v>
      </c>
      <c r="F1560" s="32" t="n">
        <v>0.5</v>
      </c>
      <c r="G1560" s="33" t="n">
        <v>45676</v>
      </c>
      <c r="H1560" s="33" t="n">
        <v>45676</v>
      </c>
      <c r="I1560" s="31" t="s">
        <v>545</v>
      </c>
      <c r="J1560" s="30" t="s">
        <v>426</v>
      </c>
      <c r="K1560" s="31" t="s">
        <v>428</v>
      </c>
      <c r="L1560" s="32" t="n">
        <v>0.5</v>
      </c>
      <c r="M1560" s="41" t="s">
        <v>429</v>
      </c>
      <c r="N1560" s="31" t="s">
        <v>430</v>
      </c>
      <c r="O1560" s="32" t="n">
        <v>0.5</v>
      </c>
      <c r="P1560" s="15" t="n">
        <f aca="false">IF(A1560="","",IF(O1560&lt;&gt;"",O1560,IF(L1560&lt;&gt;"",L1560,F1560)))</f>
        <v>0.5</v>
      </c>
    </row>
    <row r="1561" customFormat="false" ht="15" hidden="false" customHeight="true" outlineLevel="0" collapsed="false">
      <c r="A1561" s="26" t="s">
        <v>193</v>
      </c>
      <c r="B1561" s="26" t="s">
        <v>194</v>
      </c>
      <c r="C1561" s="14" t="n">
        <f aca="false">IF(A1561="","",IFERROR(VLOOKUP(A1561,'Recert Status'!$A$8:$C$400,3,FALSE()),""))</f>
        <v>46387</v>
      </c>
      <c r="D1561" s="18" t="s">
        <v>977</v>
      </c>
      <c r="E1561" s="26" t="s">
        <v>426</v>
      </c>
      <c r="F1561" s="27" t="n">
        <v>2</v>
      </c>
      <c r="G1561" s="28" t="n">
        <v>45910</v>
      </c>
      <c r="H1561" s="28" t="n">
        <v>45910</v>
      </c>
      <c r="I1561" s="18" t="s">
        <v>978</v>
      </c>
      <c r="J1561" s="26" t="s">
        <v>426</v>
      </c>
      <c r="K1561" s="18" t="s">
        <v>495</v>
      </c>
      <c r="L1561" s="27" t="n">
        <v>2</v>
      </c>
      <c r="M1561" s="41" t="s">
        <v>429</v>
      </c>
      <c r="N1561" s="18" t="s">
        <v>430</v>
      </c>
      <c r="O1561" s="27" t="n">
        <v>2</v>
      </c>
      <c r="P1561" s="15" t="n">
        <f aca="false">IF(A1561="","",IF(O1561&lt;&gt;"",O1561,IF(L1561&lt;&gt;"",L1561,F1561)))</f>
        <v>2</v>
      </c>
    </row>
    <row r="1562" customFormat="false" ht="15" hidden="false" customHeight="true" outlineLevel="0" collapsed="false">
      <c r="A1562" s="30" t="s">
        <v>193</v>
      </c>
      <c r="B1562" s="30" t="s">
        <v>194</v>
      </c>
      <c r="C1562" s="21" t="n">
        <f aca="false">IF(A1562="","",IFERROR(VLOOKUP(A1562,'Recert Status'!$A$8:$C$400,3,FALSE()),""))</f>
        <v>46387</v>
      </c>
      <c r="D1562" s="31" t="s">
        <v>548</v>
      </c>
      <c r="E1562" s="30" t="s">
        <v>426</v>
      </c>
      <c r="F1562" s="32" t="n">
        <v>2</v>
      </c>
      <c r="G1562" s="33" t="n">
        <v>45979</v>
      </c>
      <c r="H1562" s="33" t="n">
        <v>45979</v>
      </c>
      <c r="I1562" s="31" t="s">
        <v>549</v>
      </c>
      <c r="J1562" s="30" t="s">
        <v>426</v>
      </c>
      <c r="K1562" s="31" t="s">
        <v>428</v>
      </c>
      <c r="L1562" s="32" t="n">
        <v>2</v>
      </c>
      <c r="M1562" s="41" t="s">
        <v>429</v>
      </c>
      <c r="N1562" s="31" t="s">
        <v>430</v>
      </c>
      <c r="O1562" s="32" t="n">
        <v>2</v>
      </c>
      <c r="P1562" s="15" t="n">
        <f aca="false">IF(A1562="","",IF(O1562&lt;&gt;"",O1562,IF(L1562&lt;&gt;"",L1562,F1562)))</f>
        <v>2</v>
      </c>
    </row>
    <row r="1563" customFormat="false" ht="15" hidden="false" customHeight="true" outlineLevel="0" collapsed="false">
      <c r="A1563" s="26" t="s">
        <v>193</v>
      </c>
      <c r="B1563" s="26" t="s">
        <v>194</v>
      </c>
      <c r="C1563" s="14" t="n">
        <f aca="false">IF(A1563="","",IFERROR(VLOOKUP(A1563,'Recert Status'!$A$8:$C$400,3,FALSE()),""))</f>
        <v>46387</v>
      </c>
      <c r="D1563" s="18" t="s">
        <v>382</v>
      </c>
      <c r="E1563" s="26" t="n">
        <v>35513</v>
      </c>
      <c r="F1563" s="27" t="n">
        <v>2</v>
      </c>
      <c r="G1563" s="28" t="n">
        <v>45883</v>
      </c>
      <c r="H1563" s="28" t="n">
        <v>45883</v>
      </c>
      <c r="I1563" s="18" t="s">
        <v>383</v>
      </c>
      <c r="J1563" s="26" t="s">
        <v>384</v>
      </c>
      <c r="K1563" s="18" t="s">
        <v>385</v>
      </c>
      <c r="L1563" s="27" t="n">
        <v>2</v>
      </c>
      <c r="M1563" s="35" t="s">
        <v>386</v>
      </c>
      <c r="N1563" s="18" t="s">
        <v>387</v>
      </c>
      <c r="O1563" s="27" t="n">
        <v>2</v>
      </c>
      <c r="P1563" s="15" t="n">
        <f aca="false">IF(A1563="","",IF(O1563&lt;&gt;"",O1563,IF(L1563&lt;&gt;"",L1563,F1563)))</f>
        <v>2</v>
      </c>
    </row>
    <row r="1564" customFormat="false" ht="15" hidden="false" customHeight="true" outlineLevel="0" collapsed="false">
      <c r="A1564" s="30" t="s">
        <v>193</v>
      </c>
      <c r="B1564" s="30" t="s">
        <v>194</v>
      </c>
      <c r="C1564" s="21" t="n">
        <f aca="false">IF(A1564="","",IFERROR(VLOOKUP(A1564,'Recert Status'!$A$8:$C$400,3,FALSE()),""))</f>
        <v>46387</v>
      </c>
      <c r="D1564" s="31" t="s">
        <v>804</v>
      </c>
      <c r="E1564" s="30" t="s">
        <v>389</v>
      </c>
      <c r="F1564" s="32" t="n">
        <v>1</v>
      </c>
      <c r="G1564" s="33" t="n">
        <v>46039</v>
      </c>
      <c r="H1564" s="33" t="n">
        <v>46039</v>
      </c>
      <c r="I1564" s="31" t="s">
        <v>805</v>
      </c>
      <c r="J1564" s="30" t="s">
        <v>389</v>
      </c>
      <c r="K1564" s="31" t="s">
        <v>451</v>
      </c>
      <c r="L1564" s="32" t="n">
        <v>1</v>
      </c>
      <c r="M1564" s="35" t="s">
        <v>386</v>
      </c>
      <c r="N1564" s="31" t="s">
        <v>387</v>
      </c>
      <c r="O1564" s="32" t="n">
        <v>1</v>
      </c>
      <c r="P1564" s="15" t="n">
        <f aca="false">IF(A1564="","",IF(O1564&lt;&gt;"",O1564,IF(L1564&lt;&gt;"",L1564,F1564)))</f>
        <v>1</v>
      </c>
    </row>
    <row r="1565" customFormat="false" ht="15" hidden="false" customHeight="true" outlineLevel="0" collapsed="false">
      <c r="A1565" s="26" t="s">
        <v>193</v>
      </c>
      <c r="B1565" s="26" t="s">
        <v>194</v>
      </c>
      <c r="C1565" s="14" t="n">
        <f aca="false">IF(A1565="","",IFERROR(VLOOKUP(A1565,'Recert Status'!$A$8:$C$400,3,FALSE()),""))</f>
        <v>46387</v>
      </c>
      <c r="D1565" s="18" t="s">
        <v>872</v>
      </c>
      <c r="E1565" s="26" t="s">
        <v>389</v>
      </c>
      <c r="F1565" s="27" t="n">
        <v>1</v>
      </c>
      <c r="G1565" s="28" t="n">
        <v>46154</v>
      </c>
      <c r="H1565" s="28" t="n">
        <v>46154</v>
      </c>
      <c r="I1565" s="18" t="s">
        <v>1409</v>
      </c>
      <c r="J1565" s="26" t="s">
        <v>389</v>
      </c>
      <c r="K1565" s="18" t="s">
        <v>495</v>
      </c>
      <c r="L1565" s="27" t="n">
        <v>1</v>
      </c>
      <c r="M1565" s="35" t="s">
        <v>386</v>
      </c>
      <c r="N1565" s="18" t="s">
        <v>387</v>
      </c>
      <c r="O1565" s="27" t="n">
        <v>1</v>
      </c>
      <c r="P1565" s="15" t="n">
        <f aca="false">IF(A1565="","",IF(O1565&lt;&gt;"",O1565,IF(L1565&lt;&gt;"",L1565,F1565)))</f>
        <v>1</v>
      </c>
    </row>
    <row r="1566" customFormat="false" ht="15" hidden="false" customHeight="true" outlineLevel="0" collapsed="false">
      <c r="A1566" s="30" t="s">
        <v>193</v>
      </c>
      <c r="B1566" s="30" t="s">
        <v>194</v>
      </c>
      <c r="C1566" s="21" t="n">
        <f aca="false">IF(A1566="","",IFERROR(VLOOKUP(A1566,'Recert Status'!$A$8:$C$400,3,FALSE()),""))</f>
        <v>46387</v>
      </c>
      <c r="D1566" s="31" t="s">
        <v>474</v>
      </c>
      <c r="E1566" s="30" t="s">
        <v>389</v>
      </c>
      <c r="F1566" s="32" t="n">
        <v>1</v>
      </c>
      <c r="G1566" s="33" t="n">
        <v>46204</v>
      </c>
      <c r="H1566" s="33" t="n">
        <v>46204</v>
      </c>
      <c r="I1566" s="31" t="s">
        <v>475</v>
      </c>
      <c r="J1566" s="30" t="s">
        <v>389</v>
      </c>
      <c r="K1566" s="31" t="s">
        <v>476</v>
      </c>
      <c r="L1566" s="32" t="n">
        <v>1</v>
      </c>
      <c r="M1566" s="35" t="s">
        <v>386</v>
      </c>
      <c r="N1566" s="31" t="s">
        <v>387</v>
      </c>
      <c r="O1566" s="32" t="n">
        <v>1</v>
      </c>
      <c r="P1566" s="15" t="n">
        <f aca="false">IF(A1566="","",IF(O1566&lt;&gt;"",O1566,IF(L1566&lt;&gt;"",L1566,F1566)))</f>
        <v>1</v>
      </c>
    </row>
    <row r="1567" customFormat="false" ht="15" hidden="false" customHeight="true" outlineLevel="0" collapsed="false">
      <c r="A1567" s="26" t="s">
        <v>193</v>
      </c>
      <c r="B1567" s="26" t="s">
        <v>194</v>
      </c>
      <c r="C1567" s="14" t="n">
        <f aca="false">IF(A1567="","",IFERROR(VLOOKUP(A1567,'Recert Status'!$A$8:$C$400,3,FALSE()),""))</f>
        <v>46387</v>
      </c>
      <c r="D1567" s="18" t="s">
        <v>387</v>
      </c>
      <c r="E1567" s="26" t="s">
        <v>389</v>
      </c>
      <c r="F1567" s="27" t="n">
        <v>1</v>
      </c>
      <c r="G1567" s="28" t="n">
        <v>46246</v>
      </c>
      <c r="H1567" s="28" t="n">
        <v>46246</v>
      </c>
      <c r="I1567" s="18" t="s">
        <v>1410</v>
      </c>
      <c r="J1567" s="26" t="s">
        <v>389</v>
      </c>
      <c r="K1567" s="18" t="s">
        <v>451</v>
      </c>
      <c r="L1567" s="27" t="n">
        <v>1</v>
      </c>
      <c r="M1567" s="35" t="s">
        <v>386</v>
      </c>
      <c r="N1567" s="18" t="s">
        <v>387</v>
      </c>
      <c r="O1567" s="27" t="n">
        <v>1</v>
      </c>
      <c r="P1567" s="15" t="n">
        <f aca="false">IF(A1567="","",IF(O1567&lt;&gt;"",O1567,IF(L1567&lt;&gt;"",L1567,F1567)))</f>
        <v>1</v>
      </c>
    </row>
    <row r="1568" customFormat="false" ht="15" hidden="false" customHeight="true" outlineLevel="0" collapsed="false">
      <c r="A1568" s="30" t="s">
        <v>193</v>
      </c>
      <c r="B1568" s="30" t="s">
        <v>194</v>
      </c>
      <c r="C1568" s="21" t="n">
        <f aca="false">IF(A1568="","",IFERROR(VLOOKUP(A1568,'Recert Status'!$A$8:$C$400,3,FALSE()),""))</f>
        <v>46387</v>
      </c>
      <c r="D1568" s="31" t="s">
        <v>557</v>
      </c>
      <c r="E1568" s="30" t="n">
        <v>35513</v>
      </c>
      <c r="F1568" s="32" t="n">
        <v>1</v>
      </c>
      <c r="G1568" s="33" t="n">
        <v>45688</v>
      </c>
      <c r="H1568" s="33" t="n">
        <v>45688</v>
      </c>
      <c r="I1568" s="31" t="s">
        <v>558</v>
      </c>
      <c r="J1568" s="30" t="s">
        <v>384</v>
      </c>
      <c r="K1568" s="31" t="s">
        <v>407</v>
      </c>
      <c r="L1568" s="32" t="n">
        <v>1</v>
      </c>
      <c r="M1568" s="36" t="s">
        <v>396</v>
      </c>
      <c r="N1568" s="31" t="s">
        <v>397</v>
      </c>
      <c r="O1568" s="32" t="n">
        <v>1</v>
      </c>
      <c r="P1568" s="15" t="n">
        <f aca="false">IF(A1568="","",IF(O1568&lt;&gt;"",O1568,IF(L1568&lt;&gt;"",L1568,F1568)))</f>
        <v>1</v>
      </c>
    </row>
    <row r="1569" customFormat="false" ht="15" hidden="false" customHeight="true" outlineLevel="0" collapsed="false">
      <c r="A1569" s="26" t="s">
        <v>193</v>
      </c>
      <c r="B1569" s="26" t="s">
        <v>194</v>
      </c>
      <c r="C1569" s="14" t="n">
        <f aca="false">IF(A1569="","",IFERROR(VLOOKUP(A1569,'Recert Status'!$A$8:$C$400,3,FALSE()),""))</f>
        <v>46387</v>
      </c>
      <c r="D1569" s="18" t="s">
        <v>1411</v>
      </c>
      <c r="E1569" s="26" t="n">
        <v>35513</v>
      </c>
      <c r="F1569" s="27" t="n">
        <v>1</v>
      </c>
      <c r="G1569" s="28" t="n">
        <v>45823</v>
      </c>
      <c r="H1569" s="28" t="n">
        <v>45823</v>
      </c>
      <c r="I1569" s="18" t="s">
        <v>1412</v>
      </c>
      <c r="J1569" s="26" t="s">
        <v>384</v>
      </c>
      <c r="K1569" s="18" t="s">
        <v>385</v>
      </c>
      <c r="L1569" s="27" t="n">
        <v>1</v>
      </c>
      <c r="M1569" s="36" t="s">
        <v>396</v>
      </c>
      <c r="N1569" s="18" t="s">
        <v>397</v>
      </c>
      <c r="O1569" s="27" t="n">
        <v>1</v>
      </c>
      <c r="P1569" s="15" t="n">
        <f aca="false">IF(A1569="","",IF(O1569&lt;&gt;"",O1569,IF(L1569&lt;&gt;"",L1569,F1569)))</f>
        <v>1</v>
      </c>
    </row>
    <row r="1570" customFormat="false" ht="15" hidden="false" customHeight="true" outlineLevel="0" collapsed="false">
      <c r="A1570" s="30" t="s">
        <v>193</v>
      </c>
      <c r="B1570" s="30" t="s">
        <v>194</v>
      </c>
      <c r="C1570" s="21" t="n">
        <f aca="false">IF(A1570="","",IFERROR(VLOOKUP(A1570,'Recert Status'!$A$8:$C$400,3,FALSE()),""))</f>
        <v>46387</v>
      </c>
      <c r="D1570" s="31" t="s">
        <v>806</v>
      </c>
      <c r="E1570" s="30" t="s">
        <v>452</v>
      </c>
      <c r="F1570" s="32" t="n">
        <v>1</v>
      </c>
      <c r="G1570" s="33" t="n">
        <v>46039</v>
      </c>
      <c r="H1570" s="33" t="n">
        <v>46039</v>
      </c>
      <c r="I1570" s="31" t="s">
        <v>807</v>
      </c>
      <c r="J1570" s="30" t="s">
        <v>452</v>
      </c>
      <c r="K1570" s="31" t="s">
        <v>808</v>
      </c>
      <c r="L1570" s="32" t="n">
        <v>1</v>
      </c>
      <c r="M1570" s="36" t="s">
        <v>396</v>
      </c>
      <c r="N1570" s="31" t="s">
        <v>397</v>
      </c>
      <c r="O1570" s="32" t="n">
        <v>1</v>
      </c>
      <c r="P1570" s="15" t="n">
        <f aca="false">IF(A1570="","",IF(O1570&lt;&gt;"",O1570,IF(L1570&lt;&gt;"",L1570,F1570)))</f>
        <v>1</v>
      </c>
    </row>
    <row r="1571" customFormat="false" ht="15" hidden="false" customHeight="true" outlineLevel="0" collapsed="false">
      <c r="A1571" s="26" t="s">
        <v>193</v>
      </c>
      <c r="B1571" s="26" t="s">
        <v>194</v>
      </c>
      <c r="C1571" s="14" t="n">
        <f aca="false">IF(A1571="","",IFERROR(VLOOKUP(A1571,'Recert Status'!$A$8:$C$400,3,FALSE()),""))</f>
        <v>46387</v>
      </c>
      <c r="D1571" s="18" t="s">
        <v>771</v>
      </c>
      <c r="E1571" s="26" t="n">
        <v>35513</v>
      </c>
      <c r="F1571" s="27" t="n">
        <v>1</v>
      </c>
      <c r="G1571" s="28" t="n">
        <v>46153</v>
      </c>
      <c r="H1571" s="28" t="n">
        <v>46153</v>
      </c>
      <c r="I1571" s="18" t="s">
        <v>1413</v>
      </c>
      <c r="J1571" s="26" t="s">
        <v>384</v>
      </c>
      <c r="K1571" s="18" t="s">
        <v>385</v>
      </c>
      <c r="L1571" s="27" t="n">
        <v>1</v>
      </c>
      <c r="M1571" s="36" t="s">
        <v>396</v>
      </c>
      <c r="N1571" s="18" t="s">
        <v>397</v>
      </c>
      <c r="O1571" s="27" t="n">
        <v>1</v>
      </c>
      <c r="P1571" s="15" t="n">
        <f aca="false">IF(A1571="","",IF(O1571&lt;&gt;"",O1571,IF(L1571&lt;&gt;"",L1571,F1571)))</f>
        <v>1</v>
      </c>
    </row>
    <row r="1572" customFormat="false" ht="15" hidden="false" customHeight="true" outlineLevel="0" collapsed="false">
      <c r="A1572" s="30" t="s">
        <v>193</v>
      </c>
      <c r="B1572" s="30" t="s">
        <v>194</v>
      </c>
      <c r="C1572" s="21" t="n">
        <f aca="false">IF(A1572="","",IFERROR(VLOOKUP(A1572,'Recert Status'!$A$8:$C$400,3,FALSE()),""))</f>
        <v>46387</v>
      </c>
      <c r="D1572" s="31" t="s">
        <v>560</v>
      </c>
      <c r="E1572" s="30" t="n">
        <v>35513</v>
      </c>
      <c r="F1572" s="32" t="n">
        <v>1</v>
      </c>
      <c r="G1572" s="33" t="n">
        <v>46153</v>
      </c>
      <c r="H1572" s="33" t="n">
        <v>46153</v>
      </c>
      <c r="I1572" s="31" t="s">
        <v>1414</v>
      </c>
      <c r="J1572" s="30" t="s">
        <v>384</v>
      </c>
      <c r="K1572" s="31" t="s">
        <v>385</v>
      </c>
      <c r="L1572" s="32" t="n">
        <v>1</v>
      </c>
      <c r="M1572" s="36" t="s">
        <v>396</v>
      </c>
      <c r="N1572" s="31" t="s">
        <v>397</v>
      </c>
      <c r="O1572" s="32" t="n">
        <v>1</v>
      </c>
      <c r="P1572" s="15" t="n">
        <f aca="false">IF(A1572="","",IF(O1572&lt;&gt;"",O1572,IF(L1572&lt;&gt;"",L1572,F1572)))</f>
        <v>1</v>
      </c>
    </row>
    <row r="1573" customFormat="false" ht="15" hidden="false" customHeight="true" outlineLevel="0" collapsed="false">
      <c r="A1573" s="26" t="s">
        <v>193</v>
      </c>
      <c r="B1573" s="26" t="s">
        <v>194</v>
      </c>
      <c r="C1573" s="14" t="n">
        <f aca="false">IF(A1573="","",IFERROR(VLOOKUP(A1573,'Recert Status'!$A$8:$C$400,3,FALSE()),""))</f>
        <v>46387</v>
      </c>
      <c r="D1573" s="18" t="s">
        <v>397</v>
      </c>
      <c r="E1573" s="26" t="s">
        <v>452</v>
      </c>
      <c r="F1573" s="27" t="n">
        <v>1</v>
      </c>
      <c r="G1573" s="28" t="n">
        <v>46246</v>
      </c>
      <c r="H1573" s="28" t="n">
        <v>46246</v>
      </c>
      <c r="I1573" s="18" t="s">
        <v>478</v>
      </c>
      <c r="J1573" s="26" t="s">
        <v>452</v>
      </c>
      <c r="K1573" s="18" t="s">
        <v>385</v>
      </c>
      <c r="L1573" s="27" t="n">
        <v>1</v>
      </c>
      <c r="M1573" s="36" t="s">
        <v>396</v>
      </c>
      <c r="N1573" s="18" t="s">
        <v>397</v>
      </c>
      <c r="O1573" s="27" t="n">
        <v>1</v>
      </c>
      <c r="P1573" s="15" t="n">
        <f aca="false">IF(A1573="","",IF(O1573&lt;&gt;"",O1573,IF(L1573&lt;&gt;"",L1573,F1573)))</f>
        <v>1</v>
      </c>
    </row>
    <row r="1574" customFormat="false" ht="15" hidden="false" customHeight="true" outlineLevel="0" collapsed="false">
      <c r="A1574" s="30" t="s">
        <v>193</v>
      </c>
      <c r="B1574" s="30" t="s">
        <v>194</v>
      </c>
      <c r="C1574" s="21" t="n">
        <f aca="false">IF(A1574="","",IFERROR(VLOOKUP(A1574,'Recert Status'!$A$8:$C$400,3,FALSE()),""))</f>
        <v>46387</v>
      </c>
      <c r="D1574" s="31" t="s">
        <v>397</v>
      </c>
      <c r="E1574" s="30" t="s">
        <v>452</v>
      </c>
      <c r="F1574" s="32" t="n">
        <v>1</v>
      </c>
      <c r="G1574" s="33" t="n">
        <v>46292</v>
      </c>
      <c r="H1574" s="33" t="n">
        <v>46292</v>
      </c>
      <c r="I1574" s="31" t="s">
        <v>1233</v>
      </c>
      <c r="J1574" s="30" t="s">
        <v>452</v>
      </c>
      <c r="K1574" s="31" t="s">
        <v>385</v>
      </c>
      <c r="L1574" s="32" t="n">
        <v>1</v>
      </c>
      <c r="M1574" s="36" t="s">
        <v>396</v>
      </c>
      <c r="N1574" s="31" t="s">
        <v>397</v>
      </c>
      <c r="O1574" s="32" t="n">
        <v>1</v>
      </c>
      <c r="P1574" s="15" t="n">
        <f aca="false">IF(A1574="","",IF(O1574&lt;&gt;"",O1574,IF(L1574&lt;&gt;"",L1574,F1574)))</f>
        <v>1</v>
      </c>
    </row>
    <row r="1575" customFormat="false" ht="15" hidden="false" customHeight="true" outlineLevel="0" collapsed="false">
      <c r="A1575" s="26" t="s">
        <v>193</v>
      </c>
      <c r="B1575" s="26" t="s">
        <v>194</v>
      </c>
      <c r="C1575" s="14" t="n">
        <f aca="false">IF(A1575="","",IFERROR(VLOOKUP(A1575,'Recert Status'!$A$8:$C$400,3,FALSE()),""))</f>
        <v>46387</v>
      </c>
      <c r="D1575" s="18" t="s">
        <v>639</v>
      </c>
      <c r="E1575" s="26" t="s">
        <v>399</v>
      </c>
      <c r="F1575" s="27" t="n">
        <v>1</v>
      </c>
      <c r="G1575" s="28" t="n">
        <v>46153</v>
      </c>
      <c r="H1575" s="28" t="n">
        <v>46153</v>
      </c>
      <c r="I1575" s="18" t="s">
        <v>1415</v>
      </c>
      <c r="J1575" s="26" t="s">
        <v>399</v>
      </c>
      <c r="K1575" s="18" t="s">
        <v>401</v>
      </c>
      <c r="L1575" s="27" t="n">
        <v>1</v>
      </c>
      <c r="M1575" s="37" t="s">
        <v>402</v>
      </c>
      <c r="N1575" s="18" t="s">
        <v>403</v>
      </c>
      <c r="O1575" s="27" t="n">
        <v>1</v>
      </c>
      <c r="P1575" s="15" t="n">
        <f aca="false">IF(A1575="","",IF(O1575&lt;&gt;"",O1575,IF(L1575&lt;&gt;"",L1575,F1575)))</f>
        <v>1</v>
      </c>
    </row>
    <row r="1576" customFormat="false" ht="15" hidden="false" customHeight="true" outlineLevel="0" collapsed="false">
      <c r="A1576" s="30" t="s">
        <v>193</v>
      </c>
      <c r="B1576" s="30" t="s">
        <v>194</v>
      </c>
      <c r="C1576" s="21" t="n">
        <f aca="false">IF(A1576="","",IFERROR(VLOOKUP(A1576,'Recert Status'!$A$8:$C$400,3,FALSE()),""))</f>
        <v>46387</v>
      </c>
      <c r="D1576" s="31" t="s">
        <v>541</v>
      </c>
      <c r="E1576" s="30" t="s">
        <v>416</v>
      </c>
      <c r="F1576" s="32" t="n">
        <v>0.5</v>
      </c>
      <c r="G1576" s="33" t="n">
        <v>45676</v>
      </c>
      <c r="H1576" s="33" t="n">
        <v>45676</v>
      </c>
      <c r="I1576" s="31" t="s">
        <v>564</v>
      </c>
      <c r="J1576" s="30" t="s">
        <v>416</v>
      </c>
      <c r="K1576" s="31" t="s">
        <v>485</v>
      </c>
      <c r="L1576" s="32" t="n">
        <v>0.5</v>
      </c>
      <c r="M1576" s="39" t="s">
        <v>413</v>
      </c>
      <c r="N1576" s="31" t="s">
        <v>414</v>
      </c>
      <c r="O1576" s="32" t="n">
        <v>0.5</v>
      </c>
      <c r="P1576" s="15" t="n">
        <f aca="false">IF(A1576="","",IF(O1576&lt;&gt;"",O1576,IF(L1576&lt;&gt;"",L1576,F1576)))</f>
        <v>0.5</v>
      </c>
    </row>
    <row r="1577" customFormat="false" ht="15" hidden="false" customHeight="true" outlineLevel="0" collapsed="false">
      <c r="A1577" s="26" t="s">
        <v>193</v>
      </c>
      <c r="B1577" s="26" t="s">
        <v>194</v>
      </c>
      <c r="C1577" s="14" t="n">
        <f aca="false">IF(A1577="","",IFERROR(VLOOKUP(A1577,'Recert Status'!$A$8:$C$400,3,FALSE()),""))</f>
        <v>46387</v>
      </c>
      <c r="D1577" s="18" t="s">
        <v>415</v>
      </c>
      <c r="E1577" s="26" t="s">
        <v>416</v>
      </c>
      <c r="F1577" s="27" t="n">
        <v>1</v>
      </c>
      <c r="G1577" s="28" t="n">
        <v>45826</v>
      </c>
      <c r="H1577" s="28" t="n">
        <v>45826</v>
      </c>
      <c r="I1577" s="18" t="s">
        <v>1234</v>
      </c>
      <c r="J1577" s="26" t="s">
        <v>416</v>
      </c>
      <c r="K1577" s="18" t="s">
        <v>418</v>
      </c>
      <c r="L1577" s="27" t="n">
        <v>1</v>
      </c>
      <c r="M1577" s="39" t="s">
        <v>413</v>
      </c>
      <c r="N1577" s="18" t="s">
        <v>414</v>
      </c>
      <c r="O1577" s="27" t="n">
        <v>1</v>
      </c>
      <c r="P1577" s="15" t="n">
        <f aca="false">IF(A1577="","",IF(O1577&lt;&gt;"",O1577,IF(L1577&lt;&gt;"",L1577,F1577)))</f>
        <v>1</v>
      </c>
    </row>
    <row r="1578" customFormat="false" ht="15" hidden="false" customHeight="true" outlineLevel="0" collapsed="false">
      <c r="A1578" s="30" t="s">
        <v>193</v>
      </c>
      <c r="B1578" s="30" t="s">
        <v>194</v>
      </c>
      <c r="C1578" s="21" t="n">
        <f aca="false">IF(A1578="","",IFERROR(VLOOKUP(A1578,'Recert Status'!$A$8:$C$400,3,FALSE()),""))</f>
        <v>46387</v>
      </c>
      <c r="D1578" s="31" t="s">
        <v>486</v>
      </c>
      <c r="E1578" s="30" t="s">
        <v>416</v>
      </c>
      <c r="F1578" s="32" t="n">
        <v>2</v>
      </c>
      <c r="G1578" s="33" t="n">
        <v>45859</v>
      </c>
      <c r="H1578" s="33" t="n">
        <v>45859</v>
      </c>
      <c r="I1578" s="31" t="s">
        <v>487</v>
      </c>
      <c r="J1578" s="30" t="s">
        <v>416</v>
      </c>
      <c r="K1578" s="31" t="s">
        <v>418</v>
      </c>
      <c r="L1578" s="32" t="n">
        <v>2</v>
      </c>
      <c r="M1578" s="39" t="s">
        <v>413</v>
      </c>
      <c r="N1578" s="31" t="s">
        <v>414</v>
      </c>
      <c r="O1578" s="32" t="n">
        <v>2</v>
      </c>
      <c r="P1578" s="15" t="n">
        <f aca="false">IF(A1578="","",IF(O1578&lt;&gt;"",O1578,IF(L1578&lt;&gt;"",L1578,F1578)))</f>
        <v>2</v>
      </c>
    </row>
    <row r="1579" customFormat="false" ht="15" hidden="false" customHeight="true" outlineLevel="0" collapsed="false">
      <c r="A1579" s="26" t="s">
        <v>193</v>
      </c>
      <c r="B1579" s="26" t="s">
        <v>194</v>
      </c>
      <c r="C1579" s="14" t="n">
        <f aca="false">IF(A1579="","",IFERROR(VLOOKUP(A1579,'Recert Status'!$A$8:$C$400,3,FALSE()),""))</f>
        <v>46387</v>
      </c>
      <c r="D1579" s="18" t="s">
        <v>488</v>
      </c>
      <c r="E1579" s="26" t="s">
        <v>416</v>
      </c>
      <c r="F1579" s="27" t="n">
        <v>1</v>
      </c>
      <c r="G1579" s="28" t="n">
        <v>46126</v>
      </c>
      <c r="H1579" s="28" t="n">
        <v>46126</v>
      </c>
      <c r="I1579" s="18" t="s">
        <v>489</v>
      </c>
      <c r="J1579" s="26" t="s">
        <v>416</v>
      </c>
      <c r="K1579" s="18" t="s">
        <v>490</v>
      </c>
      <c r="L1579" s="27" t="n">
        <v>1</v>
      </c>
      <c r="M1579" s="39" t="s">
        <v>413</v>
      </c>
      <c r="N1579" s="18" t="s">
        <v>414</v>
      </c>
      <c r="O1579" s="27" t="n">
        <v>1</v>
      </c>
      <c r="P1579" s="15" t="n">
        <f aca="false">IF(A1579="","",IF(O1579&lt;&gt;"",O1579,IF(L1579&lt;&gt;"",L1579,F1579)))</f>
        <v>1</v>
      </c>
    </row>
    <row r="1580" customFormat="false" ht="15" hidden="false" customHeight="true" outlineLevel="0" collapsed="false">
      <c r="A1580" s="30" t="s">
        <v>193</v>
      </c>
      <c r="B1580" s="30" t="s">
        <v>194</v>
      </c>
      <c r="C1580" s="21" t="n">
        <f aca="false">IF(A1580="","",IFERROR(VLOOKUP(A1580,'Recert Status'!$A$8:$C$400,3,FALSE()),""))</f>
        <v>46387</v>
      </c>
      <c r="D1580" s="31" t="s">
        <v>414</v>
      </c>
      <c r="E1580" s="30" t="s">
        <v>416</v>
      </c>
      <c r="F1580" s="32" t="n">
        <v>2</v>
      </c>
      <c r="G1580" s="33" t="n">
        <v>46219</v>
      </c>
      <c r="H1580" s="33" t="n">
        <v>46219</v>
      </c>
      <c r="I1580" s="31" t="s">
        <v>567</v>
      </c>
      <c r="J1580" s="30" t="s">
        <v>416</v>
      </c>
      <c r="K1580" s="31" t="s">
        <v>418</v>
      </c>
      <c r="L1580" s="32" t="n">
        <v>2</v>
      </c>
      <c r="M1580" s="39" t="s">
        <v>413</v>
      </c>
      <c r="N1580" s="31" t="s">
        <v>414</v>
      </c>
      <c r="O1580" s="32" t="n">
        <v>2</v>
      </c>
      <c r="P1580" s="15" t="n">
        <f aca="false">IF(A1580="","",IF(O1580&lt;&gt;"",O1580,IF(L1580&lt;&gt;"",L1580,F1580)))</f>
        <v>2</v>
      </c>
    </row>
    <row r="1581" customFormat="false" ht="15" hidden="false" customHeight="true" outlineLevel="0" collapsed="false">
      <c r="A1581" s="26" t="s">
        <v>195</v>
      </c>
      <c r="B1581" s="26" t="s">
        <v>196</v>
      </c>
      <c r="C1581" s="14" t="n">
        <f aca="false">IF(A1581="","",IFERROR(VLOOKUP(A1581,'Recert Status'!$A$8:$C$400,3,FALSE()),""))</f>
        <v>46752</v>
      </c>
      <c r="D1581" s="18" t="s">
        <v>623</v>
      </c>
      <c r="E1581" s="26" t="s">
        <v>363</v>
      </c>
      <c r="F1581" s="27" t="n">
        <v>0.5</v>
      </c>
      <c r="G1581" s="28" t="n">
        <v>45783</v>
      </c>
      <c r="H1581" s="28" t="n">
        <v>45783</v>
      </c>
      <c r="I1581" s="18" t="s">
        <v>624</v>
      </c>
      <c r="J1581" s="26" t="s">
        <v>363</v>
      </c>
      <c r="K1581" s="18" t="s">
        <v>365</v>
      </c>
      <c r="L1581" s="27" t="n">
        <v>0.5</v>
      </c>
      <c r="M1581" s="29" t="s">
        <v>366</v>
      </c>
      <c r="N1581" s="18" t="s">
        <v>367</v>
      </c>
      <c r="O1581" s="27" t="n">
        <v>0.5</v>
      </c>
      <c r="P1581" s="15" t="n">
        <f aca="false">IF(A1581="","",IF(O1581&lt;&gt;"",O1581,IF(L1581&lt;&gt;"",L1581,F1581)))</f>
        <v>0.5</v>
      </c>
    </row>
    <row r="1582" customFormat="false" ht="15" hidden="false" customHeight="true" outlineLevel="0" collapsed="false">
      <c r="A1582" s="30" t="s">
        <v>195</v>
      </c>
      <c r="B1582" s="30" t="s">
        <v>196</v>
      </c>
      <c r="C1582" s="21" t="n">
        <f aca="false">IF(A1582="","",IFERROR(VLOOKUP(A1582,'Recert Status'!$A$8:$C$400,3,FALSE()),""))</f>
        <v>46752</v>
      </c>
      <c r="D1582" s="31" t="s">
        <v>824</v>
      </c>
      <c r="E1582" s="30" t="s">
        <v>363</v>
      </c>
      <c r="F1582" s="32" t="n">
        <v>0.5</v>
      </c>
      <c r="G1582" s="33" t="n">
        <v>45810</v>
      </c>
      <c r="H1582" s="33" t="n">
        <v>45810</v>
      </c>
      <c r="I1582" s="31" t="s">
        <v>825</v>
      </c>
      <c r="J1582" s="30" t="s">
        <v>363</v>
      </c>
      <c r="K1582" s="31" t="s">
        <v>370</v>
      </c>
      <c r="L1582" s="32" t="n">
        <v>0.5</v>
      </c>
      <c r="M1582" s="29" t="s">
        <v>366</v>
      </c>
      <c r="N1582" s="31" t="s">
        <v>367</v>
      </c>
      <c r="O1582" s="32" t="n">
        <v>0.5</v>
      </c>
      <c r="P1582" s="15" t="n">
        <f aca="false">IF(A1582="","",IF(O1582&lt;&gt;"",O1582,IF(L1582&lt;&gt;"",L1582,F1582)))</f>
        <v>0.5</v>
      </c>
    </row>
    <row r="1583" customFormat="false" ht="15" hidden="false" customHeight="true" outlineLevel="0" collapsed="false">
      <c r="A1583" s="26" t="s">
        <v>195</v>
      </c>
      <c r="B1583" s="26" t="s">
        <v>196</v>
      </c>
      <c r="C1583" s="14" t="n">
        <f aca="false">IF(A1583="","",IFERROR(VLOOKUP(A1583,'Recert Status'!$A$8:$C$400,3,FALSE()),""))</f>
        <v>46752</v>
      </c>
      <c r="D1583" s="18" t="s">
        <v>449</v>
      </c>
      <c r="E1583" s="26" t="s">
        <v>363</v>
      </c>
      <c r="F1583" s="27" t="n">
        <v>1</v>
      </c>
      <c r="G1583" s="28" t="n">
        <v>45813</v>
      </c>
      <c r="H1583" s="28" t="n">
        <v>45813</v>
      </c>
      <c r="I1583" s="18" t="s">
        <v>826</v>
      </c>
      <c r="J1583" s="26" t="s">
        <v>363</v>
      </c>
      <c r="K1583" s="18" t="s">
        <v>365</v>
      </c>
      <c r="L1583" s="27" t="n">
        <v>1</v>
      </c>
      <c r="M1583" s="29" t="s">
        <v>366</v>
      </c>
      <c r="N1583" s="18" t="s">
        <v>367</v>
      </c>
      <c r="O1583" s="27" t="n">
        <v>1</v>
      </c>
      <c r="P1583" s="15" t="n">
        <f aca="false">IF(A1583="","",IF(O1583&lt;&gt;"",O1583,IF(L1583&lt;&gt;"",L1583,F1583)))</f>
        <v>1</v>
      </c>
    </row>
    <row r="1584" customFormat="false" ht="15" hidden="false" customHeight="true" outlineLevel="0" collapsed="false">
      <c r="A1584" s="30" t="s">
        <v>195</v>
      </c>
      <c r="B1584" s="30" t="s">
        <v>196</v>
      </c>
      <c r="C1584" s="21" t="n">
        <f aca="false">IF(A1584="","",IFERROR(VLOOKUP(A1584,'Recert Status'!$A$8:$C$400,3,FALSE()),""))</f>
        <v>46752</v>
      </c>
      <c r="D1584" s="31" t="s">
        <v>827</v>
      </c>
      <c r="E1584" s="30" t="s">
        <v>389</v>
      </c>
      <c r="F1584" s="32" t="n">
        <v>2.5</v>
      </c>
      <c r="G1584" s="33" t="n">
        <v>45867</v>
      </c>
      <c r="H1584" s="33" t="n">
        <v>45867</v>
      </c>
      <c r="I1584" s="31" t="s">
        <v>828</v>
      </c>
      <c r="J1584" s="30" t="s">
        <v>389</v>
      </c>
      <c r="K1584" s="31" t="s">
        <v>829</v>
      </c>
      <c r="L1584" s="32" t="n">
        <v>1.5</v>
      </c>
      <c r="M1584" s="29" t="s">
        <v>366</v>
      </c>
      <c r="N1584" s="31" t="s">
        <v>830</v>
      </c>
      <c r="O1584" s="32" t="n">
        <v>2.5</v>
      </c>
      <c r="P1584" s="15" t="n">
        <f aca="false">IF(A1584="","",IF(O1584&lt;&gt;"",O1584,IF(L1584&lt;&gt;"",L1584,F1584)))</f>
        <v>2.5</v>
      </c>
    </row>
    <row r="1585" customFormat="false" ht="15" hidden="false" customHeight="true" outlineLevel="0" collapsed="false">
      <c r="A1585" s="26" t="s">
        <v>195</v>
      </c>
      <c r="B1585" s="26" t="s">
        <v>196</v>
      </c>
      <c r="C1585" s="14" t="n">
        <f aca="false">IF(A1585="","",IFERROR(VLOOKUP(A1585,'Recert Status'!$A$8:$C$400,3,FALSE()),""))</f>
        <v>46752</v>
      </c>
      <c r="D1585" s="18" t="s">
        <v>831</v>
      </c>
      <c r="E1585" s="26" t="s">
        <v>363</v>
      </c>
      <c r="F1585" s="27" t="n">
        <v>1</v>
      </c>
      <c r="G1585" s="28" t="n">
        <v>45912</v>
      </c>
      <c r="H1585" s="28" t="n">
        <v>45912</v>
      </c>
      <c r="I1585" s="18" t="s">
        <v>832</v>
      </c>
      <c r="J1585" s="26" t="s">
        <v>363</v>
      </c>
      <c r="K1585" s="18" t="s">
        <v>495</v>
      </c>
      <c r="L1585" s="27" t="n">
        <v>1</v>
      </c>
      <c r="M1585" s="29" t="s">
        <v>366</v>
      </c>
      <c r="N1585" s="18" t="s">
        <v>367</v>
      </c>
      <c r="O1585" s="27" t="n">
        <v>1</v>
      </c>
      <c r="P1585" s="15" t="n">
        <f aca="false">IF(A1585="","",IF(O1585&lt;&gt;"",O1585,IF(L1585&lt;&gt;"",L1585,F1585)))</f>
        <v>1</v>
      </c>
    </row>
    <row r="1586" customFormat="false" ht="15" hidden="false" customHeight="true" outlineLevel="0" collapsed="false">
      <c r="A1586" s="30" t="s">
        <v>195</v>
      </c>
      <c r="B1586" s="30" t="s">
        <v>196</v>
      </c>
      <c r="C1586" s="21" t="n">
        <f aca="false">IF(A1586="","",IFERROR(VLOOKUP(A1586,'Recert Status'!$A$8:$C$400,3,FALSE()),""))</f>
        <v>46752</v>
      </c>
      <c r="D1586" s="31" t="s">
        <v>632</v>
      </c>
      <c r="E1586" s="30" t="n">
        <v>29675</v>
      </c>
      <c r="F1586" s="32" t="n">
        <v>0.5</v>
      </c>
      <c r="G1586" s="33" t="n">
        <v>45855</v>
      </c>
      <c r="H1586" s="33" t="n">
        <v>45855</v>
      </c>
      <c r="I1586" s="31" t="s">
        <v>633</v>
      </c>
      <c r="J1586" s="30" t="s">
        <v>406</v>
      </c>
      <c r="K1586" s="31" t="s">
        <v>422</v>
      </c>
      <c r="L1586" s="32" t="n">
        <v>0.5</v>
      </c>
      <c r="M1586" s="40" t="s">
        <v>423</v>
      </c>
      <c r="N1586" s="31" t="s">
        <v>424</v>
      </c>
      <c r="O1586" s="32" t="n">
        <v>0.5</v>
      </c>
      <c r="P1586" s="15" t="n">
        <f aca="false">IF(A1586="","",IF(O1586&lt;&gt;"",O1586,IF(L1586&lt;&gt;"",L1586,F1586)))</f>
        <v>0.5</v>
      </c>
    </row>
    <row r="1587" customFormat="false" ht="15" hidden="false" customHeight="true" outlineLevel="0" collapsed="false">
      <c r="A1587" s="26" t="s">
        <v>195</v>
      </c>
      <c r="B1587" s="26" t="s">
        <v>196</v>
      </c>
      <c r="C1587" s="14" t="n">
        <f aca="false">IF(A1587="","",IFERROR(VLOOKUP(A1587,'Recert Status'!$A$8:$C$400,3,FALSE()),""))</f>
        <v>46752</v>
      </c>
      <c r="D1587" s="18" t="s">
        <v>584</v>
      </c>
      <c r="E1587" s="26" t="s">
        <v>542</v>
      </c>
      <c r="F1587" s="27" t="n">
        <v>3</v>
      </c>
      <c r="G1587" s="28" t="n">
        <v>45892</v>
      </c>
      <c r="H1587" s="28" t="n">
        <v>45892</v>
      </c>
      <c r="I1587" s="18" t="s">
        <v>585</v>
      </c>
      <c r="J1587" s="26" t="s">
        <v>542</v>
      </c>
      <c r="K1587" s="18" t="s">
        <v>586</v>
      </c>
      <c r="L1587" s="27" t="n">
        <v>3</v>
      </c>
      <c r="M1587" s="40" t="s">
        <v>423</v>
      </c>
      <c r="N1587" s="18" t="s">
        <v>424</v>
      </c>
      <c r="O1587" s="27" t="n">
        <v>3</v>
      </c>
      <c r="P1587" s="15" t="n">
        <f aca="false">IF(A1587="","",IF(O1587&lt;&gt;"",O1587,IF(L1587&lt;&gt;"",L1587,F1587)))</f>
        <v>3</v>
      </c>
    </row>
    <row r="1588" customFormat="false" ht="15" hidden="false" customHeight="true" outlineLevel="0" collapsed="false">
      <c r="A1588" s="30" t="s">
        <v>195</v>
      </c>
      <c r="B1588" s="30" t="s">
        <v>196</v>
      </c>
      <c r="C1588" s="21" t="n">
        <f aca="false">IF(A1588="","",IFERROR(VLOOKUP(A1588,'Recert Status'!$A$8:$C$400,3,FALSE()),""))</f>
        <v>46752</v>
      </c>
      <c r="D1588" s="31" t="s">
        <v>569</v>
      </c>
      <c r="E1588" s="30" t="n">
        <v>57433</v>
      </c>
      <c r="F1588" s="32" t="n">
        <v>1</v>
      </c>
      <c r="G1588" s="33" t="n">
        <v>46017</v>
      </c>
      <c r="H1588" s="33" t="n">
        <v>46017</v>
      </c>
      <c r="I1588" s="31" t="s">
        <v>570</v>
      </c>
      <c r="J1588" s="30" t="s">
        <v>421</v>
      </c>
      <c r="K1588" s="31" t="s">
        <v>428</v>
      </c>
      <c r="L1588" s="32" t="n">
        <v>1</v>
      </c>
      <c r="M1588" s="40" t="s">
        <v>423</v>
      </c>
      <c r="N1588" s="31" t="s">
        <v>514</v>
      </c>
      <c r="O1588" s="32" t="n">
        <v>1</v>
      </c>
      <c r="P1588" s="15" t="n">
        <f aca="false">IF(A1588="","",IF(O1588&lt;&gt;"",O1588,IF(L1588&lt;&gt;"",L1588,F1588)))</f>
        <v>1</v>
      </c>
    </row>
    <row r="1589" customFormat="false" ht="15" hidden="false" customHeight="true" outlineLevel="0" collapsed="false">
      <c r="A1589" s="26" t="s">
        <v>195</v>
      </c>
      <c r="B1589" s="26" t="s">
        <v>196</v>
      </c>
      <c r="C1589" s="14" t="n">
        <f aca="false">IF(A1589="","",IFERROR(VLOOKUP(A1589,'Recert Status'!$A$8:$C$400,3,FALSE()),""))</f>
        <v>46752</v>
      </c>
      <c r="D1589" s="18" t="s">
        <v>865</v>
      </c>
      <c r="E1589" s="26" t="s">
        <v>542</v>
      </c>
      <c r="F1589" s="27" t="n">
        <v>1</v>
      </c>
      <c r="G1589" s="28" t="n">
        <v>46056</v>
      </c>
      <c r="H1589" s="28" t="n">
        <v>46056</v>
      </c>
      <c r="I1589" s="18" t="s">
        <v>866</v>
      </c>
      <c r="J1589" s="26" t="s">
        <v>542</v>
      </c>
      <c r="K1589" s="18" t="s">
        <v>422</v>
      </c>
      <c r="L1589" s="27" t="n">
        <v>1</v>
      </c>
      <c r="M1589" s="40" t="s">
        <v>423</v>
      </c>
      <c r="N1589" s="18" t="s">
        <v>424</v>
      </c>
      <c r="O1589" s="27" t="n">
        <v>1</v>
      </c>
      <c r="P1589" s="15" t="n">
        <f aca="false">IF(A1589="","",IF(O1589&lt;&gt;"",O1589,IF(L1589&lt;&gt;"",L1589,F1589)))</f>
        <v>1</v>
      </c>
    </row>
    <row r="1590" customFormat="false" ht="15" hidden="false" customHeight="true" outlineLevel="0" collapsed="false">
      <c r="A1590" s="30" t="s">
        <v>195</v>
      </c>
      <c r="B1590" s="30" t="s">
        <v>196</v>
      </c>
      <c r="C1590" s="21" t="n">
        <f aca="false">IF(A1590="","",IFERROR(VLOOKUP(A1590,'Recert Status'!$A$8:$C$400,3,FALSE()),""))</f>
        <v>46752</v>
      </c>
      <c r="D1590" s="31" t="s">
        <v>833</v>
      </c>
      <c r="E1590" s="30" t="s">
        <v>426</v>
      </c>
      <c r="F1590" s="32" t="n">
        <v>0.5</v>
      </c>
      <c r="G1590" s="33" t="n">
        <v>45906</v>
      </c>
      <c r="H1590" s="33" t="n">
        <v>45906</v>
      </c>
      <c r="I1590" s="31" t="s">
        <v>834</v>
      </c>
      <c r="J1590" s="30" t="s">
        <v>426</v>
      </c>
      <c r="K1590" s="31" t="s">
        <v>428</v>
      </c>
      <c r="L1590" s="32" t="n">
        <v>0.5</v>
      </c>
      <c r="M1590" s="41" t="s">
        <v>429</v>
      </c>
      <c r="N1590" s="31" t="s">
        <v>430</v>
      </c>
      <c r="O1590" s="32" t="n">
        <v>0.5</v>
      </c>
      <c r="P1590" s="15" t="n">
        <f aca="false">IF(A1590="","",IF(O1590&lt;&gt;"",O1590,IF(L1590&lt;&gt;"",L1590,F1590)))</f>
        <v>0.5</v>
      </c>
    </row>
    <row r="1591" customFormat="false" ht="15" hidden="false" customHeight="true" outlineLevel="0" collapsed="false">
      <c r="A1591" s="26" t="s">
        <v>195</v>
      </c>
      <c r="B1591" s="26" t="s">
        <v>196</v>
      </c>
      <c r="C1591" s="14" t="n">
        <f aca="false">IF(A1591="","",IFERROR(VLOOKUP(A1591,'Recert Status'!$A$8:$C$400,3,FALSE()),""))</f>
        <v>46752</v>
      </c>
      <c r="D1591" s="18" t="s">
        <v>831</v>
      </c>
      <c r="E1591" s="26" t="s">
        <v>426</v>
      </c>
      <c r="F1591" s="27" t="n">
        <v>1</v>
      </c>
      <c r="G1591" s="28" t="n">
        <v>45912</v>
      </c>
      <c r="H1591" s="28" t="n">
        <v>45912</v>
      </c>
      <c r="I1591" s="18" t="s">
        <v>835</v>
      </c>
      <c r="J1591" s="26" t="s">
        <v>426</v>
      </c>
      <c r="K1591" s="18" t="s">
        <v>495</v>
      </c>
      <c r="L1591" s="27" t="n">
        <v>1</v>
      </c>
      <c r="M1591" s="41" t="s">
        <v>429</v>
      </c>
      <c r="N1591" s="18" t="s">
        <v>430</v>
      </c>
      <c r="O1591" s="27" t="n">
        <v>1</v>
      </c>
      <c r="P1591" s="15" t="n">
        <f aca="false">IF(A1591="","",IF(O1591&lt;&gt;"",O1591,IF(L1591&lt;&gt;"",L1591,F1591)))</f>
        <v>1</v>
      </c>
    </row>
    <row r="1592" customFormat="false" ht="15" hidden="false" customHeight="true" outlineLevel="0" collapsed="false">
      <c r="A1592" s="30" t="s">
        <v>195</v>
      </c>
      <c r="B1592" s="30" t="s">
        <v>196</v>
      </c>
      <c r="C1592" s="21" t="n">
        <f aca="false">IF(A1592="","",IFERROR(VLOOKUP(A1592,'Recert Status'!$A$8:$C$400,3,FALSE()),""))</f>
        <v>46752</v>
      </c>
      <c r="D1592" s="31" t="s">
        <v>569</v>
      </c>
      <c r="E1592" s="30" t="s">
        <v>426</v>
      </c>
      <c r="F1592" s="32" t="n">
        <v>0.5</v>
      </c>
      <c r="G1592" s="33" t="n">
        <v>45918</v>
      </c>
      <c r="H1592" s="33" t="n">
        <v>45918</v>
      </c>
      <c r="I1592" s="31" t="s">
        <v>836</v>
      </c>
      <c r="J1592" s="30" t="s">
        <v>426</v>
      </c>
      <c r="K1592" s="31" t="s">
        <v>428</v>
      </c>
      <c r="L1592" s="32" t="n">
        <v>0.5</v>
      </c>
      <c r="M1592" s="41" t="s">
        <v>429</v>
      </c>
      <c r="N1592" s="31" t="s">
        <v>430</v>
      </c>
      <c r="O1592" s="32" t="n">
        <v>0.5</v>
      </c>
      <c r="P1592" s="15" t="n">
        <f aca="false">IF(A1592="","",IF(O1592&lt;&gt;"",O1592,IF(L1592&lt;&gt;"",L1592,F1592)))</f>
        <v>0.5</v>
      </c>
    </row>
    <row r="1593" customFormat="false" ht="15" hidden="false" customHeight="true" outlineLevel="0" collapsed="false">
      <c r="A1593" s="26" t="s">
        <v>195</v>
      </c>
      <c r="B1593" s="26" t="s">
        <v>196</v>
      </c>
      <c r="C1593" s="14" t="n">
        <f aca="false">IF(A1593="","",IFERROR(VLOOKUP(A1593,'Recert Status'!$A$8:$C$400,3,FALSE()),""))</f>
        <v>46752</v>
      </c>
      <c r="D1593" s="18" t="s">
        <v>837</v>
      </c>
      <c r="E1593" s="26" t="s">
        <v>426</v>
      </c>
      <c r="F1593" s="27" t="n">
        <v>1.5</v>
      </c>
      <c r="G1593" s="28" t="n">
        <v>46008</v>
      </c>
      <c r="H1593" s="28" t="n">
        <v>46008</v>
      </c>
      <c r="I1593" s="18" t="s">
        <v>838</v>
      </c>
      <c r="J1593" s="26" t="s">
        <v>426</v>
      </c>
      <c r="K1593" s="18" t="s">
        <v>428</v>
      </c>
      <c r="L1593" s="27" t="n">
        <v>1.5</v>
      </c>
      <c r="M1593" s="41" t="s">
        <v>429</v>
      </c>
      <c r="N1593" s="18" t="s">
        <v>430</v>
      </c>
      <c r="O1593" s="27" t="n">
        <v>1.5</v>
      </c>
      <c r="P1593" s="15" t="n">
        <f aca="false">IF(A1593="","",IF(O1593&lt;&gt;"",O1593,IF(L1593&lt;&gt;"",L1593,F1593)))</f>
        <v>1.5</v>
      </c>
    </row>
    <row r="1594" customFormat="false" ht="15" hidden="false" customHeight="true" outlineLevel="0" collapsed="false">
      <c r="A1594" s="30" t="s">
        <v>195</v>
      </c>
      <c r="B1594" s="30" t="s">
        <v>196</v>
      </c>
      <c r="C1594" s="21" t="n">
        <f aca="false">IF(A1594="","",IFERROR(VLOOKUP(A1594,'Recert Status'!$A$8:$C$400,3,FALSE()),""))</f>
        <v>46752</v>
      </c>
      <c r="D1594" s="31" t="s">
        <v>842</v>
      </c>
      <c r="E1594" s="30" t="s">
        <v>389</v>
      </c>
      <c r="F1594" s="32" t="n">
        <v>1</v>
      </c>
      <c r="G1594" s="33" t="n">
        <v>45780</v>
      </c>
      <c r="H1594" s="33" t="n">
        <v>45780</v>
      </c>
      <c r="I1594" s="31" t="s">
        <v>843</v>
      </c>
      <c r="J1594" s="30" t="s">
        <v>389</v>
      </c>
      <c r="K1594" s="31" t="s">
        <v>735</v>
      </c>
      <c r="L1594" s="32" t="n">
        <v>1</v>
      </c>
      <c r="M1594" s="35" t="s">
        <v>386</v>
      </c>
      <c r="N1594" s="31" t="s">
        <v>387</v>
      </c>
      <c r="O1594" s="32" t="n">
        <v>1</v>
      </c>
      <c r="P1594" s="15" t="n">
        <f aca="false">IF(A1594="","",IF(O1594&lt;&gt;"",O1594,IF(L1594&lt;&gt;"",L1594,F1594)))</f>
        <v>1</v>
      </c>
    </row>
    <row r="1595" customFormat="false" ht="15" hidden="false" customHeight="true" outlineLevel="0" collapsed="false">
      <c r="A1595" s="26" t="s">
        <v>195</v>
      </c>
      <c r="B1595" s="26" t="s">
        <v>196</v>
      </c>
      <c r="C1595" s="14" t="n">
        <f aca="false">IF(A1595="","",IFERROR(VLOOKUP(A1595,'Recert Status'!$A$8:$C$400,3,FALSE()),""))</f>
        <v>46752</v>
      </c>
      <c r="D1595" s="18" t="s">
        <v>449</v>
      </c>
      <c r="E1595" s="26" t="s">
        <v>389</v>
      </c>
      <c r="F1595" s="27" t="n">
        <v>1</v>
      </c>
      <c r="G1595" s="28" t="n">
        <v>45813</v>
      </c>
      <c r="H1595" s="28" t="n">
        <v>45813</v>
      </c>
      <c r="I1595" s="18" t="s">
        <v>844</v>
      </c>
      <c r="J1595" s="26" t="s">
        <v>389</v>
      </c>
      <c r="K1595" s="18" t="s">
        <v>845</v>
      </c>
      <c r="L1595" s="27" t="n">
        <v>1</v>
      </c>
      <c r="M1595" s="35" t="s">
        <v>386</v>
      </c>
      <c r="N1595" s="18" t="s">
        <v>387</v>
      </c>
      <c r="O1595" s="27" t="n">
        <v>1</v>
      </c>
      <c r="P1595" s="15" t="n">
        <f aca="false">IF(A1595="","",IF(O1595&lt;&gt;"",O1595,IF(L1595&lt;&gt;"",L1595,F1595)))</f>
        <v>1</v>
      </c>
    </row>
    <row r="1596" customFormat="false" ht="15" hidden="false" customHeight="true" outlineLevel="0" collapsed="false">
      <c r="A1596" s="30" t="s">
        <v>195</v>
      </c>
      <c r="B1596" s="30" t="s">
        <v>196</v>
      </c>
      <c r="C1596" s="21" t="n">
        <f aca="false">IF(A1596="","",IFERROR(VLOOKUP(A1596,'Recert Status'!$A$8:$C$400,3,FALSE()),""))</f>
        <v>46752</v>
      </c>
      <c r="D1596" s="31" t="s">
        <v>827</v>
      </c>
      <c r="E1596" s="30" t="s">
        <v>389</v>
      </c>
      <c r="F1596" s="32" t="n">
        <v>2.5</v>
      </c>
      <c r="G1596" s="33" t="n">
        <v>45867</v>
      </c>
      <c r="H1596" s="33" t="n">
        <v>45867</v>
      </c>
      <c r="I1596" s="31" t="s">
        <v>828</v>
      </c>
      <c r="J1596" s="30" t="s">
        <v>389</v>
      </c>
      <c r="K1596" s="31" t="s">
        <v>829</v>
      </c>
      <c r="L1596" s="32" t="n">
        <v>1</v>
      </c>
      <c r="M1596" s="35" t="s">
        <v>386</v>
      </c>
      <c r="N1596" s="31" t="s">
        <v>830</v>
      </c>
      <c r="O1596" s="32" t="n">
        <v>2.5</v>
      </c>
      <c r="P1596" s="15" t="n">
        <f aca="false">IF(A1596="","",IF(O1596&lt;&gt;"",O1596,IF(L1596&lt;&gt;"",L1596,F1596)))</f>
        <v>2.5</v>
      </c>
    </row>
    <row r="1597" customFormat="false" ht="15" hidden="false" customHeight="true" outlineLevel="0" collapsed="false">
      <c r="A1597" s="26" t="s">
        <v>195</v>
      </c>
      <c r="B1597" s="26" t="s">
        <v>196</v>
      </c>
      <c r="C1597" s="14" t="n">
        <f aca="false">IF(A1597="","",IFERROR(VLOOKUP(A1597,'Recert Status'!$A$8:$C$400,3,FALSE()),""))</f>
        <v>46752</v>
      </c>
      <c r="D1597" s="18" t="s">
        <v>573</v>
      </c>
      <c r="E1597" s="26" t="s">
        <v>389</v>
      </c>
      <c r="F1597" s="27" t="n">
        <v>1</v>
      </c>
      <c r="G1597" s="28" t="n">
        <v>45987</v>
      </c>
      <c r="H1597" s="28" t="n">
        <v>45987</v>
      </c>
      <c r="I1597" s="18" t="s">
        <v>574</v>
      </c>
      <c r="J1597" s="26" t="s">
        <v>389</v>
      </c>
      <c r="K1597" s="18" t="s">
        <v>451</v>
      </c>
      <c r="L1597" s="27" t="n">
        <v>1</v>
      </c>
      <c r="M1597" s="35" t="s">
        <v>386</v>
      </c>
      <c r="N1597" s="18" t="s">
        <v>387</v>
      </c>
      <c r="O1597" s="27" t="n">
        <v>1</v>
      </c>
      <c r="P1597" s="15" t="n">
        <f aca="false">IF(A1597="","",IF(O1597&lt;&gt;"",O1597,IF(L1597&lt;&gt;"",L1597,F1597)))</f>
        <v>1</v>
      </c>
    </row>
    <row r="1598" customFormat="false" ht="15" hidden="false" customHeight="true" outlineLevel="0" collapsed="false">
      <c r="A1598" s="30" t="s">
        <v>195</v>
      </c>
      <c r="B1598" s="30" t="s">
        <v>196</v>
      </c>
      <c r="C1598" s="21" t="n">
        <f aca="false">IF(A1598="","",IFERROR(VLOOKUP(A1598,'Recert Status'!$A$8:$C$400,3,FALSE()),""))</f>
        <v>46752</v>
      </c>
      <c r="D1598" s="31" t="s">
        <v>387</v>
      </c>
      <c r="E1598" s="30" t="s">
        <v>389</v>
      </c>
      <c r="F1598" s="32" t="n">
        <v>1</v>
      </c>
      <c r="G1598" s="33" t="n">
        <v>46230</v>
      </c>
      <c r="H1598" s="33" t="n">
        <v>46230</v>
      </c>
      <c r="I1598" s="31" t="s">
        <v>846</v>
      </c>
      <c r="J1598" s="30" t="s">
        <v>389</v>
      </c>
      <c r="K1598" s="31" t="s">
        <v>451</v>
      </c>
      <c r="L1598" s="32" t="n">
        <v>1</v>
      </c>
      <c r="M1598" s="35" t="s">
        <v>386</v>
      </c>
      <c r="N1598" s="31" t="s">
        <v>387</v>
      </c>
      <c r="O1598" s="32" t="n">
        <v>1</v>
      </c>
      <c r="P1598" s="15" t="n">
        <f aca="false">IF(A1598="","",IF(O1598&lt;&gt;"",O1598,IF(L1598&lt;&gt;"",L1598,F1598)))</f>
        <v>1</v>
      </c>
    </row>
    <row r="1599" customFormat="false" ht="15" hidden="false" customHeight="true" outlineLevel="0" collapsed="false">
      <c r="A1599" s="26" t="s">
        <v>195</v>
      </c>
      <c r="B1599" s="26" t="s">
        <v>196</v>
      </c>
      <c r="C1599" s="14" t="n">
        <f aca="false">IF(A1599="","",IFERROR(VLOOKUP(A1599,'Recert Status'!$A$8:$C$400,3,FALSE()),""))</f>
        <v>46752</v>
      </c>
      <c r="D1599" s="18" t="s">
        <v>847</v>
      </c>
      <c r="E1599" s="26" t="s">
        <v>452</v>
      </c>
      <c r="F1599" s="27" t="n">
        <v>1</v>
      </c>
      <c r="G1599" s="28" t="n">
        <v>45801</v>
      </c>
      <c r="H1599" s="28" t="n">
        <v>45801</v>
      </c>
      <c r="I1599" s="18" t="s">
        <v>848</v>
      </c>
      <c r="J1599" s="26" t="s">
        <v>452</v>
      </c>
      <c r="K1599" s="18" t="s">
        <v>385</v>
      </c>
      <c r="L1599" s="27" t="n">
        <v>1</v>
      </c>
      <c r="M1599" s="36" t="s">
        <v>396</v>
      </c>
      <c r="N1599" s="18" t="s">
        <v>397</v>
      </c>
      <c r="O1599" s="27" t="n">
        <v>1</v>
      </c>
      <c r="P1599" s="15" t="n">
        <f aca="false">IF(A1599="","",IF(O1599&lt;&gt;"",O1599,IF(L1599&lt;&gt;"",L1599,F1599)))</f>
        <v>1</v>
      </c>
    </row>
    <row r="1600" customFormat="false" ht="15" hidden="false" customHeight="true" outlineLevel="0" collapsed="false">
      <c r="A1600" s="30" t="s">
        <v>195</v>
      </c>
      <c r="B1600" s="30" t="s">
        <v>196</v>
      </c>
      <c r="C1600" s="21" t="n">
        <f aca="false">IF(A1600="","",IFERROR(VLOOKUP(A1600,'Recert Status'!$A$8:$C$400,3,FALSE()),""))</f>
        <v>46752</v>
      </c>
      <c r="D1600" s="31" t="s">
        <v>1416</v>
      </c>
      <c r="E1600" s="30" t="s">
        <v>399</v>
      </c>
      <c r="F1600" s="32" t="n">
        <v>1</v>
      </c>
      <c r="G1600" s="33" t="n">
        <v>45780</v>
      </c>
      <c r="H1600" s="33" t="n">
        <v>45780</v>
      </c>
      <c r="I1600" s="31" t="s">
        <v>1417</v>
      </c>
      <c r="J1600" s="30" t="s">
        <v>399</v>
      </c>
      <c r="K1600" s="31" t="s">
        <v>401</v>
      </c>
      <c r="L1600" s="32" t="n">
        <v>1</v>
      </c>
      <c r="M1600" s="37" t="s">
        <v>402</v>
      </c>
      <c r="N1600" s="31" t="s">
        <v>403</v>
      </c>
      <c r="O1600" s="32" t="n">
        <v>1</v>
      </c>
      <c r="P1600" s="15" t="n">
        <f aca="false">IF(A1600="","",IF(O1600&lt;&gt;"",O1600,IF(L1600&lt;&gt;"",L1600,F1600)))</f>
        <v>1</v>
      </c>
    </row>
    <row r="1601" customFormat="false" ht="15" hidden="false" customHeight="true" outlineLevel="0" collapsed="false">
      <c r="A1601" s="26" t="s">
        <v>195</v>
      </c>
      <c r="B1601" s="26" t="s">
        <v>196</v>
      </c>
      <c r="C1601" s="14" t="n">
        <f aca="false">IF(A1601="","",IFERROR(VLOOKUP(A1601,'Recert Status'!$A$8:$C$400,3,FALSE()),""))</f>
        <v>46752</v>
      </c>
      <c r="D1601" s="18" t="s">
        <v>672</v>
      </c>
      <c r="E1601" s="26" t="s">
        <v>416</v>
      </c>
      <c r="F1601" s="27" t="n">
        <v>1</v>
      </c>
      <c r="G1601" s="28" t="n">
        <v>45933</v>
      </c>
      <c r="H1601" s="28" t="n">
        <v>45933</v>
      </c>
      <c r="I1601" s="18" t="s">
        <v>673</v>
      </c>
      <c r="J1601" s="26" t="s">
        <v>416</v>
      </c>
      <c r="K1601" s="18" t="s">
        <v>674</v>
      </c>
      <c r="L1601" s="27" t="n">
        <v>1</v>
      </c>
      <c r="M1601" s="39" t="s">
        <v>413</v>
      </c>
      <c r="N1601" s="18" t="s">
        <v>414</v>
      </c>
      <c r="O1601" s="27" t="n">
        <v>1</v>
      </c>
      <c r="P1601" s="15" t="n">
        <f aca="false">IF(A1601="","",IF(O1601&lt;&gt;"",O1601,IF(L1601&lt;&gt;"",L1601,F1601)))</f>
        <v>1</v>
      </c>
    </row>
    <row r="1602" customFormat="false" ht="15" hidden="false" customHeight="true" outlineLevel="0" collapsed="false">
      <c r="A1602" s="30" t="s">
        <v>195</v>
      </c>
      <c r="B1602" s="30" t="s">
        <v>196</v>
      </c>
      <c r="C1602" s="21" t="n">
        <f aca="false">IF(A1602="","",IFERROR(VLOOKUP(A1602,'Recert Status'!$A$8:$C$400,3,FALSE()),""))</f>
        <v>46752</v>
      </c>
      <c r="D1602" s="31" t="s">
        <v>672</v>
      </c>
      <c r="E1602" s="30" t="s">
        <v>416</v>
      </c>
      <c r="F1602" s="32" t="n">
        <v>1</v>
      </c>
      <c r="G1602" s="33" t="n">
        <v>45987</v>
      </c>
      <c r="H1602" s="33" t="n">
        <v>45987</v>
      </c>
      <c r="I1602" s="31" t="s">
        <v>862</v>
      </c>
      <c r="J1602" s="30" t="s">
        <v>416</v>
      </c>
      <c r="K1602" s="31" t="s">
        <v>674</v>
      </c>
      <c r="L1602" s="32" t="n">
        <v>1</v>
      </c>
      <c r="M1602" s="39" t="s">
        <v>413</v>
      </c>
      <c r="N1602" s="31" t="s">
        <v>414</v>
      </c>
      <c r="O1602" s="32" t="n">
        <v>1</v>
      </c>
      <c r="P1602" s="15" t="n">
        <f aca="false">IF(A1602="","",IF(O1602&lt;&gt;"",O1602,IF(L1602&lt;&gt;"",L1602,F1602)))</f>
        <v>1</v>
      </c>
    </row>
    <row r="1603" customFormat="false" ht="15" hidden="false" customHeight="true" outlineLevel="0" collapsed="false">
      <c r="A1603" s="26" t="s">
        <v>195</v>
      </c>
      <c r="B1603" s="26" t="s">
        <v>196</v>
      </c>
      <c r="C1603" s="14" t="n">
        <f aca="false">IF(A1603="","",IFERROR(VLOOKUP(A1603,'Recert Status'!$A$8:$C$400,3,FALSE()),""))</f>
        <v>46752</v>
      </c>
      <c r="D1603" s="18" t="s">
        <v>672</v>
      </c>
      <c r="E1603" s="26" t="s">
        <v>416</v>
      </c>
      <c r="F1603" s="27" t="n">
        <v>0.75</v>
      </c>
      <c r="G1603" s="28" t="n">
        <v>45990</v>
      </c>
      <c r="H1603" s="28" t="n">
        <v>45990</v>
      </c>
      <c r="I1603" s="18" t="s">
        <v>863</v>
      </c>
      <c r="J1603" s="26" t="s">
        <v>416</v>
      </c>
      <c r="K1603" s="18" t="s">
        <v>674</v>
      </c>
      <c r="L1603" s="27" t="n">
        <v>0.75</v>
      </c>
      <c r="M1603" s="39" t="s">
        <v>413</v>
      </c>
      <c r="N1603" s="18" t="s">
        <v>414</v>
      </c>
      <c r="O1603" s="27" t="n">
        <v>0.75</v>
      </c>
      <c r="P1603" s="15" t="n">
        <f aca="false">IF(A1603="","",IF(O1603&lt;&gt;"",O1603,IF(L1603&lt;&gt;"",L1603,F1603)))</f>
        <v>0.75</v>
      </c>
    </row>
    <row r="1604" customFormat="false" ht="15" hidden="false" customHeight="true" outlineLevel="0" collapsed="false">
      <c r="A1604" s="30" t="s">
        <v>195</v>
      </c>
      <c r="B1604" s="30" t="s">
        <v>196</v>
      </c>
      <c r="C1604" s="21" t="n">
        <f aca="false">IF(A1604="","",IFERROR(VLOOKUP(A1604,'Recert Status'!$A$8:$C$400,3,FALSE()),""))</f>
        <v>46752</v>
      </c>
      <c r="D1604" s="31" t="s">
        <v>488</v>
      </c>
      <c r="E1604" s="30" t="s">
        <v>416</v>
      </c>
      <c r="F1604" s="32" t="n">
        <v>1</v>
      </c>
      <c r="G1604" s="33" t="n">
        <v>46128</v>
      </c>
      <c r="H1604" s="33" t="n">
        <v>46128</v>
      </c>
      <c r="I1604" s="31" t="s">
        <v>609</v>
      </c>
      <c r="J1604" s="30" t="s">
        <v>416</v>
      </c>
      <c r="K1604" s="31" t="s">
        <v>490</v>
      </c>
      <c r="L1604" s="32" t="n">
        <v>1</v>
      </c>
      <c r="M1604" s="39" t="s">
        <v>413</v>
      </c>
      <c r="N1604" s="31" t="s">
        <v>414</v>
      </c>
      <c r="O1604" s="32" t="n">
        <v>1</v>
      </c>
      <c r="P1604" s="15" t="n">
        <f aca="false">IF(A1604="","",IF(O1604&lt;&gt;"",O1604,IF(L1604&lt;&gt;"",L1604,F1604)))</f>
        <v>1</v>
      </c>
    </row>
    <row r="1605" customFormat="false" ht="15" hidden="false" customHeight="true" outlineLevel="0" collapsed="false">
      <c r="A1605" s="26" t="s">
        <v>197</v>
      </c>
      <c r="B1605" s="26" t="s">
        <v>198</v>
      </c>
      <c r="C1605" s="14" t="n">
        <f aca="false">IF(A1605="","",IFERROR(VLOOKUP(A1605,'Recert Status'!$A$8:$C$400,3,FALSE()),""))</f>
        <v>46752</v>
      </c>
      <c r="D1605" s="18" t="s">
        <v>584</v>
      </c>
      <c r="E1605" s="26" t="s">
        <v>542</v>
      </c>
      <c r="F1605" s="27" t="n">
        <v>3</v>
      </c>
      <c r="G1605" s="28" t="n">
        <v>45892</v>
      </c>
      <c r="H1605" s="28" t="n">
        <v>45892</v>
      </c>
      <c r="I1605" s="18" t="s">
        <v>585</v>
      </c>
      <c r="J1605" s="26" t="s">
        <v>542</v>
      </c>
      <c r="K1605" s="18" t="s">
        <v>586</v>
      </c>
      <c r="L1605" s="27" t="n">
        <v>3</v>
      </c>
      <c r="M1605" s="40" t="s">
        <v>423</v>
      </c>
      <c r="N1605" s="18" t="s">
        <v>424</v>
      </c>
      <c r="O1605" s="27" t="n">
        <v>3</v>
      </c>
      <c r="P1605" s="15" t="n">
        <f aca="false">IF(A1605="","",IF(O1605&lt;&gt;"",O1605,IF(L1605&lt;&gt;"",L1605,F1605)))</f>
        <v>3</v>
      </c>
    </row>
    <row r="1606" customFormat="false" ht="15" hidden="false" customHeight="true" outlineLevel="0" collapsed="false">
      <c r="A1606" s="30" t="s">
        <v>197</v>
      </c>
      <c r="B1606" s="30" t="s">
        <v>198</v>
      </c>
      <c r="C1606" s="21" t="n">
        <f aca="false">IF(A1606="","",IFERROR(VLOOKUP(A1606,'Recert Status'!$A$8:$C$400,3,FALSE()),""))</f>
        <v>46752</v>
      </c>
      <c r="D1606" s="31" t="s">
        <v>1229</v>
      </c>
      <c r="E1606" s="30" t="n">
        <v>57433</v>
      </c>
      <c r="F1606" s="32" t="n">
        <v>1</v>
      </c>
      <c r="G1606" s="33" t="n">
        <v>45946</v>
      </c>
      <c r="H1606" s="33" t="n">
        <v>45946</v>
      </c>
      <c r="I1606" s="31" t="s">
        <v>1230</v>
      </c>
      <c r="J1606" s="30" t="s">
        <v>421</v>
      </c>
      <c r="K1606" s="31" t="s">
        <v>422</v>
      </c>
      <c r="L1606" s="32" t="n">
        <v>1</v>
      </c>
      <c r="M1606" s="40" t="s">
        <v>423</v>
      </c>
      <c r="N1606" s="31" t="s">
        <v>424</v>
      </c>
      <c r="O1606" s="32" t="n">
        <v>1</v>
      </c>
      <c r="P1606" s="15" t="n">
        <f aca="false">IF(A1606="","",IF(O1606&lt;&gt;"",O1606,IF(L1606&lt;&gt;"",L1606,F1606)))</f>
        <v>1</v>
      </c>
    </row>
    <row r="1607" customFormat="false" ht="15" hidden="false" customHeight="true" outlineLevel="0" collapsed="false">
      <c r="A1607" s="26" t="s">
        <v>197</v>
      </c>
      <c r="B1607" s="26" t="s">
        <v>198</v>
      </c>
      <c r="C1607" s="14" t="n">
        <f aca="false">IF(A1607="","",IFERROR(VLOOKUP(A1607,'Recert Status'!$A$8:$C$400,3,FALSE()),""))</f>
        <v>46752</v>
      </c>
      <c r="D1607" s="18" t="s">
        <v>1418</v>
      </c>
      <c r="E1607" s="26" t="n">
        <v>57433</v>
      </c>
      <c r="F1607" s="27" t="n">
        <v>1</v>
      </c>
      <c r="G1607" s="28" t="n">
        <v>45952</v>
      </c>
      <c r="H1607" s="28" t="n">
        <v>45952</v>
      </c>
      <c r="I1607" s="18" t="s">
        <v>1419</v>
      </c>
      <c r="J1607" s="26" t="s">
        <v>421</v>
      </c>
      <c r="K1607" s="18" t="s">
        <v>428</v>
      </c>
      <c r="L1607" s="27" t="n">
        <v>1</v>
      </c>
      <c r="M1607" s="40" t="s">
        <v>423</v>
      </c>
      <c r="N1607" s="18" t="s">
        <v>424</v>
      </c>
      <c r="O1607" s="27" t="n">
        <v>1</v>
      </c>
      <c r="P1607" s="15" t="n">
        <f aca="false">IF(A1607="","",IF(O1607&lt;&gt;"",O1607,IF(L1607&lt;&gt;"",L1607,F1607)))</f>
        <v>1</v>
      </c>
    </row>
    <row r="1608" customFormat="false" ht="15" hidden="false" customHeight="true" outlineLevel="0" collapsed="false">
      <c r="A1608" s="30" t="s">
        <v>197</v>
      </c>
      <c r="B1608" s="30" t="s">
        <v>198</v>
      </c>
      <c r="C1608" s="21" t="n">
        <f aca="false">IF(A1608="","",IFERROR(VLOOKUP(A1608,'Recert Status'!$A$8:$C$400,3,FALSE()),""))</f>
        <v>46752</v>
      </c>
      <c r="D1608" s="31" t="s">
        <v>496</v>
      </c>
      <c r="E1608" s="30" t="s">
        <v>542</v>
      </c>
      <c r="F1608" s="32" t="n">
        <v>4</v>
      </c>
      <c r="G1608" s="33" t="n">
        <v>45961</v>
      </c>
      <c r="H1608" s="33" t="n">
        <v>45961</v>
      </c>
      <c r="I1608" s="31" t="s">
        <v>587</v>
      </c>
      <c r="J1608" s="30" t="s">
        <v>542</v>
      </c>
      <c r="K1608" s="31" t="s">
        <v>422</v>
      </c>
      <c r="L1608" s="32" t="n">
        <v>4</v>
      </c>
      <c r="M1608" s="40" t="s">
        <v>423</v>
      </c>
      <c r="N1608" s="31" t="s">
        <v>424</v>
      </c>
      <c r="O1608" s="32" t="n">
        <v>4</v>
      </c>
      <c r="P1608" s="15" t="n">
        <f aca="false">IF(A1608="","",IF(O1608&lt;&gt;"",O1608,IF(L1608&lt;&gt;"",L1608,F1608)))</f>
        <v>4</v>
      </c>
    </row>
    <row r="1609" customFormat="false" ht="15" hidden="false" customHeight="true" outlineLevel="0" collapsed="false">
      <c r="A1609" s="26" t="s">
        <v>197</v>
      </c>
      <c r="B1609" s="26" t="s">
        <v>198</v>
      </c>
      <c r="C1609" s="14" t="n">
        <f aca="false">IF(A1609="","",IFERROR(VLOOKUP(A1609,'Recert Status'!$A$8:$C$400,3,FALSE()),""))</f>
        <v>46752</v>
      </c>
      <c r="D1609" s="18" t="s">
        <v>949</v>
      </c>
      <c r="E1609" s="26" t="s">
        <v>542</v>
      </c>
      <c r="F1609" s="27" t="n">
        <v>1</v>
      </c>
      <c r="G1609" s="28" t="n">
        <v>46056</v>
      </c>
      <c r="H1609" s="28" t="n">
        <v>46056</v>
      </c>
      <c r="I1609" s="18" t="s">
        <v>950</v>
      </c>
      <c r="J1609" s="26" t="s">
        <v>542</v>
      </c>
      <c r="K1609" s="18" t="s">
        <v>422</v>
      </c>
      <c r="L1609" s="27" t="n">
        <v>1</v>
      </c>
      <c r="M1609" s="40" t="s">
        <v>423</v>
      </c>
      <c r="N1609" s="18" t="s">
        <v>424</v>
      </c>
      <c r="O1609" s="27" t="n">
        <v>1</v>
      </c>
      <c r="P1609" s="15" t="n">
        <f aca="false">IF(A1609="","",IF(O1609&lt;&gt;"",O1609,IF(L1609&lt;&gt;"",L1609,F1609)))</f>
        <v>1</v>
      </c>
    </row>
    <row r="1610" customFormat="false" ht="15" hidden="false" customHeight="true" outlineLevel="0" collapsed="false">
      <c r="A1610" s="30" t="s">
        <v>197</v>
      </c>
      <c r="B1610" s="30" t="s">
        <v>198</v>
      </c>
      <c r="C1610" s="21" t="n">
        <f aca="false">IF(A1610="","",IFERROR(VLOOKUP(A1610,'Recert Status'!$A$8:$C$400,3,FALSE()),""))</f>
        <v>46752</v>
      </c>
      <c r="D1610" s="31" t="s">
        <v>865</v>
      </c>
      <c r="E1610" s="30" t="s">
        <v>542</v>
      </c>
      <c r="F1610" s="32" t="n">
        <v>1</v>
      </c>
      <c r="G1610" s="33" t="n">
        <v>46056</v>
      </c>
      <c r="H1610" s="33" t="n">
        <v>46056</v>
      </c>
      <c r="I1610" s="31" t="s">
        <v>866</v>
      </c>
      <c r="J1610" s="30" t="s">
        <v>542</v>
      </c>
      <c r="K1610" s="31" t="s">
        <v>422</v>
      </c>
      <c r="L1610" s="32" t="n">
        <v>1</v>
      </c>
      <c r="M1610" s="40" t="s">
        <v>423</v>
      </c>
      <c r="N1610" s="31" t="s">
        <v>424</v>
      </c>
      <c r="O1610" s="32" t="n">
        <v>1</v>
      </c>
      <c r="P1610" s="15" t="n">
        <f aca="false">IF(A1610="","",IF(O1610&lt;&gt;"",O1610,IF(L1610&lt;&gt;"",L1610,F1610)))</f>
        <v>1</v>
      </c>
    </row>
    <row r="1611" customFormat="false" ht="15" hidden="false" customHeight="true" outlineLevel="0" collapsed="false">
      <c r="A1611" s="26" t="s">
        <v>197</v>
      </c>
      <c r="B1611" s="26" t="s">
        <v>198</v>
      </c>
      <c r="C1611" s="14" t="n">
        <f aca="false">IF(A1611="","",IFERROR(VLOOKUP(A1611,'Recert Status'!$A$8:$C$400,3,FALSE()),""))</f>
        <v>46752</v>
      </c>
      <c r="D1611" s="18" t="s">
        <v>424</v>
      </c>
      <c r="E1611" s="26" t="s">
        <v>542</v>
      </c>
      <c r="F1611" s="27" t="n">
        <v>2</v>
      </c>
      <c r="G1611" s="28" t="n">
        <v>46297</v>
      </c>
      <c r="H1611" s="28" t="n">
        <v>46297</v>
      </c>
      <c r="I1611" s="18" t="s">
        <v>1420</v>
      </c>
      <c r="J1611" s="26" t="s">
        <v>542</v>
      </c>
      <c r="K1611" s="18" t="s">
        <v>422</v>
      </c>
      <c r="L1611" s="27" t="n">
        <v>2</v>
      </c>
      <c r="M1611" s="40" t="s">
        <v>423</v>
      </c>
      <c r="N1611" s="18" t="s">
        <v>424</v>
      </c>
      <c r="O1611" s="27" t="n">
        <v>2</v>
      </c>
      <c r="P1611" s="15" t="n">
        <f aca="false">IF(A1611="","",IF(O1611&lt;&gt;"",O1611,IF(L1611&lt;&gt;"",L1611,F1611)))</f>
        <v>2</v>
      </c>
    </row>
    <row r="1612" customFormat="false" ht="15" hidden="false" customHeight="true" outlineLevel="0" collapsed="false">
      <c r="A1612" s="30" t="s">
        <v>197</v>
      </c>
      <c r="B1612" s="30" t="s">
        <v>198</v>
      </c>
      <c r="C1612" s="21" t="n">
        <f aca="false">IF(A1612="","",IFERROR(VLOOKUP(A1612,'Recert Status'!$A$8:$C$400,3,FALSE()),""))</f>
        <v>46752</v>
      </c>
      <c r="D1612" s="31" t="s">
        <v>962</v>
      </c>
      <c r="E1612" s="30" t="s">
        <v>426</v>
      </c>
      <c r="F1612" s="32" t="n">
        <v>3</v>
      </c>
      <c r="G1612" s="33" t="n">
        <v>45982</v>
      </c>
      <c r="H1612" s="33" t="n">
        <v>45982</v>
      </c>
      <c r="I1612" s="31" t="s">
        <v>1421</v>
      </c>
      <c r="J1612" s="30" t="s">
        <v>426</v>
      </c>
      <c r="K1612" s="31" t="s">
        <v>428</v>
      </c>
      <c r="L1612" s="32" t="n">
        <v>3</v>
      </c>
      <c r="M1612" s="41" t="s">
        <v>429</v>
      </c>
      <c r="N1612" s="31" t="s">
        <v>430</v>
      </c>
      <c r="O1612" s="32" t="n">
        <v>3</v>
      </c>
      <c r="P1612" s="15" t="n">
        <f aca="false">IF(A1612="","",IF(O1612&lt;&gt;"",O1612,IF(L1612&lt;&gt;"",L1612,F1612)))</f>
        <v>3</v>
      </c>
    </row>
    <row r="1613" customFormat="false" ht="15" hidden="false" customHeight="true" outlineLevel="0" collapsed="false">
      <c r="A1613" s="26" t="s">
        <v>197</v>
      </c>
      <c r="B1613" s="26" t="s">
        <v>198</v>
      </c>
      <c r="C1613" s="14" t="n">
        <f aca="false">IF(A1613="","",IFERROR(VLOOKUP(A1613,'Recert Status'!$A$8:$C$400,3,FALSE()),""))</f>
        <v>46752</v>
      </c>
      <c r="D1613" s="18" t="s">
        <v>729</v>
      </c>
      <c r="E1613" s="26" t="s">
        <v>426</v>
      </c>
      <c r="F1613" s="27" t="n">
        <v>1</v>
      </c>
      <c r="G1613" s="28" t="n">
        <v>45994</v>
      </c>
      <c r="H1613" s="28" t="n">
        <v>45994</v>
      </c>
      <c r="I1613" s="18" t="s">
        <v>1422</v>
      </c>
      <c r="J1613" s="26" t="s">
        <v>426</v>
      </c>
      <c r="K1613" s="18" t="s">
        <v>428</v>
      </c>
      <c r="L1613" s="27" t="n">
        <v>1</v>
      </c>
      <c r="M1613" s="41" t="s">
        <v>429</v>
      </c>
      <c r="N1613" s="18" t="s">
        <v>430</v>
      </c>
      <c r="O1613" s="27" t="n">
        <v>1</v>
      </c>
      <c r="P1613" s="15" t="n">
        <f aca="false">IF(A1613="","",IF(O1613&lt;&gt;"",O1613,IF(L1613&lt;&gt;"",L1613,F1613)))</f>
        <v>1</v>
      </c>
    </row>
    <row r="1614" customFormat="false" ht="15" hidden="false" customHeight="true" outlineLevel="0" collapsed="false">
      <c r="A1614" s="30" t="s">
        <v>197</v>
      </c>
      <c r="B1614" s="30" t="s">
        <v>198</v>
      </c>
      <c r="C1614" s="21" t="n">
        <f aca="false">IF(A1614="","",IFERROR(VLOOKUP(A1614,'Recert Status'!$A$8:$C$400,3,FALSE()),""))</f>
        <v>46752</v>
      </c>
      <c r="D1614" s="31" t="s">
        <v>962</v>
      </c>
      <c r="E1614" s="30" t="s">
        <v>426</v>
      </c>
      <c r="F1614" s="32" t="n">
        <v>2</v>
      </c>
      <c r="G1614" s="33" t="n">
        <v>46006</v>
      </c>
      <c r="H1614" s="33" t="n">
        <v>46006</v>
      </c>
      <c r="I1614" s="31" t="s">
        <v>1423</v>
      </c>
      <c r="J1614" s="30" t="s">
        <v>426</v>
      </c>
      <c r="K1614" s="31" t="s">
        <v>428</v>
      </c>
      <c r="L1614" s="32" t="n">
        <v>2</v>
      </c>
      <c r="M1614" s="41" t="s">
        <v>429</v>
      </c>
      <c r="N1614" s="31" t="s">
        <v>430</v>
      </c>
      <c r="O1614" s="32" t="n">
        <v>2</v>
      </c>
      <c r="P1614" s="15" t="n">
        <f aca="false">IF(A1614="","",IF(O1614&lt;&gt;"",O1614,IF(L1614&lt;&gt;"",L1614,F1614)))</f>
        <v>2</v>
      </c>
    </row>
    <row r="1615" customFormat="false" ht="15" hidden="false" customHeight="true" outlineLevel="0" collapsed="false">
      <c r="A1615" s="26" t="s">
        <v>197</v>
      </c>
      <c r="B1615" s="26" t="s">
        <v>198</v>
      </c>
      <c r="C1615" s="14" t="n">
        <f aca="false">IF(A1615="","",IFERROR(VLOOKUP(A1615,'Recert Status'!$A$8:$C$400,3,FALSE()),""))</f>
        <v>46752</v>
      </c>
      <c r="D1615" s="18" t="s">
        <v>840</v>
      </c>
      <c r="E1615" s="26" t="s">
        <v>426</v>
      </c>
      <c r="F1615" s="27" t="n">
        <v>0.5</v>
      </c>
      <c r="G1615" s="28" t="n">
        <v>46083</v>
      </c>
      <c r="H1615" s="28" t="n">
        <v>46083</v>
      </c>
      <c r="I1615" s="18" t="s">
        <v>841</v>
      </c>
      <c r="J1615" s="26" t="s">
        <v>426</v>
      </c>
      <c r="K1615" s="18" t="s">
        <v>428</v>
      </c>
      <c r="L1615" s="27" t="n">
        <v>0.5</v>
      </c>
      <c r="M1615" s="41" t="s">
        <v>429</v>
      </c>
      <c r="N1615" s="18" t="s">
        <v>430</v>
      </c>
      <c r="O1615" s="27" t="n">
        <v>0.5</v>
      </c>
      <c r="P1615" s="15" t="n">
        <f aca="false">IF(A1615="","",IF(O1615&lt;&gt;"",O1615,IF(L1615&lt;&gt;"",L1615,F1615)))</f>
        <v>0.5</v>
      </c>
    </row>
    <row r="1616" customFormat="false" ht="15" hidden="false" customHeight="true" outlineLevel="0" collapsed="false">
      <c r="A1616" s="30" t="s">
        <v>197</v>
      </c>
      <c r="B1616" s="30" t="s">
        <v>198</v>
      </c>
      <c r="C1616" s="21" t="n">
        <f aca="false">IF(A1616="","",IFERROR(VLOOKUP(A1616,'Recert Status'!$A$8:$C$400,3,FALSE()),""))</f>
        <v>46752</v>
      </c>
      <c r="D1616" s="31" t="s">
        <v>800</v>
      </c>
      <c r="E1616" s="30" t="n">
        <v>29740</v>
      </c>
      <c r="F1616" s="32" t="n">
        <v>1</v>
      </c>
      <c r="G1616" s="33" t="n">
        <v>45826</v>
      </c>
      <c r="H1616" s="33" t="n">
        <v>45826</v>
      </c>
      <c r="I1616" s="31" t="s">
        <v>1287</v>
      </c>
      <c r="J1616" s="30" t="s">
        <v>394</v>
      </c>
      <c r="K1616" s="31" t="s">
        <v>1288</v>
      </c>
      <c r="L1616" s="32" t="n">
        <v>1</v>
      </c>
      <c r="M1616" s="35" t="s">
        <v>386</v>
      </c>
      <c r="N1616" s="31" t="s">
        <v>387</v>
      </c>
      <c r="O1616" s="32" t="n">
        <v>1</v>
      </c>
      <c r="P1616" s="15" t="n">
        <f aca="false">IF(A1616="","",IF(O1616&lt;&gt;"",O1616,IF(L1616&lt;&gt;"",L1616,F1616)))</f>
        <v>1</v>
      </c>
    </row>
    <row r="1617" customFormat="false" ht="15" hidden="false" customHeight="true" outlineLevel="0" collapsed="false">
      <c r="A1617" s="26" t="s">
        <v>197</v>
      </c>
      <c r="B1617" s="26" t="s">
        <v>198</v>
      </c>
      <c r="C1617" s="14" t="n">
        <f aca="false">IF(A1617="","",IFERROR(VLOOKUP(A1617,'Recert Status'!$A$8:$C$400,3,FALSE()),""))</f>
        <v>46752</v>
      </c>
      <c r="D1617" s="18" t="s">
        <v>437</v>
      </c>
      <c r="E1617" s="26" t="n">
        <v>29743</v>
      </c>
      <c r="F1617" s="27" t="n">
        <v>1</v>
      </c>
      <c r="G1617" s="28" t="n">
        <v>45833</v>
      </c>
      <c r="H1617" s="28" t="n">
        <v>45833</v>
      </c>
      <c r="I1617" s="18" t="s">
        <v>438</v>
      </c>
      <c r="J1617" s="26" t="s">
        <v>439</v>
      </c>
      <c r="K1617" s="18" t="s">
        <v>440</v>
      </c>
      <c r="L1617" s="27" t="n">
        <v>1</v>
      </c>
      <c r="M1617" s="35" t="s">
        <v>386</v>
      </c>
      <c r="N1617" s="18" t="s">
        <v>387</v>
      </c>
      <c r="O1617" s="27" t="n">
        <v>1</v>
      </c>
      <c r="P1617" s="15" t="n">
        <f aca="false">IF(A1617="","",IF(O1617&lt;&gt;"",O1617,IF(L1617&lt;&gt;"",L1617,F1617)))</f>
        <v>1</v>
      </c>
    </row>
    <row r="1618" customFormat="false" ht="15" hidden="false" customHeight="true" outlineLevel="0" collapsed="false">
      <c r="A1618" s="30" t="s">
        <v>197</v>
      </c>
      <c r="B1618" s="30" t="s">
        <v>198</v>
      </c>
      <c r="C1618" s="21" t="n">
        <f aca="false">IF(A1618="","",IFERROR(VLOOKUP(A1618,'Recert Status'!$A$8:$C$400,3,FALSE()),""))</f>
        <v>46752</v>
      </c>
      <c r="D1618" s="31" t="s">
        <v>441</v>
      </c>
      <c r="E1618" s="30" t="n">
        <v>29743</v>
      </c>
      <c r="F1618" s="32" t="n">
        <v>1</v>
      </c>
      <c r="G1618" s="33" t="n">
        <v>45833</v>
      </c>
      <c r="H1618" s="33" t="n">
        <v>45833</v>
      </c>
      <c r="I1618" s="31" t="s">
        <v>442</v>
      </c>
      <c r="J1618" s="30" t="s">
        <v>439</v>
      </c>
      <c r="K1618" s="31" t="s">
        <v>443</v>
      </c>
      <c r="L1618" s="32" t="n">
        <v>1</v>
      </c>
      <c r="M1618" s="35" t="s">
        <v>386</v>
      </c>
      <c r="N1618" s="31" t="s">
        <v>387</v>
      </c>
      <c r="O1618" s="32" t="n">
        <v>1</v>
      </c>
      <c r="P1618" s="15" t="n">
        <f aca="false">IF(A1618="","",IF(O1618&lt;&gt;"",O1618,IF(L1618&lt;&gt;"",L1618,F1618)))</f>
        <v>1</v>
      </c>
    </row>
    <row r="1619" customFormat="false" ht="15" hidden="false" customHeight="true" outlineLevel="0" collapsed="false">
      <c r="A1619" s="26" t="s">
        <v>197</v>
      </c>
      <c r="B1619" s="26" t="s">
        <v>198</v>
      </c>
      <c r="C1619" s="14" t="n">
        <f aca="false">IF(A1619="","",IFERROR(VLOOKUP(A1619,'Recert Status'!$A$8:$C$400,3,FALSE()),""))</f>
        <v>46752</v>
      </c>
      <c r="D1619" s="18" t="s">
        <v>1424</v>
      </c>
      <c r="E1619" s="26" t="n">
        <v>35513</v>
      </c>
      <c r="F1619" s="27" t="n">
        <v>0.5</v>
      </c>
      <c r="G1619" s="28" t="n">
        <v>45853</v>
      </c>
      <c r="H1619" s="28" t="n">
        <v>45853</v>
      </c>
      <c r="I1619" s="18" t="s">
        <v>410</v>
      </c>
      <c r="J1619" s="26" t="s">
        <v>384</v>
      </c>
      <c r="K1619" s="18" t="s">
        <v>385</v>
      </c>
      <c r="L1619" s="27" t="n">
        <v>0.5</v>
      </c>
      <c r="M1619" s="36" t="s">
        <v>396</v>
      </c>
      <c r="N1619" s="18" t="s">
        <v>397</v>
      </c>
      <c r="O1619" s="27" t="n">
        <v>0.5</v>
      </c>
      <c r="P1619" s="15" t="n">
        <f aca="false">IF(A1619="","",IF(O1619&lt;&gt;"",O1619,IF(L1619&lt;&gt;"",L1619,F1619)))</f>
        <v>0.5</v>
      </c>
    </row>
    <row r="1620" customFormat="false" ht="15" hidden="false" customHeight="true" outlineLevel="0" collapsed="false">
      <c r="A1620" s="30" t="s">
        <v>197</v>
      </c>
      <c r="B1620" s="30" t="s">
        <v>198</v>
      </c>
      <c r="C1620" s="21" t="n">
        <f aca="false">IF(A1620="","",IFERROR(VLOOKUP(A1620,'Recert Status'!$A$8:$C$400,3,FALSE()),""))</f>
        <v>46752</v>
      </c>
      <c r="D1620" s="31" t="s">
        <v>597</v>
      </c>
      <c r="E1620" s="30" t="n">
        <v>29735</v>
      </c>
      <c r="F1620" s="32" t="n">
        <v>4</v>
      </c>
      <c r="G1620" s="33" t="n">
        <v>45961</v>
      </c>
      <c r="H1620" s="33" t="n">
        <v>45961</v>
      </c>
      <c r="I1620" s="31" t="s">
        <v>598</v>
      </c>
      <c r="J1620" s="30" t="s">
        <v>599</v>
      </c>
      <c r="K1620" s="31" t="s">
        <v>600</v>
      </c>
      <c r="L1620" s="32" t="n">
        <v>4</v>
      </c>
      <c r="M1620" s="36" t="s">
        <v>396</v>
      </c>
      <c r="N1620" s="31" t="s">
        <v>397</v>
      </c>
      <c r="O1620" s="32" t="n">
        <v>4</v>
      </c>
      <c r="P1620" s="15" t="n">
        <f aca="false">IF(A1620="","",IF(O1620&lt;&gt;"",O1620,IF(L1620&lt;&gt;"",L1620,F1620)))</f>
        <v>4</v>
      </c>
    </row>
    <row r="1621" customFormat="false" ht="15" hidden="false" customHeight="true" outlineLevel="0" collapsed="false">
      <c r="A1621" s="26" t="s">
        <v>197</v>
      </c>
      <c r="B1621" s="26" t="s">
        <v>198</v>
      </c>
      <c r="C1621" s="14" t="n">
        <f aca="false">IF(A1621="","",IFERROR(VLOOKUP(A1621,'Recert Status'!$A$8:$C$400,3,FALSE()),""))</f>
        <v>46752</v>
      </c>
      <c r="D1621" s="18" t="s">
        <v>1425</v>
      </c>
      <c r="E1621" s="26" t="s">
        <v>452</v>
      </c>
      <c r="F1621" s="27" t="n">
        <v>1</v>
      </c>
      <c r="G1621" s="28" t="n">
        <v>46138</v>
      </c>
      <c r="H1621" s="28" t="n">
        <v>46138</v>
      </c>
      <c r="I1621" s="18" t="s">
        <v>1426</v>
      </c>
      <c r="J1621" s="26" t="s">
        <v>452</v>
      </c>
      <c r="K1621" s="18" t="s">
        <v>385</v>
      </c>
      <c r="L1621" s="27" t="n">
        <v>1</v>
      </c>
      <c r="M1621" s="36" t="s">
        <v>396</v>
      </c>
      <c r="N1621" s="18" t="s">
        <v>397</v>
      </c>
      <c r="O1621" s="27" t="n">
        <v>1</v>
      </c>
      <c r="P1621" s="15" t="n">
        <f aca="false">IF(A1621="","",IF(O1621&lt;&gt;"",O1621,IF(L1621&lt;&gt;"",L1621,F1621)))</f>
        <v>1</v>
      </c>
    </row>
    <row r="1622" customFormat="false" ht="15" hidden="false" customHeight="true" outlineLevel="0" collapsed="false">
      <c r="A1622" s="30" t="s">
        <v>197</v>
      </c>
      <c r="B1622" s="30" t="s">
        <v>198</v>
      </c>
      <c r="C1622" s="21" t="n">
        <f aca="false">IF(A1622="","",IFERROR(VLOOKUP(A1622,'Recert Status'!$A$8:$C$400,3,FALSE()),""))</f>
        <v>46752</v>
      </c>
      <c r="D1622" s="31" t="s">
        <v>397</v>
      </c>
      <c r="E1622" s="30" t="s">
        <v>452</v>
      </c>
      <c r="F1622" s="32" t="n">
        <v>1</v>
      </c>
      <c r="G1622" s="33" t="n">
        <v>46244</v>
      </c>
      <c r="H1622" s="33" t="n">
        <v>46244</v>
      </c>
      <c r="I1622" s="31" t="s">
        <v>577</v>
      </c>
      <c r="J1622" s="30" t="s">
        <v>452</v>
      </c>
      <c r="K1622" s="31" t="s">
        <v>385</v>
      </c>
      <c r="L1622" s="32" t="n">
        <v>1</v>
      </c>
      <c r="M1622" s="36" t="s">
        <v>396</v>
      </c>
      <c r="N1622" s="31" t="s">
        <v>397</v>
      </c>
      <c r="O1622" s="32" t="n">
        <v>1</v>
      </c>
      <c r="P1622" s="15" t="n">
        <f aca="false">IF(A1622="","",IF(O1622&lt;&gt;"",O1622,IF(L1622&lt;&gt;"",L1622,F1622)))</f>
        <v>1</v>
      </c>
    </row>
    <row r="1623" customFormat="false" ht="15" hidden="false" customHeight="true" outlineLevel="0" collapsed="false">
      <c r="A1623" s="26" t="s">
        <v>197</v>
      </c>
      <c r="B1623" s="26" t="s">
        <v>198</v>
      </c>
      <c r="C1623" s="14" t="n">
        <f aca="false">IF(A1623="","",IFERROR(VLOOKUP(A1623,'Recert Status'!$A$8:$C$400,3,FALSE()),""))</f>
        <v>46752</v>
      </c>
      <c r="D1623" s="18" t="s">
        <v>457</v>
      </c>
      <c r="E1623" s="26" t="s">
        <v>416</v>
      </c>
      <c r="F1623" s="27" t="n">
        <v>2</v>
      </c>
      <c r="G1623" s="28" t="n">
        <v>45859</v>
      </c>
      <c r="H1623" s="28" t="n">
        <v>45859</v>
      </c>
      <c r="I1623" s="18" t="s">
        <v>780</v>
      </c>
      <c r="J1623" s="26" t="s">
        <v>416</v>
      </c>
      <c r="K1623" s="18" t="s">
        <v>781</v>
      </c>
      <c r="L1623" s="27" t="n">
        <v>2</v>
      </c>
      <c r="M1623" s="39" t="s">
        <v>413</v>
      </c>
      <c r="N1623" s="18" t="s">
        <v>414</v>
      </c>
      <c r="O1623" s="27" t="n">
        <v>2</v>
      </c>
      <c r="P1623" s="15" t="n">
        <f aca="false">IF(A1623="","",IF(O1623&lt;&gt;"",O1623,IF(L1623&lt;&gt;"",L1623,F1623)))</f>
        <v>2</v>
      </c>
    </row>
    <row r="1624" customFormat="false" ht="15" hidden="false" customHeight="true" outlineLevel="0" collapsed="false">
      <c r="A1624" s="30" t="s">
        <v>197</v>
      </c>
      <c r="B1624" s="30" t="s">
        <v>198</v>
      </c>
      <c r="C1624" s="21" t="n">
        <f aca="false">IF(A1624="","",IFERROR(VLOOKUP(A1624,'Recert Status'!$A$8:$C$400,3,FALSE()),""))</f>
        <v>46752</v>
      </c>
      <c r="D1624" s="31" t="s">
        <v>782</v>
      </c>
      <c r="E1624" s="30" t="s">
        <v>416</v>
      </c>
      <c r="F1624" s="32" t="n">
        <v>0.5</v>
      </c>
      <c r="G1624" s="33" t="n">
        <v>45937</v>
      </c>
      <c r="H1624" s="33" t="n">
        <v>45937</v>
      </c>
      <c r="I1624" s="31" t="s">
        <v>783</v>
      </c>
      <c r="J1624" s="30" t="s">
        <v>416</v>
      </c>
      <c r="K1624" s="31" t="s">
        <v>784</v>
      </c>
      <c r="L1624" s="32" t="n">
        <v>0.5</v>
      </c>
      <c r="M1624" s="39" t="s">
        <v>413</v>
      </c>
      <c r="N1624" s="31" t="s">
        <v>414</v>
      </c>
      <c r="O1624" s="32" t="n">
        <v>0.5</v>
      </c>
      <c r="P1624" s="15" t="n">
        <f aca="false">IF(A1624="","",IF(O1624&lt;&gt;"",O1624,IF(L1624&lt;&gt;"",L1624,F1624)))</f>
        <v>0.5</v>
      </c>
    </row>
    <row r="1625" customFormat="false" ht="15" hidden="false" customHeight="true" outlineLevel="0" collapsed="false">
      <c r="A1625" s="26" t="s">
        <v>197</v>
      </c>
      <c r="B1625" s="26" t="s">
        <v>198</v>
      </c>
      <c r="C1625" s="14" t="n">
        <f aca="false">IF(A1625="","",IFERROR(VLOOKUP(A1625,'Recert Status'!$A$8:$C$400,3,FALSE()),""))</f>
        <v>46752</v>
      </c>
      <c r="D1625" s="18" t="s">
        <v>1427</v>
      </c>
      <c r="E1625" s="26" t="s">
        <v>416</v>
      </c>
      <c r="F1625" s="27" t="n">
        <v>1</v>
      </c>
      <c r="G1625" s="28" t="n">
        <v>45949</v>
      </c>
      <c r="H1625" s="28" t="n">
        <v>45949</v>
      </c>
      <c r="I1625" s="18" t="s">
        <v>1428</v>
      </c>
      <c r="J1625" s="26" t="s">
        <v>416</v>
      </c>
      <c r="K1625" s="18" t="s">
        <v>418</v>
      </c>
      <c r="L1625" s="27" t="n">
        <v>1</v>
      </c>
      <c r="M1625" s="39" t="s">
        <v>413</v>
      </c>
      <c r="N1625" s="18" t="s">
        <v>414</v>
      </c>
      <c r="O1625" s="27" t="n">
        <v>1</v>
      </c>
      <c r="P1625" s="15" t="n">
        <f aca="false">IF(A1625="","",IF(O1625&lt;&gt;"",O1625,IF(L1625&lt;&gt;"",L1625,F1625)))</f>
        <v>1</v>
      </c>
    </row>
    <row r="1626" customFormat="false" ht="15" hidden="false" customHeight="true" outlineLevel="0" collapsed="false">
      <c r="A1626" s="30" t="s">
        <v>197</v>
      </c>
      <c r="B1626" s="30" t="s">
        <v>198</v>
      </c>
      <c r="C1626" s="21" t="n">
        <f aca="false">IF(A1626="","",IFERROR(VLOOKUP(A1626,'Recert Status'!$A$8:$C$400,3,FALSE()),""))</f>
        <v>46752</v>
      </c>
      <c r="D1626" s="31" t="s">
        <v>717</v>
      </c>
      <c r="E1626" s="30" t="s">
        <v>416</v>
      </c>
      <c r="F1626" s="32" t="n">
        <v>1</v>
      </c>
      <c r="G1626" s="33" t="n">
        <v>45994</v>
      </c>
      <c r="H1626" s="33" t="n">
        <v>45994</v>
      </c>
      <c r="I1626" s="31" t="s">
        <v>1429</v>
      </c>
      <c r="J1626" s="30" t="s">
        <v>416</v>
      </c>
      <c r="K1626" s="31" t="s">
        <v>418</v>
      </c>
      <c r="L1626" s="32" t="n">
        <v>1</v>
      </c>
      <c r="M1626" s="39" t="s">
        <v>413</v>
      </c>
      <c r="N1626" s="31" t="s">
        <v>414</v>
      </c>
      <c r="O1626" s="32" t="n">
        <v>1</v>
      </c>
      <c r="P1626" s="15" t="n">
        <f aca="false">IF(A1626="","",IF(O1626&lt;&gt;"",O1626,IF(L1626&lt;&gt;"",L1626,F1626)))</f>
        <v>1</v>
      </c>
    </row>
    <row r="1627" customFormat="false" ht="15" hidden="false" customHeight="true" outlineLevel="0" collapsed="false">
      <c r="A1627" s="26" t="s">
        <v>197</v>
      </c>
      <c r="B1627" s="26" t="s">
        <v>198</v>
      </c>
      <c r="C1627" s="14" t="n">
        <f aca="false">IF(A1627="","",IFERROR(VLOOKUP(A1627,'Recert Status'!$A$8:$C$400,3,FALSE()),""))</f>
        <v>46752</v>
      </c>
      <c r="D1627" s="18" t="s">
        <v>414</v>
      </c>
      <c r="E1627" s="26" t="s">
        <v>416</v>
      </c>
      <c r="F1627" s="27" t="n">
        <v>2</v>
      </c>
      <c r="G1627" s="28" t="n">
        <v>46219</v>
      </c>
      <c r="H1627" s="28" t="n">
        <v>46219</v>
      </c>
      <c r="I1627" s="18" t="s">
        <v>567</v>
      </c>
      <c r="J1627" s="26" t="s">
        <v>416</v>
      </c>
      <c r="K1627" s="18" t="s">
        <v>418</v>
      </c>
      <c r="L1627" s="27" t="n">
        <v>2</v>
      </c>
      <c r="M1627" s="39" t="s">
        <v>413</v>
      </c>
      <c r="N1627" s="18" t="s">
        <v>414</v>
      </c>
      <c r="O1627" s="27" t="n">
        <v>2</v>
      </c>
      <c r="P1627" s="15" t="n">
        <f aca="false">IF(A1627="","",IF(O1627&lt;&gt;"",O1627,IF(L1627&lt;&gt;"",L1627,F1627)))</f>
        <v>2</v>
      </c>
    </row>
    <row r="1628" customFormat="false" ht="15" hidden="false" customHeight="true" outlineLevel="0" collapsed="false">
      <c r="A1628" s="30" t="s">
        <v>199</v>
      </c>
      <c r="B1628" s="30" t="s">
        <v>200</v>
      </c>
      <c r="C1628" s="21" t="n">
        <f aca="false">IF(A1628="","",IFERROR(VLOOKUP(A1628,'Recert Status'!$A$8:$C$400,3,FALSE()),""))</f>
        <v>46387</v>
      </c>
      <c r="D1628" s="31" t="s">
        <v>946</v>
      </c>
      <c r="E1628" s="30" t="s">
        <v>363</v>
      </c>
      <c r="F1628" s="32" t="n">
        <v>1</v>
      </c>
      <c r="G1628" s="33" t="n">
        <v>45867</v>
      </c>
      <c r="H1628" s="33" t="n">
        <v>45867</v>
      </c>
      <c r="I1628" s="31" t="s">
        <v>947</v>
      </c>
      <c r="J1628" s="30" t="s">
        <v>363</v>
      </c>
      <c r="K1628" s="31" t="s">
        <v>370</v>
      </c>
      <c r="L1628" s="32" t="n">
        <v>1</v>
      </c>
      <c r="M1628" s="29" t="s">
        <v>366</v>
      </c>
      <c r="N1628" s="31" t="s">
        <v>367</v>
      </c>
      <c r="O1628" s="32" t="n">
        <v>1</v>
      </c>
      <c r="P1628" s="15" t="n">
        <f aca="false">IF(A1628="","",IF(O1628&lt;&gt;"",O1628,IF(L1628&lt;&gt;"",L1628,F1628)))</f>
        <v>1</v>
      </c>
    </row>
    <row r="1629" customFormat="false" ht="15" hidden="false" customHeight="true" outlineLevel="0" collapsed="false">
      <c r="A1629" s="26" t="s">
        <v>199</v>
      </c>
      <c r="B1629" s="26" t="s">
        <v>200</v>
      </c>
      <c r="C1629" s="14" t="n">
        <f aca="false">IF(A1629="","",IFERROR(VLOOKUP(A1629,'Recert Status'!$A$8:$C$400,3,FALSE()),""))</f>
        <v>46387</v>
      </c>
      <c r="D1629" s="18" t="s">
        <v>364</v>
      </c>
      <c r="E1629" s="26" t="n">
        <v>29675</v>
      </c>
      <c r="F1629" s="27" t="n">
        <v>1</v>
      </c>
      <c r="G1629" s="28" t="n">
        <v>45909</v>
      </c>
      <c r="H1629" s="28" t="n">
        <v>45909</v>
      </c>
      <c r="I1629" s="18" t="s">
        <v>1379</v>
      </c>
      <c r="J1629" s="26" t="s">
        <v>406</v>
      </c>
      <c r="K1629" s="18" t="s">
        <v>630</v>
      </c>
      <c r="L1629" s="27" t="n">
        <v>1</v>
      </c>
      <c r="M1629" s="29" t="s">
        <v>366</v>
      </c>
      <c r="N1629" s="18" t="s">
        <v>514</v>
      </c>
      <c r="O1629" s="27" t="n">
        <v>1</v>
      </c>
      <c r="P1629" s="15" t="n">
        <f aca="false">IF(A1629="","",IF(O1629&lt;&gt;"",O1629,IF(L1629&lt;&gt;"",L1629,F1629)))</f>
        <v>1</v>
      </c>
    </row>
    <row r="1630" customFormat="false" ht="15" hidden="false" customHeight="true" outlineLevel="0" collapsed="false">
      <c r="A1630" s="30" t="s">
        <v>199</v>
      </c>
      <c r="B1630" s="30" t="s">
        <v>200</v>
      </c>
      <c r="C1630" s="21" t="n">
        <f aca="false">IF(A1630="","",IFERROR(VLOOKUP(A1630,'Recert Status'!$A$8:$C$400,3,FALSE()),""))</f>
        <v>46387</v>
      </c>
      <c r="D1630" s="31" t="s">
        <v>949</v>
      </c>
      <c r="E1630" s="30" t="s">
        <v>542</v>
      </c>
      <c r="F1630" s="32" t="n">
        <v>1</v>
      </c>
      <c r="G1630" s="33" t="n">
        <v>46056</v>
      </c>
      <c r="H1630" s="33" t="n">
        <v>46056</v>
      </c>
      <c r="I1630" s="31" t="s">
        <v>950</v>
      </c>
      <c r="J1630" s="30" t="s">
        <v>542</v>
      </c>
      <c r="K1630" s="31" t="s">
        <v>422</v>
      </c>
      <c r="L1630" s="32" t="n">
        <v>1</v>
      </c>
      <c r="M1630" s="40" t="s">
        <v>423</v>
      </c>
      <c r="N1630" s="31" t="s">
        <v>424</v>
      </c>
      <c r="O1630" s="32" t="n">
        <v>1</v>
      </c>
      <c r="P1630" s="15" t="n">
        <f aca="false">IF(A1630="","",IF(O1630&lt;&gt;"",O1630,IF(L1630&lt;&gt;"",L1630,F1630)))</f>
        <v>1</v>
      </c>
    </row>
    <row r="1631" customFormat="false" ht="15" hidden="false" customHeight="true" outlineLevel="0" collapsed="false">
      <c r="A1631" s="26" t="s">
        <v>199</v>
      </c>
      <c r="B1631" s="26" t="s">
        <v>200</v>
      </c>
      <c r="C1631" s="14" t="n">
        <f aca="false">IF(A1631="","",IFERROR(VLOOKUP(A1631,'Recert Status'!$A$8:$C$400,3,FALSE()),""))</f>
        <v>46387</v>
      </c>
      <c r="D1631" s="18" t="s">
        <v>732</v>
      </c>
      <c r="E1631" s="26" t="s">
        <v>372</v>
      </c>
      <c r="F1631" s="27" t="n">
        <v>2</v>
      </c>
      <c r="G1631" s="28" t="n">
        <v>46140</v>
      </c>
      <c r="H1631" s="28" t="n">
        <v>46140</v>
      </c>
      <c r="I1631" s="18" t="s">
        <v>1296</v>
      </c>
      <c r="J1631" s="26" t="s">
        <v>372</v>
      </c>
      <c r="K1631" s="18" t="s">
        <v>766</v>
      </c>
      <c r="L1631" s="27" t="n">
        <v>2</v>
      </c>
      <c r="M1631" s="34" t="s">
        <v>375</v>
      </c>
      <c r="N1631" s="18" t="s">
        <v>376</v>
      </c>
      <c r="O1631" s="27" t="n">
        <v>2</v>
      </c>
      <c r="P1631" s="15" t="n">
        <f aca="false">IF(A1631="","",IF(O1631&lt;&gt;"",O1631,IF(L1631&lt;&gt;"",L1631,F1631)))</f>
        <v>2</v>
      </c>
    </row>
    <row r="1632" customFormat="false" ht="15" hidden="false" customHeight="true" outlineLevel="0" collapsed="false">
      <c r="A1632" s="30" t="s">
        <v>199</v>
      </c>
      <c r="B1632" s="30" t="s">
        <v>200</v>
      </c>
      <c r="C1632" s="21" t="n">
        <f aca="false">IF(A1632="","",IFERROR(VLOOKUP(A1632,'Recert Status'!$A$8:$C$400,3,FALSE()),""))</f>
        <v>46387</v>
      </c>
      <c r="D1632" s="31" t="s">
        <v>953</v>
      </c>
      <c r="E1632" s="30" t="n">
        <v>29668</v>
      </c>
      <c r="F1632" s="32" t="n">
        <v>1</v>
      </c>
      <c r="G1632" s="33" t="n">
        <v>45867</v>
      </c>
      <c r="H1632" s="33" t="n">
        <v>45867</v>
      </c>
      <c r="I1632" s="31" t="s">
        <v>954</v>
      </c>
      <c r="J1632" s="30" t="s">
        <v>511</v>
      </c>
      <c r="K1632" s="31" t="s">
        <v>509</v>
      </c>
      <c r="L1632" s="32" t="n">
        <v>1</v>
      </c>
      <c r="M1632" s="35" t="s">
        <v>386</v>
      </c>
      <c r="N1632" s="31" t="s">
        <v>387</v>
      </c>
      <c r="O1632" s="32" t="n">
        <v>1</v>
      </c>
      <c r="P1632" s="15" t="n">
        <f aca="false">IF(A1632="","",IF(O1632&lt;&gt;"",O1632,IF(L1632&lt;&gt;"",L1632,F1632)))</f>
        <v>1</v>
      </c>
    </row>
    <row r="1633" customFormat="false" ht="15" hidden="false" customHeight="true" outlineLevel="0" collapsed="false">
      <c r="A1633" s="26" t="s">
        <v>199</v>
      </c>
      <c r="B1633" s="26" t="s">
        <v>200</v>
      </c>
      <c r="C1633" s="14" t="n">
        <f aca="false">IF(A1633="","",IFERROR(VLOOKUP(A1633,'Recert Status'!$A$8:$C$400,3,FALSE()),""))</f>
        <v>46387</v>
      </c>
      <c r="D1633" s="18" t="s">
        <v>816</v>
      </c>
      <c r="E1633" s="26" t="s">
        <v>817</v>
      </c>
      <c r="F1633" s="27" t="n">
        <v>2</v>
      </c>
      <c r="G1633" s="28" t="n">
        <v>45882</v>
      </c>
      <c r="H1633" s="28" t="n">
        <v>45882</v>
      </c>
      <c r="I1633" s="18" t="s">
        <v>818</v>
      </c>
      <c r="J1633" s="26" t="s">
        <v>817</v>
      </c>
      <c r="K1633" s="18" t="s">
        <v>819</v>
      </c>
      <c r="L1633" s="27" t="n">
        <v>2</v>
      </c>
      <c r="M1633" s="35" t="s">
        <v>386</v>
      </c>
      <c r="N1633" s="18" t="s">
        <v>387</v>
      </c>
      <c r="O1633" s="27" t="n">
        <v>2</v>
      </c>
      <c r="P1633" s="15" t="n">
        <f aca="false">IF(A1633="","",IF(O1633&lt;&gt;"",O1633,IF(L1633&lt;&gt;"",L1633,F1633)))</f>
        <v>2</v>
      </c>
    </row>
    <row r="1634" customFormat="false" ht="15" hidden="false" customHeight="true" outlineLevel="0" collapsed="false">
      <c r="A1634" s="30" t="s">
        <v>199</v>
      </c>
      <c r="B1634" s="30" t="s">
        <v>200</v>
      </c>
      <c r="C1634" s="21" t="n">
        <f aca="false">IF(A1634="","",IFERROR(VLOOKUP(A1634,'Recert Status'!$A$8:$C$400,3,FALSE()),""))</f>
        <v>46387</v>
      </c>
      <c r="D1634" s="31" t="s">
        <v>1088</v>
      </c>
      <c r="E1634" s="30" t="n">
        <v>29740</v>
      </c>
      <c r="F1634" s="32" t="n">
        <v>1</v>
      </c>
      <c r="G1634" s="33" t="n">
        <v>45987</v>
      </c>
      <c r="H1634" s="33" t="n">
        <v>45987</v>
      </c>
      <c r="I1634" s="31" t="s">
        <v>1089</v>
      </c>
      <c r="J1634" s="30" t="s">
        <v>394</v>
      </c>
      <c r="K1634" s="31" t="s">
        <v>468</v>
      </c>
      <c r="L1634" s="32" t="n">
        <v>1</v>
      </c>
      <c r="M1634" s="35" t="s">
        <v>386</v>
      </c>
      <c r="N1634" s="31" t="s">
        <v>387</v>
      </c>
      <c r="O1634" s="32" t="n">
        <v>1</v>
      </c>
      <c r="P1634" s="15" t="n">
        <f aca="false">IF(A1634="","",IF(O1634&lt;&gt;"",O1634,IF(L1634&lt;&gt;"",L1634,F1634)))</f>
        <v>1</v>
      </c>
    </row>
    <row r="1635" customFormat="false" ht="15" hidden="false" customHeight="true" outlineLevel="0" collapsed="false">
      <c r="A1635" s="26" t="s">
        <v>199</v>
      </c>
      <c r="B1635" s="26" t="s">
        <v>200</v>
      </c>
      <c r="C1635" s="14" t="n">
        <f aca="false">IF(A1635="","",IFERROR(VLOOKUP(A1635,'Recert Status'!$A$8:$C$400,3,FALSE()),""))</f>
        <v>46387</v>
      </c>
      <c r="D1635" s="18" t="s">
        <v>1297</v>
      </c>
      <c r="E1635" s="26" t="s">
        <v>389</v>
      </c>
      <c r="F1635" s="27" t="n">
        <v>1.5</v>
      </c>
      <c r="G1635" s="28" t="n">
        <v>46011</v>
      </c>
      <c r="H1635" s="28" t="n">
        <v>46011</v>
      </c>
      <c r="I1635" s="18" t="s">
        <v>1298</v>
      </c>
      <c r="J1635" s="26" t="s">
        <v>389</v>
      </c>
      <c r="K1635" s="18" t="s">
        <v>451</v>
      </c>
      <c r="L1635" s="27" t="n">
        <v>1.5</v>
      </c>
      <c r="M1635" s="35" t="s">
        <v>386</v>
      </c>
      <c r="N1635" s="18" t="s">
        <v>387</v>
      </c>
      <c r="O1635" s="27" t="n">
        <v>1.5</v>
      </c>
      <c r="P1635" s="15" t="n">
        <f aca="false">IF(A1635="","",IF(O1635&lt;&gt;"",O1635,IF(L1635&lt;&gt;"",L1635,F1635)))</f>
        <v>1.5</v>
      </c>
    </row>
    <row r="1636" customFormat="false" ht="15" hidden="false" customHeight="true" outlineLevel="0" collapsed="false">
      <c r="A1636" s="30" t="s">
        <v>199</v>
      </c>
      <c r="B1636" s="30" t="s">
        <v>200</v>
      </c>
      <c r="C1636" s="21" t="n">
        <f aca="false">IF(A1636="","",IFERROR(VLOOKUP(A1636,'Recert Status'!$A$8:$C$400,3,FALSE()),""))</f>
        <v>46387</v>
      </c>
      <c r="D1636" s="31" t="s">
        <v>1297</v>
      </c>
      <c r="E1636" s="30" t="s">
        <v>389</v>
      </c>
      <c r="F1636" s="32" t="n">
        <v>1.5</v>
      </c>
      <c r="G1636" s="33" t="n">
        <v>46011</v>
      </c>
      <c r="H1636" s="33" t="n">
        <v>46011</v>
      </c>
      <c r="I1636" s="31" t="s">
        <v>1298</v>
      </c>
      <c r="J1636" s="30" t="s">
        <v>389</v>
      </c>
      <c r="K1636" s="31" t="s">
        <v>451</v>
      </c>
      <c r="L1636" s="32" t="n">
        <v>1.5</v>
      </c>
      <c r="M1636" s="35" t="s">
        <v>386</v>
      </c>
      <c r="N1636" s="31" t="s">
        <v>387</v>
      </c>
      <c r="O1636" s="32" t="n">
        <v>1.5</v>
      </c>
      <c r="P1636" s="15" t="n">
        <f aca="false">IF(A1636="","",IF(O1636&lt;&gt;"",O1636,IF(L1636&lt;&gt;"",L1636,F1636)))</f>
        <v>1.5</v>
      </c>
    </row>
    <row r="1637" customFormat="false" ht="15" hidden="false" customHeight="true" outlineLevel="0" collapsed="false">
      <c r="A1637" s="26" t="s">
        <v>199</v>
      </c>
      <c r="B1637" s="26" t="s">
        <v>200</v>
      </c>
      <c r="C1637" s="14" t="n">
        <f aca="false">IF(A1637="","",IFERROR(VLOOKUP(A1637,'Recert Status'!$A$8:$C$400,3,FALSE()),""))</f>
        <v>46387</v>
      </c>
      <c r="D1637" s="18" t="s">
        <v>787</v>
      </c>
      <c r="E1637" s="26" t="n">
        <v>29784</v>
      </c>
      <c r="F1637" s="27" t="n">
        <v>1.5</v>
      </c>
      <c r="G1637" s="28" t="n">
        <v>46011</v>
      </c>
      <c r="H1637" s="28" t="n">
        <v>46011</v>
      </c>
      <c r="I1637" s="18" t="s">
        <v>1299</v>
      </c>
      <c r="J1637" s="26" t="s">
        <v>435</v>
      </c>
      <c r="K1637" s="18" t="s">
        <v>468</v>
      </c>
      <c r="L1637" s="27" t="n">
        <v>1.5</v>
      </c>
      <c r="M1637" s="35" t="s">
        <v>386</v>
      </c>
      <c r="N1637" s="18" t="s">
        <v>387</v>
      </c>
      <c r="O1637" s="27" t="n">
        <v>1.5</v>
      </c>
      <c r="P1637" s="15" t="n">
        <f aca="false">IF(A1637="","",IF(O1637&lt;&gt;"",O1637,IF(L1637&lt;&gt;"",L1637,F1637)))</f>
        <v>1.5</v>
      </c>
    </row>
    <row r="1638" customFormat="false" ht="15" hidden="false" customHeight="true" outlineLevel="0" collapsed="false">
      <c r="A1638" s="30" t="s">
        <v>199</v>
      </c>
      <c r="B1638" s="30" t="s">
        <v>200</v>
      </c>
      <c r="C1638" s="21" t="n">
        <f aca="false">IF(A1638="","",IFERROR(VLOOKUP(A1638,'Recert Status'!$A$8:$C$400,3,FALSE()),""))</f>
        <v>46387</v>
      </c>
      <c r="D1638" s="31" t="s">
        <v>1030</v>
      </c>
      <c r="E1638" s="30" t="s">
        <v>389</v>
      </c>
      <c r="F1638" s="32" t="n">
        <v>2</v>
      </c>
      <c r="G1638" s="33" t="n">
        <v>46071</v>
      </c>
      <c r="H1638" s="33" t="n">
        <v>46071</v>
      </c>
      <c r="I1638" s="31" t="s">
        <v>1031</v>
      </c>
      <c r="J1638" s="30" t="s">
        <v>389</v>
      </c>
      <c r="K1638" s="31" t="s">
        <v>395</v>
      </c>
      <c r="L1638" s="32" t="n">
        <v>2</v>
      </c>
      <c r="M1638" s="35" t="s">
        <v>386</v>
      </c>
      <c r="N1638" s="31" t="s">
        <v>387</v>
      </c>
      <c r="O1638" s="32" t="n">
        <v>2</v>
      </c>
      <c r="P1638" s="15" t="n">
        <f aca="false">IF(A1638="","",IF(O1638&lt;&gt;"",O1638,IF(L1638&lt;&gt;"",L1638,F1638)))</f>
        <v>2</v>
      </c>
    </row>
    <row r="1639" customFormat="false" ht="15" hidden="false" customHeight="true" outlineLevel="0" collapsed="false">
      <c r="A1639" s="26" t="s">
        <v>199</v>
      </c>
      <c r="B1639" s="26" t="s">
        <v>200</v>
      </c>
      <c r="C1639" s="14" t="n">
        <f aca="false">IF(A1639="","",IFERROR(VLOOKUP(A1639,'Recert Status'!$A$8:$C$400,3,FALSE()),""))</f>
        <v>46387</v>
      </c>
      <c r="D1639" s="18" t="s">
        <v>387</v>
      </c>
      <c r="E1639" s="26" t="s">
        <v>389</v>
      </c>
      <c r="F1639" s="27" t="n">
        <v>1</v>
      </c>
      <c r="G1639" s="28" t="n">
        <v>46230</v>
      </c>
      <c r="H1639" s="28" t="n">
        <v>46230</v>
      </c>
      <c r="I1639" s="18" t="s">
        <v>1224</v>
      </c>
      <c r="J1639" s="26" t="s">
        <v>389</v>
      </c>
      <c r="K1639" s="18" t="s">
        <v>451</v>
      </c>
      <c r="L1639" s="27" t="n">
        <v>1</v>
      </c>
      <c r="M1639" s="35" t="s">
        <v>386</v>
      </c>
      <c r="N1639" s="18" t="s">
        <v>387</v>
      </c>
      <c r="O1639" s="27" t="n">
        <v>1</v>
      </c>
      <c r="P1639" s="15" t="n">
        <f aca="false">IF(A1639="","",IF(O1639&lt;&gt;"",O1639,IF(L1639&lt;&gt;"",L1639,F1639)))</f>
        <v>1</v>
      </c>
    </row>
    <row r="1640" customFormat="false" ht="15" hidden="false" customHeight="true" outlineLevel="0" collapsed="false">
      <c r="A1640" s="30" t="s">
        <v>199</v>
      </c>
      <c r="B1640" s="30" t="s">
        <v>200</v>
      </c>
      <c r="C1640" s="21" t="n">
        <f aca="false">IF(A1640="","",IFERROR(VLOOKUP(A1640,'Recert Status'!$A$8:$C$400,3,FALSE()),""))</f>
        <v>46387</v>
      </c>
      <c r="D1640" s="31" t="s">
        <v>1300</v>
      </c>
      <c r="E1640" s="30" t="s">
        <v>452</v>
      </c>
      <c r="F1640" s="32" t="n">
        <v>1.5</v>
      </c>
      <c r="G1640" s="33" t="n">
        <v>46011</v>
      </c>
      <c r="H1640" s="33" t="n">
        <v>46011</v>
      </c>
      <c r="I1640" s="31" t="s">
        <v>1301</v>
      </c>
      <c r="J1640" s="30" t="s">
        <v>452</v>
      </c>
      <c r="K1640" s="31" t="s">
        <v>385</v>
      </c>
      <c r="L1640" s="32" t="n">
        <v>1.5</v>
      </c>
      <c r="M1640" s="36" t="s">
        <v>396</v>
      </c>
      <c r="N1640" s="31" t="s">
        <v>397</v>
      </c>
      <c r="O1640" s="32" t="n">
        <v>1.5</v>
      </c>
      <c r="P1640" s="15" t="n">
        <f aca="false">IF(A1640="","",IF(O1640&lt;&gt;"",O1640,IF(L1640&lt;&gt;"",L1640,F1640)))</f>
        <v>1.5</v>
      </c>
    </row>
    <row r="1641" customFormat="false" ht="15" hidden="false" customHeight="true" outlineLevel="0" collapsed="false">
      <c r="A1641" s="26" t="s">
        <v>199</v>
      </c>
      <c r="B1641" s="26" t="s">
        <v>200</v>
      </c>
      <c r="C1641" s="14" t="n">
        <f aca="false">IF(A1641="","",IFERROR(VLOOKUP(A1641,'Recert Status'!$A$8:$C$400,3,FALSE()),""))</f>
        <v>46387</v>
      </c>
      <c r="D1641" s="18" t="s">
        <v>1302</v>
      </c>
      <c r="E1641" s="26" t="s">
        <v>452</v>
      </c>
      <c r="F1641" s="27" t="n">
        <v>1</v>
      </c>
      <c r="G1641" s="28" t="n">
        <v>46017</v>
      </c>
      <c r="H1641" s="28" t="n">
        <v>46017</v>
      </c>
      <c r="I1641" s="18" t="s">
        <v>1303</v>
      </c>
      <c r="J1641" s="26" t="s">
        <v>452</v>
      </c>
      <c r="K1641" s="18" t="s">
        <v>385</v>
      </c>
      <c r="L1641" s="27" t="n">
        <v>1</v>
      </c>
      <c r="M1641" s="36" t="s">
        <v>396</v>
      </c>
      <c r="N1641" s="18" t="s">
        <v>397</v>
      </c>
      <c r="O1641" s="27" t="n">
        <v>1</v>
      </c>
      <c r="P1641" s="15" t="n">
        <f aca="false">IF(A1641="","",IF(O1641&lt;&gt;"",O1641,IF(L1641&lt;&gt;"",L1641,F1641)))</f>
        <v>1</v>
      </c>
    </row>
    <row r="1642" customFormat="false" ht="15" hidden="false" customHeight="true" outlineLevel="0" collapsed="false">
      <c r="A1642" s="30" t="s">
        <v>199</v>
      </c>
      <c r="B1642" s="30" t="s">
        <v>200</v>
      </c>
      <c r="C1642" s="21" t="n">
        <f aca="false">IF(A1642="","",IFERROR(VLOOKUP(A1642,'Recert Status'!$A$8:$C$400,3,FALSE()),""))</f>
        <v>46387</v>
      </c>
      <c r="D1642" s="31" t="s">
        <v>397</v>
      </c>
      <c r="E1642" s="30" t="s">
        <v>452</v>
      </c>
      <c r="F1642" s="32" t="n">
        <v>1</v>
      </c>
      <c r="G1642" s="33" t="n">
        <v>46245</v>
      </c>
      <c r="H1642" s="33" t="n">
        <v>46245</v>
      </c>
      <c r="I1642" s="31" t="s">
        <v>605</v>
      </c>
      <c r="J1642" s="30" t="s">
        <v>452</v>
      </c>
      <c r="K1642" s="31" t="s">
        <v>385</v>
      </c>
      <c r="L1642" s="32" t="n">
        <v>1</v>
      </c>
      <c r="M1642" s="36" t="s">
        <v>396</v>
      </c>
      <c r="N1642" s="31" t="s">
        <v>397</v>
      </c>
      <c r="O1642" s="32" t="n">
        <v>1</v>
      </c>
      <c r="P1642" s="15" t="n">
        <f aca="false">IF(A1642="","",IF(O1642&lt;&gt;"",O1642,IF(L1642&lt;&gt;"",L1642,F1642)))</f>
        <v>1</v>
      </c>
    </row>
    <row r="1643" customFormat="false" ht="15" hidden="false" customHeight="true" outlineLevel="0" collapsed="false">
      <c r="A1643" s="26" t="s">
        <v>199</v>
      </c>
      <c r="B1643" s="26" t="s">
        <v>200</v>
      </c>
      <c r="C1643" s="14" t="n">
        <f aca="false">IF(A1643="","",IFERROR(VLOOKUP(A1643,'Recert Status'!$A$8:$C$400,3,FALSE()),""))</f>
        <v>46387</v>
      </c>
      <c r="D1643" s="18" t="s">
        <v>692</v>
      </c>
      <c r="E1643" s="26" t="s">
        <v>416</v>
      </c>
      <c r="F1643" s="27" t="n">
        <v>0.5</v>
      </c>
      <c r="G1643" s="28" t="n">
        <v>45780</v>
      </c>
      <c r="H1643" s="28" t="n">
        <v>45780</v>
      </c>
      <c r="I1643" s="18" t="s">
        <v>693</v>
      </c>
      <c r="J1643" s="26" t="s">
        <v>416</v>
      </c>
      <c r="K1643" s="18" t="s">
        <v>490</v>
      </c>
      <c r="L1643" s="27" t="n">
        <v>0.5</v>
      </c>
      <c r="M1643" s="39" t="s">
        <v>413</v>
      </c>
      <c r="N1643" s="18" t="s">
        <v>414</v>
      </c>
      <c r="O1643" s="27" t="n">
        <v>0.5</v>
      </c>
      <c r="P1643" s="15" t="n">
        <f aca="false">IF(A1643="","",IF(O1643&lt;&gt;"",O1643,IF(L1643&lt;&gt;"",L1643,F1643)))</f>
        <v>0.5</v>
      </c>
    </row>
    <row r="1644" customFormat="false" ht="15" hidden="false" customHeight="true" outlineLevel="0" collapsed="false">
      <c r="A1644" s="30" t="s">
        <v>199</v>
      </c>
      <c r="B1644" s="30" t="s">
        <v>200</v>
      </c>
      <c r="C1644" s="21" t="n">
        <f aca="false">IF(A1644="","",IFERROR(VLOOKUP(A1644,'Recert Status'!$A$8:$C$400,3,FALSE()),""))</f>
        <v>46387</v>
      </c>
      <c r="D1644" s="31" t="s">
        <v>672</v>
      </c>
      <c r="E1644" s="30" t="s">
        <v>416</v>
      </c>
      <c r="F1644" s="32" t="n">
        <v>1</v>
      </c>
      <c r="G1644" s="33" t="n">
        <v>45825</v>
      </c>
      <c r="H1644" s="33" t="n">
        <v>45825</v>
      </c>
      <c r="I1644" s="31" t="s">
        <v>694</v>
      </c>
      <c r="J1644" s="30" t="s">
        <v>416</v>
      </c>
      <c r="K1644" s="31" t="s">
        <v>490</v>
      </c>
      <c r="L1644" s="32" t="n">
        <v>1</v>
      </c>
      <c r="M1644" s="39" t="s">
        <v>413</v>
      </c>
      <c r="N1644" s="31" t="s">
        <v>414</v>
      </c>
      <c r="O1644" s="32" t="n">
        <v>1</v>
      </c>
      <c r="P1644" s="15" t="n">
        <f aca="false">IF(A1644="","",IF(O1644&lt;&gt;"",O1644,IF(L1644&lt;&gt;"",L1644,F1644)))</f>
        <v>1</v>
      </c>
    </row>
    <row r="1645" customFormat="false" ht="15" hidden="false" customHeight="true" outlineLevel="0" collapsed="false">
      <c r="A1645" s="26" t="s">
        <v>199</v>
      </c>
      <c r="B1645" s="26" t="s">
        <v>200</v>
      </c>
      <c r="C1645" s="14" t="n">
        <f aca="false">IF(A1645="","",IFERROR(VLOOKUP(A1645,'Recert Status'!$A$8:$C$400,3,FALSE()),""))</f>
        <v>46387</v>
      </c>
      <c r="D1645" s="18" t="s">
        <v>488</v>
      </c>
      <c r="E1645" s="26" t="s">
        <v>416</v>
      </c>
      <c r="F1645" s="27" t="n">
        <v>1</v>
      </c>
      <c r="G1645" s="28" t="n">
        <v>46128</v>
      </c>
      <c r="H1645" s="28" t="n">
        <v>46128</v>
      </c>
      <c r="I1645" s="18" t="s">
        <v>609</v>
      </c>
      <c r="J1645" s="26" t="s">
        <v>416</v>
      </c>
      <c r="K1645" s="18" t="s">
        <v>490</v>
      </c>
      <c r="L1645" s="27" t="n">
        <v>1</v>
      </c>
      <c r="M1645" s="39" t="s">
        <v>413</v>
      </c>
      <c r="N1645" s="18" t="s">
        <v>414</v>
      </c>
      <c r="O1645" s="27" t="n">
        <v>1</v>
      </c>
      <c r="P1645" s="15" t="n">
        <f aca="false">IF(A1645="","",IF(O1645&lt;&gt;"",O1645,IF(L1645&lt;&gt;"",L1645,F1645)))</f>
        <v>1</v>
      </c>
    </row>
    <row r="1646" customFormat="false" ht="15" hidden="false" customHeight="true" outlineLevel="0" collapsed="false">
      <c r="A1646" s="30" t="s">
        <v>199</v>
      </c>
      <c r="B1646" s="30" t="s">
        <v>200</v>
      </c>
      <c r="C1646" s="21" t="n">
        <f aca="false">IF(A1646="","",IFERROR(VLOOKUP(A1646,'Recert Status'!$A$8:$C$400,3,FALSE()),""))</f>
        <v>46387</v>
      </c>
      <c r="D1646" s="31" t="s">
        <v>414</v>
      </c>
      <c r="E1646" s="30" t="s">
        <v>416</v>
      </c>
      <c r="F1646" s="32" t="n">
        <v>2</v>
      </c>
      <c r="G1646" s="33" t="n">
        <v>46219</v>
      </c>
      <c r="H1646" s="33" t="n">
        <v>46219</v>
      </c>
      <c r="I1646" s="31" t="s">
        <v>567</v>
      </c>
      <c r="J1646" s="30" t="s">
        <v>416</v>
      </c>
      <c r="K1646" s="31" t="s">
        <v>418</v>
      </c>
      <c r="L1646" s="32" t="n">
        <v>2</v>
      </c>
      <c r="M1646" s="39" t="s">
        <v>413</v>
      </c>
      <c r="N1646" s="31" t="s">
        <v>414</v>
      </c>
      <c r="O1646" s="32" t="n">
        <v>2</v>
      </c>
      <c r="P1646" s="15" t="n">
        <f aca="false">IF(A1646="","",IF(O1646&lt;&gt;"",O1646,IF(L1646&lt;&gt;"",L1646,F1646)))</f>
        <v>2</v>
      </c>
    </row>
    <row r="1647" customFormat="false" ht="15" hidden="false" customHeight="true" outlineLevel="0" collapsed="false">
      <c r="A1647" s="26" t="s">
        <v>201</v>
      </c>
      <c r="B1647" s="26" t="s">
        <v>202</v>
      </c>
      <c r="C1647" s="14" t="n">
        <f aca="false">IF(A1647="","",IFERROR(VLOOKUP(A1647,'Recert Status'!$A$8:$C$400,3,FALSE()),""))</f>
        <v>46387</v>
      </c>
      <c r="D1647" s="18" t="s">
        <v>362</v>
      </c>
      <c r="E1647" s="26" t="s">
        <v>363</v>
      </c>
      <c r="F1647" s="27" t="n">
        <v>0.5</v>
      </c>
      <c r="G1647" s="28" t="n">
        <v>45783</v>
      </c>
      <c r="H1647" s="28" t="n">
        <v>45783</v>
      </c>
      <c r="I1647" s="18" t="s">
        <v>364</v>
      </c>
      <c r="J1647" s="26" t="s">
        <v>363</v>
      </c>
      <c r="K1647" s="18" t="s">
        <v>365</v>
      </c>
      <c r="L1647" s="27" t="n">
        <v>0.5</v>
      </c>
      <c r="M1647" s="29" t="s">
        <v>366</v>
      </c>
      <c r="N1647" s="18" t="s">
        <v>367</v>
      </c>
      <c r="O1647" s="27" t="n">
        <v>0.5</v>
      </c>
      <c r="P1647" s="15" t="n">
        <f aca="false">IF(A1647="","",IF(O1647&lt;&gt;"",O1647,IF(L1647&lt;&gt;"",L1647,F1647)))</f>
        <v>0.5</v>
      </c>
    </row>
    <row r="1648" customFormat="false" ht="15" hidden="false" customHeight="true" outlineLevel="0" collapsed="false">
      <c r="A1648" s="30" t="s">
        <v>201</v>
      </c>
      <c r="B1648" s="30" t="s">
        <v>202</v>
      </c>
      <c r="C1648" s="21" t="n">
        <f aca="false">IF(A1648="","",IFERROR(VLOOKUP(A1648,'Recert Status'!$A$8:$C$400,3,FALSE()),""))</f>
        <v>46387</v>
      </c>
      <c r="D1648" s="31" t="s">
        <v>908</v>
      </c>
      <c r="E1648" s="30" t="s">
        <v>363</v>
      </c>
      <c r="F1648" s="32" t="n">
        <v>1.5</v>
      </c>
      <c r="G1648" s="33" t="n">
        <v>45867</v>
      </c>
      <c r="H1648" s="33" t="n">
        <v>45867</v>
      </c>
      <c r="I1648" s="31" t="s">
        <v>909</v>
      </c>
      <c r="J1648" s="30" t="s">
        <v>363</v>
      </c>
      <c r="K1648" s="31" t="s">
        <v>370</v>
      </c>
      <c r="L1648" s="32" t="n">
        <v>1.5</v>
      </c>
      <c r="M1648" s="29" t="s">
        <v>366</v>
      </c>
      <c r="N1648" s="31" t="s">
        <v>367</v>
      </c>
      <c r="O1648" s="32" t="n">
        <v>1.5</v>
      </c>
      <c r="P1648" s="15" t="n">
        <f aca="false">IF(A1648="","",IF(O1648&lt;&gt;"",O1648,IF(L1648&lt;&gt;"",L1648,F1648)))</f>
        <v>1.5</v>
      </c>
    </row>
    <row r="1649" customFormat="false" ht="15" hidden="false" customHeight="true" outlineLevel="0" collapsed="false">
      <c r="A1649" s="26" t="s">
        <v>201</v>
      </c>
      <c r="B1649" s="26" t="s">
        <v>202</v>
      </c>
      <c r="C1649" s="14" t="n">
        <f aca="false">IF(A1649="","",IFERROR(VLOOKUP(A1649,'Recert Status'!$A$8:$C$400,3,FALSE()),""))</f>
        <v>46387</v>
      </c>
      <c r="D1649" s="18" t="s">
        <v>364</v>
      </c>
      <c r="E1649" s="26" t="n">
        <v>29675</v>
      </c>
      <c r="F1649" s="27" t="n">
        <v>1</v>
      </c>
      <c r="G1649" s="28" t="n">
        <v>45909</v>
      </c>
      <c r="H1649" s="28" t="n">
        <v>45909</v>
      </c>
      <c r="I1649" s="18" t="s">
        <v>1379</v>
      </c>
      <c r="J1649" s="26" t="s">
        <v>406</v>
      </c>
      <c r="K1649" s="18" t="s">
        <v>630</v>
      </c>
      <c r="L1649" s="27" t="n">
        <v>1</v>
      </c>
      <c r="M1649" s="29" t="s">
        <v>366</v>
      </c>
      <c r="N1649" s="18" t="s">
        <v>514</v>
      </c>
      <c r="O1649" s="27" t="n">
        <v>1</v>
      </c>
      <c r="P1649" s="15" t="n">
        <f aca="false">IF(A1649="","",IF(O1649&lt;&gt;"",O1649,IF(L1649&lt;&gt;"",L1649,F1649)))</f>
        <v>1</v>
      </c>
    </row>
    <row r="1650" customFormat="false" ht="15" hidden="false" customHeight="true" outlineLevel="0" collapsed="false">
      <c r="A1650" s="30" t="s">
        <v>201</v>
      </c>
      <c r="B1650" s="30" t="s">
        <v>202</v>
      </c>
      <c r="C1650" s="21" t="n">
        <f aca="false">IF(A1650="","",IFERROR(VLOOKUP(A1650,'Recert Status'!$A$8:$C$400,3,FALSE()),""))</f>
        <v>46387</v>
      </c>
      <c r="D1650" s="31" t="s">
        <v>569</v>
      </c>
      <c r="E1650" s="30" t="n">
        <v>57433</v>
      </c>
      <c r="F1650" s="32" t="n">
        <v>1</v>
      </c>
      <c r="G1650" s="33" t="n">
        <v>46017</v>
      </c>
      <c r="H1650" s="33" t="n">
        <v>46017</v>
      </c>
      <c r="I1650" s="31" t="s">
        <v>570</v>
      </c>
      <c r="J1650" s="30" t="s">
        <v>421</v>
      </c>
      <c r="K1650" s="31" t="s">
        <v>428</v>
      </c>
      <c r="L1650" s="32" t="n">
        <v>1</v>
      </c>
      <c r="M1650" s="40" t="s">
        <v>423</v>
      </c>
      <c r="N1650" s="31" t="s">
        <v>514</v>
      </c>
      <c r="O1650" s="32" t="n">
        <v>1</v>
      </c>
      <c r="P1650" s="15" t="n">
        <f aca="false">IF(A1650="","",IF(O1650&lt;&gt;"",O1650,IF(L1650&lt;&gt;"",L1650,F1650)))</f>
        <v>1</v>
      </c>
    </row>
    <row r="1651" customFormat="false" ht="15" hidden="false" customHeight="true" outlineLevel="0" collapsed="false">
      <c r="A1651" s="26" t="s">
        <v>201</v>
      </c>
      <c r="B1651" s="26" t="s">
        <v>202</v>
      </c>
      <c r="C1651" s="14" t="n">
        <f aca="false">IF(A1651="","",IFERROR(VLOOKUP(A1651,'Recert Status'!$A$8:$C$400,3,FALSE()),""))</f>
        <v>46387</v>
      </c>
      <c r="D1651" s="18" t="s">
        <v>1241</v>
      </c>
      <c r="E1651" s="26" t="s">
        <v>372</v>
      </c>
      <c r="F1651" s="27" t="n">
        <v>1</v>
      </c>
      <c r="G1651" s="28" t="n">
        <v>46140</v>
      </c>
      <c r="H1651" s="28" t="n">
        <v>46140</v>
      </c>
      <c r="I1651" s="18" t="s">
        <v>1242</v>
      </c>
      <c r="J1651" s="26" t="s">
        <v>372</v>
      </c>
      <c r="K1651" s="18" t="s">
        <v>374</v>
      </c>
      <c r="L1651" s="27" t="n">
        <v>1</v>
      </c>
      <c r="M1651" s="34" t="s">
        <v>375</v>
      </c>
      <c r="N1651" s="18" t="s">
        <v>376</v>
      </c>
      <c r="O1651" s="27" t="n">
        <v>1</v>
      </c>
      <c r="P1651" s="15" t="n">
        <f aca="false">IF(A1651="","",IF(O1651&lt;&gt;"",O1651,IF(L1651&lt;&gt;"",L1651,F1651)))</f>
        <v>1</v>
      </c>
    </row>
    <row r="1652" customFormat="false" ht="15" hidden="false" customHeight="true" outlineLevel="0" collapsed="false">
      <c r="A1652" s="30" t="s">
        <v>201</v>
      </c>
      <c r="B1652" s="30" t="s">
        <v>202</v>
      </c>
      <c r="C1652" s="21" t="n">
        <f aca="false">IF(A1652="","",IFERROR(VLOOKUP(A1652,'Recert Status'!$A$8:$C$400,3,FALSE()),""))</f>
        <v>46387</v>
      </c>
      <c r="D1652" s="31" t="s">
        <v>908</v>
      </c>
      <c r="E1652" s="30" t="n">
        <v>29668</v>
      </c>
      <c r="F1652" s="32" t="n">
        <v>1</v>
      </c>
      <c r="G1652" s="33" t="n">
        <v>45867</v>
      </c>
      <c r="H1652" s="33" t="n">
        <v>45867</v>
      </c>
      <c r="I1652" s="31" t="s">
        <v>912</v>
      </c>
      <c r="J1652" s="30" t="s">
        <v>511</v>
      </c>
      <c r="K1652" s="31" t="s">
        <v>509</v>
      </c>
      <c r="L1652" s="32" t="n">
        <v>1</v>
      </c>
      <c r="M1652" s="35" t="s">
        <v>386</v>
      </c>
      <c r="N1652" s="31" t="s">
        <v>387</v>
      </c>
      <c r="O1652" s="32" t="n">
        <v>1</v>
      </c>
      <c r="P1652" s="15" t="n">
        <f aca="false">IF(A1652="","",IF(O1652&lt;&gt;"",O1652,IF(L1652&lt;&gt;"",L1652,F1652)))</f>
        <v>1</v>
      </c>
    </row>
    <row r="1653" customFormat="false" ht="15" hidden="false" customHeight="true" outlineLevel="0" collapsed="false">
      <c r="A1653" s="26" t="s">
        <v>201</v>
      </c>
      <c r="B1653" s="26" t="s">
        <v>202</v>
      </c>
      <c r="C1653" s="14" t="n">
        <f aca="false">IF(A1653="","",IFERROR(VLOOKUP(A1653,'Recert Status'!$A$8:$C$400,3,FALSE()),""))</f>
        <v>46387</v>
      </c>
      <c r="D1653" s="18" t="s">
        <v>816</v>
      </c>
      <c r="E1653" s="26" t="s">
        <v>817</v>
      </c>
      <c r="F1653" s="27" t="n">
        <v>2</v>
      </c>
      <c r="G1653" s="28" t="n">
        <v>45882</v>
      </c>
      <c r="H1653" s="28" t="n">
        <v>45882</v>
      </c>
      <c r="I1653" s="18" t="s">
        <v>818</v>
      </c>
      <c r="J1653" s="26" t="s">
        <v>817</v>
      </c>
      <c r="K1653" s="18" t="s">
        <v>819</v>
      </c>
      <c r="L1653" s="27" t="n">
        <v>2</v>
      </c>
      <c r="M1653" s="35" t="s">
        <v>386</v>
      </c>
      <c r="N1653" s="18" t="s">
        <v>387</v>
      </c>
      <c r="O1653" s="27" t="n">
        <v>2</v>
      </c>
      <c r="P1653" s="15" t="n">
        <f aca="false">IF(A1653="","",IF(O1653&lt;&gt;"",O1653,IF(L1653&lt;&gt;"",L1653,F1653)))</f>
        <v>2</v>
      </c>
    </row>
    <row r="1654" customFormat="false" ht="15" hidden="false" customHeight="true" outlineLevel="0" collapsed="false">
      <c r="A1654" s="30" t="s">
        <v>201</v>
      </c>
      <c r="B1654" s="30" t="s">
        <v>202</v>
      </c>
      <c r="C1654" s="21" t="n">
        <f aca="false">IF(A1654="","",IFERROR(VLOOKUP(A1654,'Recert Status'!$A$8:$C$400,3,FALSE()),""))</f>
        <v>46387</v>
      </c>
      <c r="D1654" s="31" t="s">
        <v>571</v>
      </c>
      <c r="E1654" s="30" t="n">
        <v>29675</v>
      </c>
      <c r="F1654" s="32" t="n">
        <v>1</v>
      </c>
      <c r="G1654" s="33" t="n">
        <v>45924</v>
      </c>
      <c r="H1654" s="33" t="n">
        <v>45924</v>
      </c>
      <c r="I1654" s="31" t="s">
        <v>572</v>
      </c>
      <c r="J1654" s="30" t="s">
        <v>406</v>
      </c>
      <c r="K1654" s="31" t="s">
        <v>468</v>
      </c>
      <c r="L1654" s="32" t="n">
        <v>1</v>
      </c>
      <c r="M1654" s="35" t="s">
        <v>386</v>
      </c>
      <c r="N1654" s="31" t="s">
        <v>387</v>
      </c>
      <c r="O1654" s="32" t="n">
        <v>1</v>
      </c>
      <c r="P1654" s="15" t="n">
        <f aca="false">IF(A1654="","",IF(O1654&lt;&gt;"",O1654,IF(L1654&lt;&gt;"",L1654,F1654)))</f>
        <v>1</v>
      </c>
    </row>
    <row r="1655" customFormat="false" ht="15" hidden="false" customHeight="true" outlineLevel="0" collapsed="false">
      <c r="A1655" s="26" t="s">
        <v>201</v>
      </c>
      <c r="B1655" s="26" t="s">
        <v>202</v>
      </c>
      <c r="C1655" s="14" t="n">
        <f aca="false">IF(A1655="","",IFERROR(VLOOKUP(A1655,'Recert Status'!$A$8:$C$400,3,FALSE()),""))</f>
        <v>46387</v>
      </c>
      <c r="D1655" s="18" t="s">
        <v>447</v>
      </c>
      <c r="E1655" s="26" t="n">
        <v>29675</v>
      </c>
      <c r="F1655" s="27" t="n">
        <v>1</v>
      </c>
      <c r="G1655" s="28" t="n">
        <v>45987</v>
      </c>
      <c r="H1655" s="28" t="n">
        <v>45987</v>
      </c>
      <c r="I1655" s="18" t="s">
        <v>683</v>
      </c>
      <c r="J1655" s="26" t="s">
        <v>406</v>
      </c>
      <c r="K1655" s="18" t="s">
        <v>446</v>
      </c>
      <c r="L1655" s="27" t="n">
        <v>1</v>
      </c>
      <c r="M1655" s="35" t="s">
        <v>386</v>
      </c>
      <c r="N1655" s="18" t="s">
        <v>387</v>
      </c>
      <c r="O1655" s="27" t="n">
        <v>1</v>
      </c>
      <c r="P1655" s="15" t="n">
        <f aca="false">IF(A1655="","",IF(O1655&lt;&gt;"",O1655,IF(L1655&lt;&gt;"",L1655,F1655)))</f>
        <v>1</v>
      </c>
    </row>
    <row r="1656" customFormat="false" ht="15" hidden="false" customHeight="true" outlineLevel="0" collapsed="false">
      <c r="A1656" s="30" t="s">
        <v>201</v>
      </c>
      <c r="B1656" s="30" t="s">
        <v>202</v>
      </c>
      <c r="C1656" s="21" t="n">
        <f aca="false">IF(A1656="","",IFERROR(VLOOKUP(A1656,'Recert Status'!$A$8:$C$400,3,FALSE()),""))</f>
        <v>46387</v>
      </c>
      <c r="D1656" s="31" t="s">
        <v>387</v>
      </c>
      <c r="E1656" s="30" t="s">
        <v>389</v>
      </c>
      <c r="F1656" s="32" t="n">
        <v>1</v>
      </c>
      <c r="G1656" s="33" t="n">
        <v>46230</v>
      </c>
      <c r="H1656" s="33" t="n">
        <v>46230</v>
      </c>
      <c r="I1656" s="31" t="s">
        <v>1245</v>
      </c>
      <c r="J1656" s="30" t="s">
        <v>389</v>
      </c>
      <c r="K1656" s="31" t="s">
        <v>451</v>
      </c>
      <c r="L1656" s="32" t="n">
        <v>1</v>
      </c>
      <c r="M1656" s="35" t="s">
        <v>386</v>
      </c>
      <c r="N1656" s="31" t="s">
        <v>387</v>
      </c>
      <c r="O1656" s="32" t="n">
        <v>1</v>
      </c>
      <c r="P1656" s="15" t="n">
        <f aca="false">IF(A1656="","",IF(O1656&lt;&gt;"",O1656,IF(L1656&lt;&gt;"",L1656,F1656)))</f>
        <v>1</v>
      </c>
    </row>
    <row r="1657" customFormat="false" ht="15" hidden="false" customHeight="true" outlineLevel="0" collapsed="false">
      <c r="A1657" s="26" t="s">
        <v>201</v>
      </c>
      <c r="B1657" s="26" t="s">
        <v>202</v>
      </c>
      <c r="C1657" s="14" t="n">
        <f aca="false">IF(A1657="","",IFERROR(VLOOKUP(A1657,'Recert Status'!$A$8:$C$400,3,FALSE()),""))</f>
        <v>46387</v>
      </c>
      <c r="D1657" s="18" t="s">
        <v>397</v>
      </c>
      <c r="E1657" s="26" t="s">
        <v>452</v>
      </c>
      <c r="F1657" s="27" t="n">
        <v>1</v>
      </c>
      <c r="G1657" s="28" t="n">
        <v>46230</v>
      </c>
      <c r="H1657" s="28" t="n">
        <v>46230</v>
      </c>
      <c r="I1657" s="18" t="s">
        <v>1250</v>
      </c>
      <c r="J1657" s="26" t="s">
        <v>452</v>
      </c>
      <c r="K1657" s="18" t="s">
        <v>385</v>
      </c>
      <c r="L1657" s="27" t="n">
        <v>1</v>
      </c>
      <c r="M1657" s="36" t="s">
        <v>396</v>
      </c>
      <c r="N1657" s="18" t="s">
        <v>397</v>
      </c>
      <c r="O1657" s="27" t="n">
        <v>1</v>
      </c>
      <c r="P1657" s="15" t="n">
        <f aca="false">IF(A1657="","",IF(O1657&lt;&gt;"",O1657,IF(L1657&lt;&gt;"",L1657,F1657)))</f>
        <v>1</v>
      </c>
    </row>
    <row r="1658" customFormat="false" ht="15" hidden="false" customHeight="true" outlineLevel="0" collapsed="false">
      <c r="A1658" s="30" t="s">
        <v>201</v>
      </c>
      <c r="B1658" s="30" t="s">
        <v>202</v>
      </c>
      <c r="C1658" s="21" t="n">
        <f aca="false">IF(A1658="","",IFERROR(VLOOKUP(A1658,'Recert Status'!$A$8:$C$400,3,FALSE()),""))</f>
        <v>46387</v>
      </c>
      <c r="D1658" s="31" t="s">
        <v>397</v>
      </c>
      <c r="E1658" s="30" t="s">
        <v>452</v>
      </c>
      <c r="F1658" s="32" t="n">
        <v>2</v>
      </c>
      <c r="G1658" s="33" t="n">
        <v>46236</v>
      </c>
      <c r="H1658" s="33" t="n">
        <v>46236</v>
      </c>
      <c r="I1658" s="31" t="s">
        <v>966</v>
      </c>
      <c r="J1658" s="30" t="s">
        <v>452</v>
      </c>
      <c r="K1658" s="31" t="s">
        <v>385</v>
      </c>
      <c r="L1658" s="32" t="n">
        <v>2</v>
      </c>
      <c r="M1658" s="36" t="s">
        <v>396</v>
      </c>
      <c r="N1658" s="31" t="s">
        <v>397</v>
      </c>
      <c r="O1658" s="32" t="n">
        <v>2</v>
      </c>
      <c r="P1658" s="15" t="n">
        <f aca="false">IF(A1658="","",IF(O1658&lt;&gt;"",O1658,IF(L1658&lt;&gt;"",L1658,F1658)))</f>
        <v>2</v>
      </c>
    </row>
    <row r="1659" customFormat="false" ht="15" hidden="false" customHeight="true" outlineLevel="0" collapsed="false">
      <c r="A1659" s="26" t="s">
        <v>201</v>
      </c>
      <c r="B1659" s="26" t="s">
        <v>202</v>
      </c>
      <c r="C1659" s="14" t="n">
        <f aca="false">IF(A1659="","",IFERROR(VLOOKUP(A1659,'Recert Status'!$A$8:$C$400,3,FALSE()),""))</f>
        <v>46387</v>
      </c>
      <c r="D1659" s="18" t="s">
        <v>397</v>
      </c>
      <c r="E1659" s="26" t="s">
        <v>452</v>
      </c>
      <c r="F1659" s="27" t="n">
        <v>1</v>
      </c>
      <c r="G1659" s="28" t="n">
        <v>46245</v>
      </c>
      <c r="H1659" s="28" t="n">
        <v>46245</v>
      </c>
      <c r="I1659" s="18" t="s">
        <v>605</v>
      </c>
      <c r="J1659" s="26" t="s">
        <v>452</v>
      </c>
      <c r="K1659" s="18" t="s">
        <v>385</v>
      </c>
      <c r="L1659" s="27" t="n">
        <v>1</v>
      </c>
      <c r="M1659" s="36" t="s">
        <v>396</v>
      </c>
      <c r="N1659" s="18" t="s">
        <v>397</v>
      </c>
      <c r="O1659" s="27" t="n">
        <v>1</v>
      </c>
      <c r="P1659" s="15" t="n">
        <f aca="false">IF(A1659="","",IF(O1659&lt;&gt;"",O1659,IF(L1659&lt;&gt;"",L1659,F1659)))</f>
        <v>1</v>
      </c>
    </row>
    <row r="1660" customFormat="false" ht="15" hidden="false" customHeight="true" outlineLevel="0" collapsed="false">
      <c r="A1660" s="30" t="s">
        <v>201</v>
      </c>
      <c r="B1660" s="30" t="s">
        <v>202</v>
      </c>
      <c r="C1660" s="21" t="n">
        <f aca="false">IF(A1660="","",IFERROR(VLOOKUP(A1660,'Recert Status'!$A$8:$C$400,3,FALSE()),""))</f>
        <v>46387</v>
      </c>
      <c r="D1660" s="31" t="s">
        <v>414</v>
      </c>
      <c r="E1660" s="30" t="s">
        <v>416</v>
      </c>
      <c r="F1660" s="32" t="n">
        <v>2</v>
      </c>
      <c r="G1660" s="33" t="n">
        <v>46218</v>
      </c>
      <c r="H1660" s="33" t="n">
        <v>46218</v>
      </c>
      <c r="I1660" s="31" t="s">
        <v>535</v>
      </c>
      <c r="J1660" s="30" t="s">
        <v>416</v>
      </c>
      <c r="K1660" s="31" t="s">
        <v>418</v>
      </c>
      <c r="L1660" s="32" t="n">
        <v>2</v>
      </c>
      <c r="M1660" s="39" t="s">
        <v>413</v>
      </c>
      <c r="N1660" s="31" t="s">
        <v>414</v>
      </c>
      <c r="O1660" s="32" t="n">
        <v>2</v>
      </c>
      <c r="P1660" s="15" t="n">
        <f aca="false">IF(A1660="","",IF(O1660&lt;&gt;"",O1660,IF(L1660&lt;&gt;"",L1660,F1660)))</f>
        <v>2</v>
      </c>
    </row>
    <row r="1661" customFormat="false" ht="15" hidden="false" customHeight="true" outlineLevel="0" collapsed="false">
      <c r="A1661" s="26" t="s">
        <v>203</v>
      </c>
      <c r="B1661" s="26" t="s">
        <v>204</v>
      </c>
      <c r="C1661" s="14" t="n">
        <f aca="false">IF(A1661="","",IFERROR(VLOOKUP(A1661,'Recert Status'!$A$8:$C$400,3,FALSE()),""))</f>
        <v>46752</v>
      </c>
      <c r="D1661" s="18" t="s">
        <v>756</v>
      </c>
      <c r="E1661" s="26" t="s">
        <v>363</v>
      </c>
      <c r="F1661" s="27" t="n">
        <v>1</v>
      </c>
      <c r="G1661" s="28" t="n">
        <v>46165</v>
      </c>
      <c r="H1661" s="28" t="n">
        <v>46165</v>
      </c>
      <c r="I1661" s="18" t="s">
        <v>757</v>
      </c>
      <c r="J1661" s="26" t="s">
        <v>363</v>
      </c>
      <c r="K1661" s="18" t="s">
        <v>365</v>
      </c>
      <c r="L1661" s="27" t="n">
        <v>1</v>
      </c>
      <c r="M1661" s="29" t="s">
        <v>366</v>
      </c>
      <c r="N1661" s="18" t="s">
        <v>367</v>
      </c>
      <c r="O1661" s="27" t="n">
        <v>1</v>
      </c>
      <c r="P1661" s="15" t="n">
        <f aca="false">IF(A1661="","",IF(O1661&lt;&gt;"",O1661,IF(L1661&lt;&gt;"",L1661,F1661)))</f>
        <v>1</v>
      </c>
    </row>
    <row r="1662" customFormat="false" ht="15" hidden="false" customHeight="true" outlineLevel="0" collapsed="false">
      <c r="A1662" s="30" t="s">
        <v>203</v>
      </c>
      <c r="B1662" s="30" t="s">
        <v>204</v>
      </c>
      <c r="C1662" s="21" t="n">
        <f aca="false">IF(A1662="","",IFERROR(VLOOKUP(A1662,'Recert Status'!$A$8:$C$400,3,FALSE()),""))</f>
        <v>46752</v>
      </c>
      <c r="D1662" s="31" t="s">
        <v>632</v>
      </c>
      <c r="E1662" s="30" t="n">
        <v>29675</v>
      </c>
      <c r="F1662" s="32" t="n">
        <v>0.5</v>
      </c>
      <c r="G1662" s="33" t="n">
        <v>45855</v>
      </c>
      <c r="H1662" s="33" t="n">
        <v>45855</v>
      </c>
      <c r="I1662" s="31" t="s">
        <v>633</v>
      </c>
      <c r="J1662" s="30" t="s">
        <v>406</v>
      </c>
      <c r="K1662" s="31" t="s">
        <v>422</v>
      </c>
      <c r="L1662" s="32" t="n">
        <v>0.5</v>
      </c>
      <c r="M1662" s="40" t="s">
        <v>423</v>
      </c>
      <c r="N1662" s="31" t="s">
        <v>424</v>
      </c>
      <c r="O1662" s="32" t="n">
        <v>0.5</v>
      </c>
      <c r="P1662" s="15" t="n">
        <f aca="false">IF(A1662="","",IF(O1662&lt;&gt;"",O1662,IF(L1662&lt;&gt;"",L1662,F1662)))</f>
        <v>0.5</v>
      </c>
    </row>
    <row r="1663" customFormat="false" ht="15" hidden="false" customHeight="true" outlineLevel="0" collapsed="false">
      <c r="A1663" s="26" t="s">
        <v>203</v>
      </c>
      <c r="B1663" s="26" t="s">
        <v>204</v>
      </c>
      <c r="C1663" s="14" t="n">
        <f aca="false">IF(A1663="","",IFERROR(VLOOKUP(A1663,'Recert Status'!$A$8:$C$400,3,FALSE()),""))</f>
        <v>46752</v>
      </c>
      <c r="D1663" s="18" t="s">
        <v>508</v>
      </c>
      <c r="E1663" s="26" t="s">
        <v>426</v>
      </c>
      <c r="F1663" s="27" t="n">
        <v>1.5</v>
      </c>
      <c r="G1663" s="28" t="n">
        <v>45973</v>
      </c>
      <c r="H1663" s="28" t="n">
        <v>45973</v>
      </c>
      <c r="I1663" s="18" t="s">
        <v>731</v>
      </c>
      <c r="J1663" s="26" t="s">
        <v>426</v>
      </c>
      <c r="K1663" s="18" t="s">
        <v>428</v>
      </c>
      <c r="L1663" s="27" t="n">
        <v>1.5</v>
      </c>
      <c r="M1663" s="41" t="s">
        <v>429</v>
      </c>
      <c r="N1663" s="18" t="s">
        <v>430</v>
      </c>
      <c r="O1663" s="27" t="n">
        <v>1.5</v>
      </c>
      <c r="P1663" s="15" t="n">
        <f aca="false">IF(A1663="","",IF(O1663&lt;&gt;"",O1663,IF(L1663&lt;&gt;"",L1663,F1663)))</f>
        <v>1.5</v>
      </c>
    </row>
    <row r="1664" customFormat="false" ht="15" hidden="false" customHeight="true" outlineLevel="0" collapsed="false">
      <c r="A1664" s="30" t="s">
        <v>203</v>
      </c>
      <c r="B1664" s="30" t="s">
        <v>204</v>
      </c>
      <c r="C1664" s="21" t="n">
        <f aca="false">IF(A1664="","",IFERROR(VLOOKUP(A1664,'Recert Status'!$A$8:$C$400,3,FALSE()),""))</f>
        <v>46752</v>
      </c>
      <c r="D1664" s="31" t="s">
        <v>913</v>
      </c>
      <c r="E1664" s="30" t="s">
        <v>389</v>
      </c>
      <c r="F1664" s="32" t="n">
        <v>1</v>
      </c>
      <c r="G1664" s="33" t="n">
        <v>45971</v>
      </c>
      <c r="H1664" s="33" t="n">
        <v>45971</v>
      </c>
      <c r="I1664" s="31" t="s">
        <v>445</v>
      </c>
      <c r="J1664" s="30" t="s">
        <v>389</v>
      </c>
      <c r="K1664" s="31" t="s">
        <v>446</v>
      </c>
      <c r="L1664" s="32" t="n">
        <v>1</v>
      </c>
      <c r="M1664" s="35" t="s">
        <v>386</v>
      </c>
      <c r="N1664" s="31" t="s">
        <v>387</v>
      </c>
      <c r="O1664" s="32" t="n">
        <v>1</v>
      </c>
      <c r="P1664" s="15" t="n">
        <f aca="false">IF(A1664="","",IF(O1664&lt;&gt;"",O1664,IF(L1664&lt;&gt;"",L1664,F1664)))</f>
        <v>1</v>
      </c>
    </row>
    <row r="1665" customFormat="false" ht="15" hidden="false" customHeight="true" outlineLevel="0" collapsed="false">
      <c r="A1665" s="26" t="s">
        <v>203</v>
      </c>
      <c r="B1665" s="26" t="s">
        <v>204</v>
      </c>
      <c r="C1665" s="14" t="n">
        <f aca="false">IF(A1665="","",IFERROR(VLOOKUP(A1665,'Recert Status'!$A$8:$C$400,3,FALSE()),""))</f>
        <v>46752</v>
      </c>
      <c r="D1665" s="18" t="s">
        <v>914</v>
      </c>
      <c r="E1665" s="26" t="n">
        <v>29675</v>
      </c>
      <c r="F1665" s="27" t="n">
        <v>2</v>
      </c>
      <c r="G1665" s="28" t="n">
        <v>45971</v>
      </c>
      <c r="H1665" s="28" t="n">
        <v>45971</v>
      </c>
      <c r="I1665" s="18" t="s">
        <v>915</v>
      </c>
      <c r="J1665" s="26" t="s">
        <v>406</v>
      </c>
      <c r="K1665" s="18" t="s">
        <v>630</v>
      </c>
      <c r="L1665" s="27" t="n">
        <v>2</v>
      </c>
      <c r="M1665" s="35" t="s">
        <v>386</v>
      </c>
      <c r="N1665" s="18" t="s">
        <v>387</v>
      </c>
      <c r="O1665" s="27" t="n">
        <v>2</v>
      </c>
      <c r="P1665" s="15" t="n">
        <f aca="false">IF(A1665="","",IF(O1665&lt;&gt;"",O1665,IF(L1665&lt;&gt;"",L1665,F1665)))</f>
        <v>2</v>
      </c>
    </row>
    <row r="1666" customFormat="false" ht="15" hidden="false" customHeight="true" outlineLevel="0" collapsed="false">
      <c r="A1666" s="30" t="s">
        <v>203</v>
      </c>
      <c r="B1666" s="30" t="s">
        <v>204</v>
      </c>
      <c r="C1666" s="21" t="n">
        <f aca="false">IF(A1666="","",IFERROR(VLOOKUP(A1666,'Recert Status'!$A$8:$C$400,3,FALSE()),""))</f>
        <v>46752</v>
      </c>
      <c r="D1666" s="31" t="s">
        <v>741</v>
      </c>
      <c r="E1666" s="30" t="s">
        <v>389</v>
      </c>
      <c r="F1666" s="32" t="n">
        <v>1</v>
      </c>
      <c r="G1666" s="33" t="n">
        <v>45973</v>
      </c>
      <c r="H1666" s="33" t="n">
        <v>45973</v>
      </c>
      <c r="I1666" s="31" t="s">
        <v>731</v>
      </c>
      <c r="J1666" s="30" t="s">
        <v>389</v>
      </c>
      <c r="K1666" s="31" t="s">
        <v>509</v>
      </c>
      <c r="L1666" s="32" t="n">
        <v>1</v>
      </c>
      <c r="M1666" s="35" t="s">
        <v>386</v>
      </c>
      <c r="N1666" s="31" t="s">
        <v>387</v>
      </c>
      <c r="O1666" s="32" t="n">
        <v>1</v>
      </c>
      <c r="P1666" s="15" t="n">
        <f aca="false">IF(A1666="","",IF(O1666&lt;&gt;"",O1666,IF(L1666&lt;&gt;"",L1666,F1666)))</f>
        <v>1</v>
      </c>
    </row>
    <row r="1667" customFormat="false" ht="15" hidden="false" customHeight="true" outlineLevel="0" collapsed="false">
      <c r="A1667" s="26" t="s">
        <v>203</v>
      </c>
      <c r="B1667" s="26" t="s">
        <v>204</v>
      </c>
      <c r="C1667" s="14" t="n">
        <f aca="false">IF(A1667="","",IFERROR(VLOOKUP(A1667,'Recert Status'!$A$8:$C$400,3,FALSE()),""))</f>
        <v>46752</v>
      </c>
      <c r="D1667" s="18" t="s">
        <v>1027</v>
      </c>
      <c r="E1667" s="26" t="s">
        <v>1028</v>
      </c>
      <c r="F1667" s="27" t="n">
        <v>1</v>
      </c>
      <c r="G1667" s="28" t="n">
        <v>45973</v>
      </c>
      <c r="H1667" s="28" t="n">
        <v>45973</v>
      </c>
      <c r="I1667" s="18" t="s">
        <v>1029</v>
      </c>
      <c r="J1667" s="26" t="s">
        <v>1028</v>
      </c>
      <c r="K1667" s="18" t="s">
        <v>766</v>
      </c>
      <c r="L1667" s="27" t="n">
        <v>1</v>
      </c>
      <c r="M1667" s="35" t="s">
        <v>386</v>
      </c>
      <c r="N1667" s="18" t="s">
        <v>514</v>
      </c>
      <c r="O1667" s="27" t="n">
        <v>1</v>
      </c>
      <c r="P1667" s="15" t="n">
        <f aca="false">IF(A1667="","",IF(O1667&lt;&gt;"",O1667,IF(L1667&lt;&gt;"",L1667,F1667)))</f>
        <v>1</v>
      </c>
    </row>
    <row r="1668" customFormat="false" ht="15" hidden="false" customHeight="true" outlineLevel="0" collapsed="false">
      <c r="A1668" s="30" t="s">
        <v>203</v>
      </c>
      <c r="B1668" s="30" t="s">
        <v>204</v>
      </c>
      <c r="C1668" s="21" t="n">
        <f aca="false">IF(A1668="","",IFERROR(VLOOKUP(A1668,'Recert Status'!$A$8:$C$400,3,FALSE()),""))</f>
        <v>46752</v>
      </c>
      <c r="D1668" s="31" t="s">
        <v>742</v>
      </c>
      <c r="E1668" s="30" t="n">
        <v>29668</v>
      </c>
      <c r="F1668" s="32" t="n">
        <v>1.5</v>
      </c>
      <c r="G1668" s="33" t="n">
        <v>45973</v>
      </c>
      <c r="H1668" s="33" t="n">
        <v>45973</v>
      </c>
      <c r="I1668" s="31" t="s">
        <v>743</v>
      </c>
      <c r="J1668" s="30" t="s">
        <v>511</v>
      </c>
      <c r="K1668" s="31" t="s">
        <v>509</v>
      </c>
      <c r="L1668" s="32" t="n">
        <v>1.5</v>
      </c>
      <c r="M1668" s="35" t="s">
        <v>386</v>
      </c>
      <c r="N1668" s="31" t="s">
        <v>387</v>
      </c>
      <c r="O1668" s="32" t="n">
        <v>1.5</v>
      </c>
      <c r="P1668" s="15" t="n">
        <f aca="false">IF(A1668="","",IF(O1668&lt;&gt;"",O1668,IF(L1668&lt;&gt;"",L1668,F1668)))</f>
        <v>1.5</v>
      </c>
    </row>
    <row r="1669" customFormat="false" ht="15" hidden="false" customHeight="true" outlineLevel="0" collapsed="false">
      <c r="A1669" s="26" t="s">
        <v>203</v>
      </c>
      <c r="B1669" s="26" t="s">
        <v>204</v>
      </c>
      <c r="C1669" s="14" t="n">
        <f aca="false">IF(A1669="","",IFERROR(VLOOKUP(A1669,'Recert Status'!$A$8:$C$400,3,FALSE()),""))</f>
        <v>46752</v>
      </c>
      <c r="D1669" s="18" t="s">
        <v>682</v>
      </c>
      <c r="E1669" s="26" t="n">
        <v>29675</v>
      </c>
      <c r="F1669" s="27" t="n">
        <v>1</v>
      </c>
      <c r="G1669" s="28" t="n">
        <v>45985</v>
      </c>
      <c r="H1669" s="28" t="n">
        <v>45985</v>
      </c>
      <c r="I1669" s="18" t="s">
        <v>1074</v>
      </c>
      <c r="J1669" s="26" t="s">
        <v>406</v>
      </c>
      <c r="K1669" s="18" t="s">
        <v>446</v>
      </c>
      <c r="L1669" s="27" t="n">
        <v>1</v>
      </c>
      <c r="M1669" s="35" t="s">
        <v>386</v>
      </c>
      <c r="N1669" s="18" t="s">
        <v>387</v>
      </c>
      <c r="O1669" s="27" t="n">
        <v>1</v>
      </c>
      <c r="P1669" s="15" t="n">
        <f aca="false">IF(A1669="","",IF(O1669&lt;&gt;"",O1669,IF(L1669&lt;&gt;"",L1669,F1669)))</f>
        <v>1</v>
      </c>
    </row>
    <row r="1670" customFormat="false" ht="15" hidden="false" customHeight="true" outlineLevel="0" collapsed="false">
      <c r="A1670" s="30" t="s">
        <v>203</v>
      </c>
      <c r="B1670" s="30" t="s">
        <v>204</v>
      </c>
      <c r="C1670" s="21" t="n">
        <f aca="false">IF(A1670="","",IFERROR(VLOOKUP(A1670,'Recert Status'!$A$8:$C$400,3,FALSE()),""))</f>
        <v>46752</v>
      </c>
      <c r="D1670" s="31" t="s">
        <v>449</v>
      </c>
      <c r="E1670" s="30" t="n">
        <v>29675</v>
      </c>
      <c r="F1670" s="32" t="n">
        <v>3</v>
      </c>
      <c r="G1670" s="33" t="n">
        <v>46078</v>
      </c>
      <c r="H1670" s="33" t="n">
        <v>46078</v>
      </c>
      <c r="I1670" s="31" t="s">
        <v>1135</v>
      </c>
      <c r="J1670" s="30" t="s">
        <v>406</v>
      </c>
      <c r="K1670" s="31" t="s">
        <v>1136</v>
      </c>
      <c r="L1670" s="32" t="n">
        <v>3</v>
      </c>
      <c r="M1670" s="35" t="s">
        <v>386</v>
      </c>
      <c r="N1670" s="31" t="s">
        <v>387</v>
      </c>
      <c r="O1670" s="32" t="n">
        <v>3</v>
      </c>
      <c r="P1670" s="15" t="n">
        <f aca="false">IF(A1670="","",IF(O1670&lt;&gt;"",O1670,IF(L1670&lt;&gt;"",L1670,F1670)))</f>
        <v>3</v>
      </c>
    </row>
    <row r="1671" customFormat="false" ht="15" hidden="false" customHeight="true" outlineLevel="0" collapsed="false">
      <c r="A1671" s="26" t="s">
        <v>203</v>
      </c>
      <c r="B1671" s="26" t="s">
        <v>204</v>
      </c>
      <c r="C1671" s="14" t="n">
        <f aca="false">IF(A1671="","",IFERROR(VLOOKUP(A1671,'Recert Status'!$A$8:$C$400,3,FALSE()),""))</f>
        <v>46752</v>
      </c>
      <c r="D1671" s="18" t="s">
        <v>773</v>
      </c>
      <c r="E1671" s="26" t="s">
        <v>389</v>
      </c>
      <c r="F1671" s="27" t="n">
        <v>1</v>
      </c>
      <c r="G1671" s="28" t="n">
        <v>46165</v>
      </c>
      <c r="H1671" s="28" t="n">
        <v>46165</v>
      </c>
      <c r="I1671" s="18" t="s">
        <v>774</v>
      </c>
      <c r="J1671" s="26" t="s">
        <v>389</v>
      </c>
      <c r="K1671" s="18" t="s">
        <v>395</v>
      </c>
      <c r="L1671" s="27" t="n">
        <v>1</v>
      </c>
      <c r="M1671" s="35" t="s">
        <v>386</v>
      </c>
      <c r="N1671" s="18" t="s">
        <v>387</v>
      </c>
      <c r="O1671" s="27" t="n">
        <v>1</v>
      </c>
      <c r="P1671" s="15" t="n">
        <f aca="false">IF(A1671="","",IF(O1671&lt;&gt;"",O1671,IF(L1671&lt;&gt;"",L1671,F1671)))</f>
        <v>1</v>
      </c>
    </row>
    <row r="1672" customFormat="false" ht="15" hidden="false" customHeight="true" outlineLevel="0" collapsed="false">
      <c r="A1672" s="30" t="s">
        <v>203</v>
      </c>
      <c r="B1672" s="30" t="s">
        <v>204</v>
      </c>
      <c r="C1672" s="21" t="n">
        <f aca="false">IF(A1672="","",IFERROR(VLOOKUP(A1672,'Recert Status'!$A$8:$C$400,3,FALSE()),""))</f>
        <v>46752</v>
      </c>
      <c r="D1672" s="31" t="s">
        <v>474</v>
      </c>
      <c r="E1672" s="30" t="s">
        <v>389</v>
      </c>
      <c r="F1672" s="32" t="n">
        <v>1</v>
      </c>
      <c r="G1672" s="33" t="n">
        <v>46204</v>
      </c>
      <c r="H1672" s="33" t="n">
        <v>46204</v>
      </c>
      <c r="I1672" s="31" t="s">
        <v>475</v>
      </c>
      <c r="J1672" s="30" t="s">
        <v>389</v>
      </c>
      <c r="K1672" s="31" t="s">
        <v>476</v>
      </c>
      <c r="L1672" s="32" t="n">
        <v>1</v>
      </c>
      <c r="M1672" s="35" t="s">
        <v>386</v>
      </c>
      <c r="N1672" s="31" t="s">
        <v>387</v>
      </c>
      <c r="O1672" s="32" t="n">
        <v>1</v>
      </c>
      <c r="P1672" s="15" t="n">
        <f aca="false">IF(A1672="","",IF(O1672&lt;&gt;"",O1672,IF(L1672&lt;&gt;"",L1672,F1672)))</f>
        <v>1</v>
      </c>
    </row>
    <row r="1673" customFormat="false" ht="15" hidden="false" customHeight="true" outlineLevel="0" collapsed="false">
      <c r="A1673" s="26" t="s">
        <v>203</v>
      </c>
      <c r="B1673" s="26" t="s">
        <v>204</v>
      </c>
      <c r="C1673" s="14" t="n">
        <f aca="false">IF(A1673="","",IFERROR(VLOOKUP(A1673,'Recert Status'!$A$8:$C$400,3,FALSE()),""))</f>
        <v>46752</v>
      </c>
      <c r="D1673" s="18" t="s">
        <v>744</v>
      </c>
      <c r="E1673" s="26" t="s">
        <v>452</v>
      </c>
      <c r="F1673" s="27" t="n">
        <v>4</v>
      </c>
      <c r="G1673" s="28" t="n">
        <v>45973</v>
      </c>
      <c r="H1673" s="28" t="n">
        <v>45973</v>
      </c>
      <c r="I1673" s="18" t="s">
        <v>731</v>
      </c>
      <c r="J1673" s="26" t="s">
        <v>452</v>
      </c>
      <c r="K1673" s="18" t="s">
        <v>385</v>
      </c>
      <c r="L1673" s="27" t="n">
        <v>4</v>
      </c>
      <c r="M1673" s="36" t="s">
        <v>396</v>
      </c>
      <c r="N1673" s="18" t="s">
        <v>397</v>
      </c>
      <c r="O1673" s="27" t="n">
        <v>4</v>
      </c>
      <c r="P1673" s="15" t="n">
        <f aca="false">IF(A1673="","",IF(O1673&lt;&gt;"",O1673,IF(L1673&lt;&gt;"",L1673,F1673)))</f>
        <v>4</v>
      </c>
    </row>
    <row r="1674" customFormat="false" ht="15" hidden="false" customHeight="true" outlineLevel="0" collapsed="false">
      <c r="A1674" s="30" t="s">
        <v>203</v>
      </c>
      <c r="B1674" s="30" t="s">
        <v>204</v>
      </c>
      <c r="C1674" s="21" t="n">
        <f aca="false">IF(A1674="","",IFERROR(VLOOKUP(A1674,'Recert Status'!$A$8:$C$400,3,FALSE()),""))</f>
        <v>46752</v>
      </c>
      <c r="D1674" s="31" t="s">
        <v>397</v>
      </c>
      <c r="E1674" s="30" t="s">
        <v>452</v>
      </c>
      <c r="F1674" s="32" t="n">
        <v>1</v>
      </c>
      <c r="G1674" s="33" t="n">
        <v>46246</v>
      </c>
      <c r="H1674" s="33" t="n">
        <v>46246</v>
      </c>
      <c r="I1674" s="31" t="s">
        <v>478</v>
      </c>
      <c r="J1674" s="30" t="s">
        <v>452</v>
      </c>
      <c r="K1674" s="31" t="s">
        <v>385</v>
      </c>
      <c r="L1674" s="32" t="n">
        <v>1</v>
      </c>
      <c r="M1674" s="36" t="s">
        <v>396</v>
      </c>
      <c r="N1674" s="31" t="s">
        <v>397</v>
      </c>
      <c r="O1674" s="32" t="n">
        <v>1</v>
      </c>
      <c r="P1674" s="15" t="n">
        <f aca="false">IF(A1674="","",IF(O1674&lt;&gt;"",O1674,IF(L1674&lt;&gt;"",L1674,F1674)))</f>
        <v>1</v>
      </c>
    </row>
    <row r="1675" customFormat="false" ht="15" hidden="false" customHeight="true" outlineLevel="0" collapsed="false">
      <c r="A1675" s="26" t="s">
        <v>203</v>
      </c>
      <c r="B1675" s="26" t="s">
        <v>204</v>
      </c>
      <c r="C1675" s="14" t="n">
        <f aca="false">IF(A1675="","",IFERROR(VLOOKUP(A1675,'Recert Status'!$A$8:$C$400,3,FALSE()),""))</f>
        <v>46752</v>
      </c>
      <c r="D1675" s="18" t="s">
        <v>717</v>
      </c>
      <c r="E1675" s="26" t="s">
        <v>416</v>
      </c>
      <c r="F1675" s="27" t="n">
        <v>2</v>
      </c>
      <c r="G1675" s="28" t="n">
        <v>45859</v>
      </c>
      <c r="H1675" s="28" t="n">
        <v>45859</v>
      </c>
      <c r="I1675" s="18" t="s">
        <v>718</v>
      </c>
      <c r="J1675" s="26" t="s">
        <v>416</v>
      </c>
      <c r="K1675" s="18" t="s">
        <v>418</v>
      </c>
      <c r="L1675" s="27" t="n">
        <v>2</v>
      </c>
      <c r="M1675" s="39" t="s">
        <v>413</v>
      </c>
      <c r="N1675" s="18" t="s">
        <v>414</v>
      </c>
      <c r="O1675" s="27" t="n">
        <v>2</v>
      </c>
      <c r="P1675" s="15" t="n">
        <f aca="false">IF(A1675="","",IF(O1675&lt;&gt;"",O1675,IF(L1675&lt;&gt;"",L1675,F1675)))</f>
        <v>2</v>
      </c>
    </row>
    <row r="1676" customFormat="false" ht="15" hidden="false" customHeight="true" outlineLevel="0" collapsed="false">
      <c r="A1676" s="30" t="s">
        <v>203</v>
      </c>
      <c r="B1676" s="30" t="s">
        <v>204</v>
      </c>
      <c r="C1676" s="21" t="n">
        <f aca="false">IF(A1676="","",IFERROR(VLOOKUP(A1676,'Recert Status'!$A$8:$C$400,3,FALSE()),""))</f>
        <v>46752</v>
      </c>
      <c r="D1676" s="31" t="s">
        <v>488</v>
      </c>
      <c r="E1676" s="30" t="s">
        <v>416</v>
      </c>
      <c r="F1676" s="32" t="n">
        <v>1</v>
      </c>
      <c r="G1676" s="33" t="n">
        <v>46126</v>
      </c>
      <c r="H1676" s="33" t="n">
        <v>46126</v>
      </c>
      <c r="I1676" s="31" t="s">
        <v>489</v>
      </c>
      <c r="J1676" s="30" t="s">
        <v>416</v>
      </c>
      <c r="K1676" s="31" t="s">
        <v>490</v>
      </c>
      <c r="L1676" s="32" t="n">
        <v>1</v>
      </c>
      <c r="M1676" s="39" t="s">
        <v>413</v>
      </c>
      <c r="N1676" s="31" t="s">
        <v>414</v>
      </c>
      <c r="O1676" s="32" t="n">
        <v>1</v>
      </c>
      <c r="P1676" s="15" t="n">
        <f aca="false">IF(A1676="","",IF(O1676&lt;&gt;"",O1676,IF(L1676&lt;&gt;"",L1676,F1676)))</f>
        <v>1</v>
      </c>
    </row>
    <row r="1677" customFormat="false" ht="15" hidden="false" customHeight="true" outlineLevel="0" collapsed="false">
      <c r="A1677" s="26" t="s">
        <v>205</v>
      </c>
      <c r="B1677" s="26" t="s">
        <v>206</v>
      </c>
      <c r="C1677" s="14" t="n">
        <f aca="false">IF(A1677="","",IFERROR(VLOOKUP(A1677,'Recert Status'!$A$8:$C$400,3,FALSE()),""))</f>
        <v>46387</v>
      </c>
      <c r="D1677" s="18" t="s">
        <v>946</v>
      </c>
      <c r="E1677" s="26" t="s">
        <v>363</v>
      </c>
      <c r="F1677" s="27" t="n">
        <v>1</v>
      </c>
      <c r="G1677" s="28" t="n">
        <v>45867</v>
      </c>
      <c r="H1677" s="28" t="n">
        <v>45867</v>
      </c>
      <c r="I1677" s="18" t="s">
        <v>947</v>
      </c>
      <c r="J1677" s="26" t="s">
        <v>363</v>
      </c>
      <c r="K1677" s="18" t="s">
        <v>370</v>
      </c>
      <c r="L1677" s="27" t="n">
        <v>1</v>
      </c>
      <c r="M1677" s="29" t="s">
        <v>366</v>
      </c>
      <c r="N1677" s="18" t="s">
        <v>367</v>
      </c>
      <c r="O1677" s="27" t="n">
        <v>1</v>
      </c>
      <c r="P1677" s="15" t="n">
        <f aca="false">IF(A1677="","",IF(O1677&lt;&gt;"",O1677,IF(L1677&lt;&gt;"",L1677,F1677)))</f>
        <v>1</v>
      </c>
    </row>
    <row r="1678" customFormat="false" ht="15" hidden="false" customHeight="true" outlineLevel="0" collapsed="false">
      <c r="A1678" s="30" t="s">
        <v>205</v>
      </c>
      <c r="B1678" s="30" t="s">
        <v>206</v>
      </c>
      <c r="C1678" s="21" t="n">
        <f aca="false">IF(A1678="","",IFERROR(VLOOKUP(A1678,'Recert Status'!$A$8:$C$400,3,FALSE()),""))</f>
        <v>46387</v>
      </c>
      <c r="D1678" s="31" t="s">
        <v>949</v>
      </c>
      <c r="E1678" s="30" t="s">
        <v>542</v>
      </c>
      <c r="F1678" s="32" t="n">
        <v>1</v>
      </c>
      <c r="G1678" s="33" t="n">
        <v>46056</v>
      </c>
      <c r="H1678" s="33" t="n">
        <v>46056</v>
      </c>
      <c r="I1678" s="31" t="s">
        <v>950</v>
      </c>
      <c r="J1678" s="30" t="s">
        <v>542</v>
      </c>
      <c r="K1678" s="31" t="s">
        <v>422</v>
      </c>
      <c r="L1678" s="32" t="n">
        <v>1</v>
      </c>
      <c r="M1678" s="40" t="s">
        <v>423</v>
      </c>
      <c r="N1678" s="31" t="s">
        <v>424</v>
      </c>
      <c r="O1678" s="32" t="n">
        <v>1</v>
      </c>
      <c r="P1678" s="15" t="n">
        <f aca="false">IF(A1678="","",IF(O1678&lt;&gt;"",O1678,IF(L1678&lt;&gt;"",L1678,F1678)))</f>
        <v>1</v>
      </c>
    </row>
    <row r="1679" customFormat="false" ht="15" hidden="false" customHeight="true" outlineLevel="0" collapsed="false">
      <c r="A1679" s="26" t="s">
        <v>205</v>
      </c>
      <c r="B1679" s="26" t="s">
        <v>206</v>
      </c>
      <c r="C1679" s="14" t="n">
        <f aca="false">IF(A1679="","",IFERROR(VLOOKUP(A1679,'Recert Status'!$A$8:$C$400,3,FALSE()),""))</f>
        <v>46387</v>
      </c>
      <c r="D1679" s="18" t="s">
        <v>951</v>
      </c>
      <c r="E1679" s="26" t="s">
        <v>426</v>
      </c>
      <c r="F1679" s="27" t="n">
        <v>1</v>
      </c>
      <c r="G1679" s="28" t="n">
        <v>45912</v>
      </c>
      <c r="H1679" s="28" t="n">
        <v>45912</v>
      </c>
      <c r="I1679" s="18" t="s">
        <v>952</v>
      </c>
      <c r="J1679" s="26" t="s">
        <v>426</v>
      </c>
      <c r="K1679" s="18" t="s">
        <v>428</v>
      </c>
      <c r="L1679" s="27" t="n">
        <v>1</v>
      </c>
      <c r="M1679" s="41" t="s">
        <v>429</v>
      </c>
      <c r="N1679" s="18" t="s">
        <v>430</v>
      </c>
      <c r="O1679" s="27" t="n">
        <v>1</v>
      </c>
      <c r="P1679" s="15" t="n">
        <f aca="false">IF(A1679="","",IF(O1679&lt;&gt;"",O1679,IF(L1679&lt;&gt;"",L1679,F1679)))</f>
        <v>1</v>
      </c>
    </row>
    <row r="1680" customFormat="false" ht="15" hidden="false" customHeight="true" outlineLevel="0" collapsed="false">
      <c r="A1680" s="30" t="s">
        <v>205</v>
      </c>
      <c r="B1680" s="30" t="s">
        <v>206</v>
      </c>
      <c r="C1680" s="21" t="n">
        <f aca="false">IF(A1680="","",IFERROR(VLOOKUP(A1680,'Recert Status'!$A$8:$C$400,3,FALSE()),""))</f>
        <v>46387</v>
      </c>
      <c r="D1680" s="31" t="s">
        <v>430</v>
      </c>
      <c r="E1680" s="30" t="s">
        <v>426</v>
      </c>
      <c r="F1680" s="32" t="n">
        <v>2</v>
      </c>
      <c r="G1680" s="33" t="n">
        <v>46261</v>
      </c>
      <c r="H1680" s="33" t="n">
        <v>46261</v>
      </c>
      <c r="I1680" s="31" t="s">
        <v>1430</v>
      </c>
      <c r="J1680" s="30" t="s">
        <v>426</v>
      </c>
      <c r="K1680" s="31" t="s">
        <v>428</v>
      </c>
      <c r="L1680" s="32" t="n">
        <v>2</v>
      </c>
      <c r="M1680" s="41" t="s">
        <v>429</v>
      </c>
      <c r="N1680" s="31" t="s">
        <v>430</v>
      </c>
      <c r="O1680" s="32" t="n">
        <v>2</v>
      </c>
      <c r="P1680" s="15" t="n">
        <f aca="false">IF(A1680="","",IF(O1680&lt;&gt;"",O1680,IF(L1680&lt;&gt;"",L1680,F1680)))</f>
        <v>2</v>
      </c>
    </row>
    <row r="1681" customFormat="false" ht="15" hidden="false" customHeight="true" outlineLevel="0" collapsed="false">
      <c r="A1681" s="26" t="s">
        <v>205</v>
      </c>
      <c r="B1681" s="26" t="s">
        <v>206</v>
      </c>
      <c r="C1681" s="14" t="n">
        <f aca="false">IF(A1681="","",IFERROR(VLOOKUP(A1681,'Recert Status'!$A$8:$C$400,3,FALSE()),""))</f>
        <v>46387</v>
      </c>
      <c r="D1681" s="18" t="s">
        <v>953</v>
      </c>
      <c r="E1681" s="26" t="n">
        <v>29668</v>
      </c>
      <c r="F1681" s="27" t="n">
        <v>1</v>
      </c>
      <c r="G1681" s="28" t="n">
        <v>45867</v>
      </c>
      <c r="H1681" s="28" t="n">
        <v>45867</v>
      </c>
      <c r="I1681" s="18" t="s">
        <v>954</v>
      </c>
      <c r="J1681" s="26" t="s">
        <v>511</v>
      </c>
      <c r="K1681" s="18" t="s">
        <v>509</v>
      </c>
      <c r="L1681" s="27" t="n">
        <v>1</v>
      </c>
      <c r="M1681" s="35" t="s">
        <v>386</v>
      </c>
      <c r="N1681" s="18" t="s">
        <v>387</v>
      </c>
      <c r="O1681" s="27" t="n">
        <v>1</v>
      </c>
      <c r="P1681" s="15" t="n">
        <f aca="false">IF(A1681="","",IF(O1681&lt;&gt;"",O1681,IF(L1681&lt;&gt;"",L1681,F1681)))</f>
        <v>1</v>
      </c>
    </row>
    <row r="1682" customFormat="false" ht="15" hidden="false" customHeight="true" outlineLevel="0" collapsed="false">
      <c r="A1682" s="30" t="s">
        <v>205</v>
      </c>
      <c r="B1682" s="30" t="s">
        <v>206</v>
      </c>
      <c r="C1682" s="21" t="n">
        <f aca="false">IF(A1682="","",IFERROR(VLOOKUP(A1682,'Recert Status'!$A$8:$C$400,3,FALSE()),""))</f>
        <v>46387</v>
      </c>
      <c r="D1682" s="31" t="s">
        <v>816</v>
      </c>
      <c r="E1682" s="30" t="s">
        <v>817</v>
      </c>
      <c r="F1682" s="32" t="n">
        <v>2</v>
      </c>
      <c r="G1682" s="33" t="n">
        <v>45882</v>
      </c>
      <c r="H1682" s="33" t="n">
        <v>45882</v>
      </c>
      <c r="I1682" s="31" t="s">
        <v>818</v>
      </c>
      <c r="J1682" s="30" t="s">
        <v>817</v>
      </c>
      <c r="K1682" s="31" t="s">
        <v>819</v>
      </c>
      <c r="L1682" s="32" t="n">
        <v>2</v>
      </c>
      <c r="M1682" s="35" t="s">
        <v>386</v>
      </c>
      <c r="N1682" s="31" t="s">
        <v>387</v>
      </c>
      <c r="O1682" s="32" t="n">
        <v>2</v>
      </c>
      <c r="P1682" s="15" t="n">
        <f aca="false">IF(A1682="","",IF(O1682&lt;&gt;"",O1682,IF(L1682&lt;&gt;"",L1682,F1682)))</f>
        <v>2</v>
      </c>
    </row>
    <row r="1683" customFormat="false" ht="15" hidden="false" customHeight="true" outlineLevel="0" collapsed="false">
      <c r="A1683" s="26" t="s">
        <v>205</v>
      </c>
      <c r="B1683" s="26" t="s">
        <v>206</v>
      </c>
      <c r="C1683" s="14" t="n">
        <f aca="false">IF(A1683="","",IFERROR(VLOOKUP(A1683,'Recert Status'!$A$8:$C$400,3,FALSE()),""))</f>
        <v>46387</v>
      </c>
      <c r="D1683" s="18" t="s">
        <v>447</v>
      </c>
      <c r="E1683" s="26" t="n">
        <v>29675</v>
      </c>
      <c r="F1683" s="27" t="n">
        <v>1</v>
      </c>
      <c r="G1683" s="28" t="n">
        <v>45987</v>
      </c>
      <c r="H1683" s="28" t="n">
        <v>45987</v>
      </c>
      <c r="I1683" s="18" t="s">
        <v>683</v>
      </c>
      <c r="J1683" s="26" t="s">
        <v>406</v>
      </c>
      <c r="K1683" s="18" t="s">
        <v>446</v>
      </c>
      <c r="L1683" s="27" t="n">
        <v>1</v>
      </c>
      <c r="M1683" s="35" t="s">
        <v>386</v>
      </c>
      <c r="N1683" s="18" t="s">
        <v>387</v>
      </c>
      <c r="O1683" s="27" t="n">
        <v>1</v>
      </c>
      <c r="P1683" s="15" t="n">
        <f aca="false">IF(A1683="","",IF(O1683&lt;&gt;"",O1683,IF(L1683&lt;&gt;"",L1683,F1683)))</f>
        <v>1</v>
      </c>
    </row>
    <row r="1684" customFormat="false" ht="15" hidden="false" customHeight="true" outlineLevel="0" collapsed="false">
      <c r="A1684" s="30" t="s">
        <v>205</v>
      </c>
      <c r="B1684" s="30" t="s">
        <v>206</v>
      </c>
      <c r="C1684" s="21" t="n">
        <f aca="false">IF(A1684="","",IFERROR(VLOOKUP(A1684,'Recert Status'!$A$8:$C$400,3,FALSE()),""))</f>
        <v>46387</v>
      </c>
      <c r="D1684" s="31" t="s">
        <v>387</v>
      </c>
      <c r="E1684" s="30" t="s">
        <v>389</v>
      </c>
      <c r="F1684" s="32" t="n">
        <v>1</v>
      </c>
      <c r="G1684" s="33" t="n">
        <v>46230</v>
      </c>
      <c r="H1684" s="33" t="n">
        <v>46230</v>
      </c>
      <c r="I1684" s="31" t="s">
        <v>1224</v>
      </c>
      <c r="J1684" s="30" t="s">
        <v>389</v>
      </c>
      <c r="K1684" s="31" t="s">
        <v>451</v>
      </c>
      <c r="L1684" s="32" t="n">
        <v>1</v>
      </c>
      <c r="M1684" s="35" t="s">
        <v>386</v>
      </c>
      <c r="N1684" s="31" t="s">
        <v>387</v>
      </c>
      <c r="O1684" s="32" t="n">
        <v>1</v>
      </c>
      <c r="P1684" s="15" t="n">
        <f aca="false">IF(A1684="","",IF(O1684&lt;&gt;"",O1684,IF(L1684&lt;&gt;"",L1684,F1684)))</f>
        <v>1</v>
      </c>
    </row>
    <row r="1685" customFormat="false" ht="15" hidden="false" customHeight="true" outlineLevel="0" collapsed="false">
      <c r="A1685" s="26" t="s">
        <v>205</v>
      </c>
      <c r="B1685" s="26" t="s">
        <v>206</v>
      </c>
      <c r="C1685" s="14" t="n">
        <f aca="false">IF(A1685="","",IFERROR(VLOOKUP(A1685,'Recert Status'!$A$8:$C$400,3,FALSE()),""))</f>
        <v>46387</v>
      </c>
      <c r="D1685" s="18" t="s">
        <v>387</v>
      </c>
      <c r="E1685" s="26" t="s">
        <v>389</v>
      </c>
      <c r="F1685" s="27" t="n">
        <v>1</v>
      </c>
      <c r="G1685" s="28" t="n">
        <v>46236</v>
      </c>
      <c r="H1685" s="28" t="n">
        <v>46236</v>
      </c>
      <c r="I1685" s="18" t="s">
        <v>1431</v>
      </c>
      <c r="J1685" s="26" t="s">
        <v>389</v>
      </c>
      <c r="K1685" s="18" t="s">
        <v>451</v>
      </c>
      <c r="L1685" s="27" t="n">
        <v>1</v>
      </c>
      <c r="M1685" s="35" t="s">
        <v>386</v>
      </c>
      <c r="N1685" s="18" t="s">
        <v>387</v>
      </c>
      <c r="O1685" s="27" t="n">
        <v>1</v>
      </c>
      <c r="P1685" s="15" t="n">
        <f aca="false">IF(A1685="","",IF(O1685&lt;&gt;"",O1685,IF(L1685&lt;&gt;"",L1685,F1685)))</f>
        <v>1</v>
      </c>
    </row>
    <row r="1686" customFormat="false" ht="15" hidden="false" customHeight="true" outlineLevel="0" collapsed="false">
      <c r="A1686" s="30" t="s">
        <v>205</v>
      </c>
      <c r="B1686" s="30" t="s">
        <v>206</v>
      </c>
      <c r="C1686" s="21" t="n">
        <f aca="false">IF(A1686="","",IFERROR(VLOOKUP(A1686,'Recert Status'!$A$8:$C$400,3,FALSE()),""))</f>
        <v>46387</v>
      </c>
      <c r="D1686" s="31" t="s">
        <v>1302</v>
      </c>
      <c r="E1686" s="30" t="s">
        <v>452</v>
      </c>
      <c r="F1686" s="32" t="n">
        <v>1</v>
      </c>
      <c r="G1686" s="33" t="n">
        <v>46017</v>
      </c>
      <c r="H1686" s="33" t="n">
        <v>46017</v>
      </c>
      <c r="I1686" s="31" t="s">
        <v>1303</v>
      </c>
      <c r="J1686" s="30" t="s">
        <v>452</v>
      </c>
      <c r="K1686" s="31" t="s">
        <v>385</v>
      </c>
      <c r="L1686" s="32" t="n">
        <v>1</v>
      </c>
      <c r="M1686" s="36" t="s">
        <v>396</v>
      </c>
      <c r="N1686" s="31" t="s">
        <v>397</v>
      </c>
      <c r="O1686" s="32" t="n">
        <v>1</v>
      </c>
      <c r="P1686" s="15" t="n">
        <f aca="false">IF(A1686="","",IF(O1686&lt;&gt;"",O1686,IF(L1686&lt;&gt;"",L1686,F1686)))</f>
        <v>1</v>
      </c>
    </row>
    <row r="1687" customFormat="false" ht="15" hidden="false" customHeight="true" outlineLevel="0" collapsed="false">
      <c r="A1687" s="26" t="s">
        <v>205</v>
      </c>
      <c r="B1687" s="26" t="s">
        <v>206</v>
      </c>
      <c r="C1687" s="14" t="n">
        <f aca="false">IF(A1687="","",IFERROR(VLOOKUP(A1687,'Recert Status'!$A$8:$C$400,3,FALSE()),""))</f>
        <v>46387</v>
      </c>
      <c r="D1687" s="18" t="s">
        <v>560</v>
      </c>
      <c r="E1687" s="26" t="s">
        <v>452</v>
      </c>
      <c r="F1687" s="27" t="n">
        <v>1</v>
      </c>
      <c r="G1687" s="28" t="n">
        <v>46182</v>
      </c>
      <c r="H1687" s="28" t="n">
        <v>46182</v>
      </c>
      <c r="I1687" s="18" t="s">
        <v>1432</v>
      </c>
      <c r="J1687" s="26" t="s">
        <v>452</v>
      </c>
      <c r="K1687" s="18" t="s">
        <v>407</v>
      </c>
      <c r="L1687" s="27" t="n">
        <v>1</v>
      </c>
      <c r="M1687" s="36" t="s">
        <v>396</v>
      </c>
      <c r="N1687" s="18" t="s">
        <v>397</v>
      </c>
      <c r="O1687" s="27" t="n">
        <v>1</v>
      </c>
      <c r="P1687" s="15" t="n">
        <f aca="false">IF(A1687="","",IF(O1687&lt;&gt;"",O1687,IF(L1687&lt;&gt;"",L1687,F1687)))</f>
        <v>1</v>
      </c>
    </row>
    <row r="1688" customFormat="false" ht="15" hidden="false" customHeight="true" outlineLevel="0" collapsed="false">
      <c r="A1688" s="30" t="s">
        <v>205</v>
      </c>
      <c r="B1688" s="30" t="s">
        <v>206</v>
      </c>
      <c r="C1688" s="21" t="n">
        <f aca="false">IF(A1688="","",IFERROR(VLOOKUP(A1688,'Recert Status'!$A$8:$C$400,3,FALSE()),""))</f>
        <v>46387</v>
      </c>
      <c r="D1688" s="31" t="s">
        <v>397</v>
      </c>
      <c r="E1688" s="30" t="s">
        <v>452</v>
      </c>
      <c r="F1688" s="32" t="n">
        <v>2</v>
      </c>
      <c r="G1688" s="33" t="n">
        <v>46236</v>
      </c>
      <c r="H1688" s="33" t="n">
        <v>46236</v>
      </c>
      <c r="I1688" s="31" t="s">
        <v>966</v>
      </c>
      <c r="J1688" s="30" t="s">
        <v>452</v>
      </c>
      <c r="K1688" s="31" t="s">
        <v>385</v>
      </c>
      <c r="L1688" s="32" t="n">
        <v>2</v>
      </c>
      <c r="M1688" s="36" t="s">
        <v>396</v>
      </c>
      <c r="N1688" s="31" t="s">
        <v>397</v>
      </c>
      <c r="O1688" s="32" t="n">
        <v>2</v>
      </c>
      <c r="P1688" s="15" t="n">
        <f aca="false">IF(A1688="","",IF(O1688&lt;&gt;"",O1688,IF(L1688&lt;&gt;"",L1688,F1688)))</f>
        <v>2</v>
      </c>
    </row>
    <row r="1689" customFormat="false" ht="15" hidden="false" customHeight="true" outlineLevel="0" collapsed="false">
      <c r="A1689" s="26" t="s">
        <v>205</v>
      </c>
      <c r="B1689" s="26" t="s">
        <v>206</v>
      </c>
      <c r="C1689" s="14" t="n">
        <f aca="false">IF(A1689="","",IFERROR(VLOOKUP(A1689,'Recert Status'!$A$8:$C$400,3,FALSE()),""))</f>
        <v>46387</v>
      </c>
      <c r="D1689" s="18" t="s">
        <v>397</v>
      </c>
      <c r="E1689" s="26" t="s">
        <v>452</v>
      </c>
      <c r="F1689" s="27" t="n">
        <v>1</v>
      </c>
      <c r="G1689" s="28" t="n">
        <v>46245</v>
      </c>
      <c r="H1689" s="28" t="n">
        <v>46245</v>
      </c>
      <c r="I1689" s="18" t="s">
        <v>605</v>
      </c>
      <c r="J1689" s="26" t="s">
        <v>452</v>
      </c>
      <c r="K1689" s="18" t="s">
        <v>385</v>
      </c>
      <c r="L1689" s="27" t="n">
        <v>1</v>
      </c>
      <c r="M1689" s="36" t="s">
        <v>396</v>
      </c>
      <c r="N1689" s="18" t="s">
        <v>397</v>
      </c>
      <c r="O1689" s="27" t="n">
        <v>1</v>
      </c>
      <c r="P1689" s="15" t="n">
        <f aca="false">IF(A1689="","",IF(O1689&lt;&gt;"",O1689,IF(L1689&lt;&gt;"",L1689,F1689)))</f>
        <v>1</v>
      </c>
    </row>
    <row r="1690" customFormat="false" ht="15" hidden="false" customHeight="true" outlineLevel="0" collapsed="false">
      <c r="A1690" s="30" t="s">
        <v>205</v>
      </c>
      <c r="B1690" s="30" t="s">
        <v>206</v>
      </c>
      <c r="C1690" s="21" t="n">
        <f aca="false">IF(A1690="","",IFERROR(VLOOKUP(A1690,'Recert Status'!$A$8:$C$400,3,FALSE()),""))</f>
        <v>46387</v>
      </c>
      <c r="D1690" s="31" t="s">
        <v>672</v>
      </c>
      <c r="E1690" s="30" t="s">
        <v>416</v>
      </c>
      <c r="F1690" s="32" t="n">
        <v>1</v>
      </c>
      <c r="G1690" s="33" t="n">
        <v>45825</v>
      </c>
      <c r="H1690" s="33" t="n">
        <v>45825</v>
      </c>
      <c r="I1690" s="31" t="s">
        <v>694</v>
      </c>
      <c r="J1690" s="30" t="s">
        <v>416</v>
      </c>
      <c r="K1690" s="31" t="s">
        <v>490</v>
      </c>
      <c r="L1690" s="32" t="n">
        <v>1</v>
      </c>
      <c r="M1690" s="39" t="s">
        <v>413</v>
      </c>
      <c r="N1690" s="31" t="s">
        <v>414</v>
      </c>
      <c r="O1690" s="32" t="n">
        <v>1</v>
      </c>
      <c r="P1690" s="15" t="n">
        <f aca="false">IF(A1690="","",IF(O1690&lt;&gt;"",O1690,IF(L1690&lt;&gt;"",L1690,F1690)))</f>
        <v>1</v>
      </c>
    </row>
    <row r="1691" customFormat="false" ht="15" hidden="false" customHeight="true" outlineLevel="0" collapsed="false">
      <c r="A1691" s="26" t="s">
        <v>205</v>
      </c>
      <c r="B1691" s="26" t="s">
        <v>206</v>
      </c>
      <c r="C1691" s="14" t="n">
        <f aca="false">IF(A1691="","",IFERROR(VLOOKUP(A1691,'Recert Status'!$A$8:$C$400,3,FALSE()),""))</f>
        <v>46387</v>
      </c>
      <c r="D1691" s="18" t="s">
        <v>488</v>
      </c>
      <c r="E1691" s="26" t="s">
        <v>416</v>
      </c>
      <c r="F1691" s="27" t="n">
        <v>1</v>
      </c>
      <c r="G1691" s="28" t="n">
        <v>46125</v>
      </c>
      <c r="H1691" s="28" t="n">
        <v>46125</v>
      </c>
      <c r="I1691" s="18" t="s">
        <v>608</v>
      </c>
      <c r="J1691" s="26" t="s">
        <v>416</v>
      </c>
      <c r="K1691" s="18" t="s">
        <v>490</v>
      </c>
      <c r="L1691" s="27" t="n">
        <v>1</v>
      </c>
      <c r="M1691" s="39" t="s">
        <v>413</v>
      </c>
      <c r="N1691" s="18" t="s">
        <v>414</v>
      </c>
      <c r="O1691" s="27" t="n">
        <v>1</v>
      </c>
      <c r="P1691" s="15" t="n">
        <f aca="false">IF(A1691="","",IF(O1691&lt;&gt;"",O1691,IF(L1691&lt;&gt;"",L1691,F1691)))</f>
        <v>1</v>
      </c>
    </row>
    <row r="1692" customFormat="false" ht="15" hidden="false" customHeight="true" outlineLevel="0" collapsed="false">
      <c r="A1692" s="30" t="s">
        <v>205</v>
      </c>
      <c r="B1692" s="30" t="s">
        <v>206</v>
      </c>
      <c r="C1692" s="21" t="n">
        <f aca="false">IF(A1692="","",IFERROR(VLOOKUP(A1692,'Recert Status'!$A$8:$C$400,3,FALSE()),""))</f>
        <v>46387</v>
      </c>
      <c r="D1692" s="31" t="s">
        <v>488</v>
      </c>
      <c r="E1692" s="30" t="s">
        <v>416</v>
      </c>
      <c r="F1692" s="32" t="n">
        <v>1</v>
      </c>
      <c r="G1692" s="33" t="n">
        <v>46128</v>
      </c>
      <c r="H1692" s="33" t="n">
        <v>46128</v>
      </c>
      <c r="I1692" s="31" t="s">
        <v>609</v>
      </c>
      <c r="J1692" s="30" t="s">
        <v>416</v>
      </c>
      <c r="K1692" s="31" t="s">
        <v>490</v>
      </c>
      <c r="L1692" s="32" t="n">
        <v>1</v>
      </c>
      <c r="M1692" s="39" t="s">
        <v>413</v>
      </c>
      <c r="N1692" s="31" t="s">
        <v>414</v>
      </c>
      <c r="O1692" s="32" t="n">
        <v>1</v>
      </c>
      <c r="P1692" s="15" t="n">
        <f aca="false">IF(A1692="","",IF(O1692&lt;&gt;"",O1692,IF(L1692&lt;&gt;"",L1692,F1692)))</f>
        <v>1</v>
      </c>
    </row>
    <row r="1693" customFormat="false" ht="15" hidden="false" customHeight="true" outlineLevel="0" collapsed="false">
      <c r="A1693" s="26" t="s">
        <v>205</v>
      </c>
      <c r="B1693" s="26" t="s">
        <v>206</v>
      </c>
      <c r="C1693" s="14" t="n">
        <f aca="false">IF(A1693="","",IFERROR(VLOOKUP(A1693,'Recert Status'!$A$8:$C$400,3,FALSE()),""))</f>
        <v>46387</v>
      </c>
      <c r="D1693" s="18" t="s">
        <v>414</v>
      </c>
      <c r="E1693" s="26" t="s">
        <v>416</v>
      </c>
      <c r="F1693" s="27" t="n">
        <v>2</v>
      </c>
      <c r="G1693" s="28" t="n">
        <v>46218</v>
      </c>
      <c r="H1693" s="28" t="n">
        <v>46218</v>
      </c>
      <c r="I1693" s="18" t="s">
        <v>535</v>
      </c>
      <c r="J1693" s="26" t="s">
        <v>416</v>
      </c>
      <c r="K1693" s="18" t="s">
        <v>418</v>
      </c>
      <c r="L1693" s="27" t="n">
        <v>2</v>
      </c>
      <c r="M1693" s="39" t="s">
        <v>413</v>
      </c>
      <c r="N1693" s="18" t="s">
        <v>414</v>
      </c>
      <c r="O1693" s="27" t="n">
        <v>2</v>
      </c>
      <c r="P1693" s="15" t="n">
        <f aca="false">IF(A1693="","",IF(O1693&lt;&gt;"",O1693,IF(L1693&lt;&gt;"",L1693,F1693)))</f>
        <v>2</v>
      </c>
    </row>
    <row r="1694" customFormat="false" ht="15" hidden="false" customHeight="true" outlineLevel="0" collapsed="false">
      <c r="A1694" s="30" t="s">
        <v>207</v>
      </c>
      <c r="B1694" s="30" t="s">
        <v>208</v>
      </c>
      <c r="C1694" s="21" t="n">
        <f aca="false">IF(A1694="","",IFERROR(VLOOKUP(A1694,'Recert Status'!$A$8:$C$400,3,FALSE()),""))</f>
        <v>46752</v>
      </c>
      <c r="D1694" s="31" t="s">
        <v>1433</v>
      </c>
      <c r="E1694" s="30" t="s">
        <v>363</v>
      </c>
      <c r="F1694" s="32" t="n">
        <v>1</v>
      </c>
      <c r="G1694" s="33" t="n">
        <v>45710</v>
      </c>
      <c r="H1694" s="33" t="n">
        <v>45710</v>
      </c>
      <c r="I1694" s="31" t="s">
        <v>1434</v>
      </c>
      <c r="J1694" s="30" t="s">
        <v>363</v>
      </c>
      <c r="K1694" s="31" t="s">
        <v>370</v>
      </c>
      <c r="L1694" s="32" t="n">
        <v>1</v>
      </c>
      <c r="M1694" s="29" t="s">
        <v>366</v>
      </c>
      <c r="N1694" s="31" t="s">
        <v>367</v>
      </c>
      <c r="O1694" s="32" t="n">
        <v>1</v>
      </c>
      <c r="P1694" s="15" t="n">
        <f aca="false">IF(A1694="","",IF(O1694&lt;&gt;"",O1694,IF(L1694&lt;&gt;"",L1694,F1694)))</f>
        <v>1</v>
      </c>
    </row>
    <row r="1695" customFormat="false" ht="15" hidden="false" customHeight="true" outlineLevel="0" collapsed="false">
      <c r="A1695" s="26" t="s">
        <v>207</v>
      </c>
      <c r="B1695" s="26" t="s">
        <v>208</v>
      </c>
      <c r="C1695" s="14" t="n">
        <f aca="false">IF(A1695="","",IFERROR(VLOOKUP(A1695,'Recert Status'!$A$8:$C$400,3,FALSE()),""))</f>
        <v>46752</v>
      </c>
      <c r="D1695" s="18" t="s">
        <v>449</v>
      </c>
      <c r="E1695" s="26" t="s">
        <v>426</v>
      </c>
      <c r="F1695" s="27" t="n">
        <v>2.5</v>
      </c>
      <c r="G1695" s="28" t="n">
        <v>45719</v>
      </c>
      <c r="H1695" s="28" t="n">
        <v>45719</v>
      </c>
      <c r="I1695" s="18" t="s">
        <v>1435</v>
      </c>
      <c r="J1695" s="26" t="s">
        <v>426</v>
      </c>
      <c r="K1695" s="18" t="s">
        <v>428</v>
      </c>
      <c r="L1695" s="27" t="n">
        <v>2.5</v>
      </c>
      <c r="M1695" s="41" t="s">
        <v>429</v>
      </c>
      <c r="N1695" s="18" t="s">
        <v>430</v>
      </c>
      <c r="O1695" s="27" t="n">
        <v>2.5</v>
      </c>
      <c r="P1695" s="15" t="n">
        <f aca="false">IF(A1695="","",IF(O1695&lt;&gt;"",O1695,IF(L1695&lt;&gt;"",L1695,F1695)))</f>
        <v>2.5</v>
      </c>
    </row>
    <row r="1696" customFormat="false" ht="15" hidden="false" customHeight="true" outlineLevel="0" collapsed="false">
      <c r="A1696" s="30" t="s">
        <v>207</v>
      </c>
      <c r="B1696" s="30" t="s">
        <v>208</v>
      </c>
      <c r="C1696" s="21" t="n">
        <f aca="false">IF(A1696="","",IFERROR(VLOOKUP(A1696,'Recert Status'!$A$8:$C$400,3,FALSE()),""))</f>
        <v>46752</v>
      </c>
      <c r="D1696" s="31" t="s">
        <v>425</v>
      </c>
      <c r="E1696" s="30" t="s">
        <v>426</v>
      </c>
      <c r="F1696" s="32" t="n">
        <v>2</v>
      </c>
      <c r="G1696" s="33" t="n">
        <v>45929</v>
      </c>
      <c r="H1696" s="33" t="n">
        <v>45929</v>
      </c>
      <c r="I1696" s="31" t="s">
        <v>427</v>
      </c>
      <c r="J1696" s="30" t="s">
        <v>426</v>
      </c>
      <c r="K1696" s="31" t="s">
        <v>428</v>
      </c>
      <c r="L1696" s="32" t="n">
        <v>2</v>
      </c>
      <c r="M1696" s="41" t="s">
        <v>429</v>
      </c>
      <c r="N1696" s="31" t="s">
        <v>430</v>
      </c>
      <c r="O1696" s="32" t="n">
        <v>2</v>
      </c>
      <c r="P1696" s="15" t="n">
        <f aca="false">IF(A1696="","",IF(O1696&lt;&gt;"",O1696,IF(L1696&lt;&gt;"",L1696,F1696)))</f>
        <v>2</v>
      </c>
    </row>
    <row r="1697" customFormat="false" ht="15" hidden="false" customHeight="true" outlineLevel="0" collapsed="false">
      <c r="A1697" s="26" t="s">
        <v>207</v>
      </c>
      <c r="B1697" s="26" t="s">
        <v>208</v>
      </c>
      <c r="C1697" s="14" t="n">
        <f aca="false">IF(A1697="","",IFERROR(VLOOKUP(A1697,'Recert Status'!$A$8:$C$400,3,FALSE()),""))</f>
        <v>46752</v>
      </c>
      <c r="D1697" s="18" t="s">
        <v>886</v>
      </c>
      <c r="E1697" s="26" t="s">
        <v>426</v>
      </c>
      <c r="F1697" s="27" t="n">
        <v>2</v>
      </c>
      <c r="G1697" s="28" t="n">
        <v>45971</v>
      </c>
      <c r="H1697" s="28" t="n">
        <v>45971</v>
      </c>
      <c r="I1697" s="18" t="s">
        <v>887</v>
      </c>
      <c r="J1697" s="26" t="s">
        <v>426</v>
      </c>
      <c r="K1697" s="18" t="s">
        <v>428</v>
      </c>
      <c r="L1697" s="27" t="n">
        <v>2</v>
      </c>
      <c r="M1697" s="41" t="s">
        <v>429</v>
      </c>
      <c r="N1697" s="18" t="s">
        <v>430</v>
      </c>
      <c r="O1697" s="27" t="n">
        <v>2</v>
      </c>
      <c r="P1697" s="15" t="n">
        <f aca="false">IF(A1697="","",IF(O1697&lt;&gt;"",O1697,IF(L1697&lt;&gt;"",L1697,F1697)))</f>
        <v>2</v>
      </c>
    </row>
    <row r="1698" customFormat="false" ht="15" hidden="false" customHeight="true" outlineLevel="0" collapsed="false">
      <c r="A1698" s="30" t="s">
        <v>207</v>
      </c>
      <c r="B1698" s="30" t="s">
        <v>208</v>
      </c>
      <c r="C1698" s="21" t="n">
        <f aca="false">IF(A1698="","",IFERROR(VLOOKUP(A1698,'Recert Status'!$A$8:$C$400,3,FALSE()),""))</f>
        <v>46752</v>
      </c>
      <c r="D1698" s="31" t="s">
        <v>449</v>
      </c>
      <c r="E1698" s="30" t="n">
        <v>29784</v>
      </c>
      <c r="F1698" s="32" t="n">
        <v>1</v>
      </c>
      <c r="G1698" s="33" t="n">
        <v>45722</v>
      </c>
      <c r="H1698" s="33" t="n">
        <v>45722</v>
      </c>
      <c r="I1698" s="31" t="s">
        <v>1436</v>
      </c>
      <c r="J1698" s="30" t="s">
        <v>435</v>
      </c>
      <c r="K1698" s="31" t="s">
        <v>468</v>
      </c>
      <c r="L1698" s="32" t="n">
        <v>1</v>
      </c>
      <c r="M1698" s="35" t="s">
        <v>386</v>
      </c>
      <c r="N1698" s="31" t="s">
        <v>387</v>
      </c>
      <c r="O1698" s="32" t="n">
        <v>1</v>
      </c>
      <c r="P1698" s="15" t="n">
        <f aca="false">IF(A1698="","",IF(O1698&lt;&gt;"",O1698,IF(L1698&lt;&gt;"",L1698,F1698)))</f>
        <v>1</v>
      </c>
    </row>
    <row r="1699" customFormat="false" ht="15" hidden="false" customHeight="true" outlineLevel="0" collapsed="false">
      <c r="A1699" s="26" t="s">
        <v>207</v>
      </c>
      <c r="B1699" s="26" t="s">
        <v>208</v>
      </c>
      <c r="C1699" s="14" t="n">
        <f aca="false">IF(A1699="","",IFERROR(VLOOKUP(A1699,'Recert Status'!$A$8:$C$400,3,FALSE()),""))</f>
        <v>46752</v>
      </c>
      <c r="D1699" s="18" t="s">
        <v>736</v>
      </c>
      <c r="E1699" s="26" t="n">
        <v>35513</v>
      </c>
      <c r="F1699" s="27" t="n">
        <v>2</v>
      </c>
      <c r="G1699" s="28" t="n">
        <v>45884</v>
      </c>
      <c r="H1699" s="28" t="n">
        <v>45884</v>
      </c>
      <c r="I1699" s="18" t="s">
        <v>737</v>
      </c>
      <c r="J1699" s="26" t="s">
        <v>384</v>
      </c>
      <c r="K1699" s="18" t="s">
        <v>385</v>
      </c>
      <c r="L1699" s="27" t="n">
        <v>2</v>
      </c>
      <c r="M1699" s="35" t="s">
        <v>386</v>
      </c>
      <c r="N1699" s="18" t="s">
        <v>387</v>
      </c>
      <c r="O1699" s="27" t="n">
        <v>2</v>
      </c>
      <c r="P1699" s="15" t="n">
        <f aca="false">IF(A1699="","",IF(O1699&lt;&gt;"",O1699,IF(L1699&lt;&gt;"",L1699,F1699)))</f>
        <v>2</v>
      </c>
    </row>
    <row r="1700" customFormat="false" ht="15" hidden="false" customHeight="true" outlineLevel="0" collapsed="false">
      <c r="A1700" s="30" t="s">
        <v>207</v>
      </c>
      <c r="B1700" s="30" t="s">
        <v>208</v>
      </c>
      <c r="C1700" s="21" t="n">
        <f aca="false">IF(A1700="","",IFERROR(VLOOKUP(A1700,'Recert Status'!$A$8:$C$400,3,FALSE()),""))</f>
        <v>46752</v>
      </c>
      <c r="D1700" s="31" t="s">
        <v>894</v>
      </c>
      <c r="E1700" s="30" t="s">
        <v>389</v>
      </c>
      <c r="F1700" s="32" t="n">
        <v>1</v>
      </c>
      <c r="G1700" s="33" t="n">
        <v>45971</v>
      </c>
      <c r="H1700" s="33" t="n">
        <v>45971</v>
      </c>
      <c r="I1700" s="31" t="s">
        <v>895</v>
      </c>
      <c r="J1700" s="30" t="s">
        <v>389</v>
      </c>
      <c r="K1700" s="31" t="s">
        <v>446</v>
      </c>
      <c r="L1700" s="32" t="n">
        <v>1</v>
      </c>
      <c r="M1700" s="35" t="s">
        <v>386</v>
      </c>
      <c r="N1700" s="31" t="s">
        <v>387</v>
      </c>
      <c r="O1700" s="32" t="n">
        <v>1</v>
      </c>
      <c r="P1700" s="15" t="n">
        <f aca="false">IF(A1700="","",IF(O1700&lt;&gt;"",O1700,IF(L1700&lt;&gt;"",L1700,F1700)))</f>
        <v>1</v>
      </c>
    </row>
    <row r="1701" customFormat="false" ht="15" hidden="false" customHeight="true" outlineLevel="0" collapsed="false">
      <c r="A1701" s="26" t="s">
        <v>207</v>
      </c>
      <c r="B1701" s="26" t="s">
        <v>208</v>
      </c>
      <c r="C1701" s="14" t="n">
        <f aca="false">IF(A1701="","",IFERROR(VLOOKUP(A1701,'Recert Status'!$A$8:$C$400,3,FALSE()),""))</f>
        <v>46752</v>
      </c>
      <c r="D1701" s="18" t="s">
        <v>896</v>
      </c>
      <c r="E1701" s="26" t="s">
        <v>389</v>
      </c>
      <c r="F1701" s="27" t="n">
        <v>2</v>
      </c>
      <c r="G1701" s="28" t="n">
        <v>45971</v>
      </c>
      <c r="H1701" s="28" t="n">
        <v>45971</v>
      </c>
      <c r="I1701" s="18" t="s">
        <v>897</v>
      </c>
      <c r="J1701" s="26" t="s">
        <v>389</v>
      </c>
      <c r="K1701" s="18" t="s">
        <v>898</v>
      </c>
      <c r="L1701" s="27" t="n">
        <v>2</v>
      </c>
      <c r="M1701" s="35" t="s">
        <v>386</v>
      </c>
      <c r="N1701" s="18" t="s">
        <v>387</v>
      </c>
      <c r="O1701" s="27" t="n">
        <v>2</v>
      </c>
      <c r="P1701" s="15" t="n">
        <f aca="false">IF(A1701="","",IF(O1701&lt;&gt;"",O1701,IF(L1701&lt;&gt;"",L1701,F1701)))</f>
        <v>2</v>
      </c>
    </row>
    <row r="1702" customFormat="false" ht="15" hidden="false" customHeight="true" outlineLevel="0" collapsed="false">
      <c r="A1702" s="30" t="s">
        <v>207</v>
      </c>
      <c r="B1702" s="30" t="s">
        <v>208</v>
      </c>
      <c r="C1702" s="21" t="n">
        <f aca="false">IF(A1702="","",IFERROR(VLOOKUP(A1702,'Recert Status'!$A$8:$C$400,3,FALSE()),""))</f>
        <v>46752</v>
      </c>
      <c r="D1702" s="31" t="s">
        <v>899</v>
      </c>
      <c r="E1702" s="30" t="n">
        <v>29668</v>
      </c>
      <c r="F1702" s="32" t="n">
        <v>1</v>
      </c>
      <c r="G1702" s="33" t="n">
        <v>45974</v>
      </c>
      <c r="H1702" s="33" t="n">
        <v>45974</v>
      </c>
      <c r="I1702" s="31" t="s">
        <v>900</v>
      </c>
      <c r="J1702" s="30" t="s">
        <v>511</v>
      </c>
      <c r="K1702" s="31" t="s">
        <v>509</v>
      </c>
      <c r="L1702" s="32" t="n">
        <v>1</v>
      </c>
      <c r="M1702" s="35" t="s">
        <v>386</v>
      </c>
      <c r="N1702" s="31" t="s">
        <v>514</v>
      </c>
      <c r="O1702" s="32" t="n">
        <v>1</v>
      </c>
      <c r="P1702" s="15" t="n">
        <f aca="false">IF(A1702="","",IF(O1702&lt;&gt;"",O1702,IF(L1702&lt;&gt;"",L1702,F1702)))</f>
        <v>1</v>
      </c>
    </row>
    <row r="1703" customFormat="false" ht="15" hidden="false" customHeight="true" outlineLevel="0" collapsed="false">
      <c r="A1703" s="26" t="s">
        <v>207</v>
      </c>
      <c r="B1703" s="26" t="s">
        <v>208</v>
      </c>
      <c r="C1703" s="14" t="n">
        <f aca="false">IF(A1703="","",IFERROR(VLOOKUP(A1703,'Recert Status'!$A$8:$C$400,3,FALSE()),""))</f>
        <v>46752</v>
      </c>
      <c r="D1703" s="18" t="s">
        <v>1437</v>
      </c>
      <c r="E1703" s="26" t="n">
        <v>29740</v>
      </c>
      <c r="F1703" s="27" t="n">
        <v>2</v>
      </c>
      <c r="G1703" s="28" t="n">
        <v>46016</v>
      </c>
      <c r="H1703" s="28" t="n">
        <v>46016</v>
      </c>
      <c r="I1703" s="18" t="s">
        <v>1438</v>
      </c>
      <c r="J1703" s="26" t="s">
        <v>394</v>
      </c>
      <c r="K1703" s="18" t="s">
        <v>504</v>
      </c>
      <c r="L1703" s="27" t="n">
        <v>2</v>
      </c>
      <c r="M1703" s="35" t="s">
        <v>386</v>
      </c>
      <c r="N1703" s="18" t="s">
        <v>387</v>
      </c>
      <c r="O1703" s="27" t="n">
        <v>2</v>
      </c>
      <c r="P1703" s="15" t="n">
        <f aca="false">IF(A1703="","",IF(O1703&lt;&gt;"",O1703,IF(L1703&lt;&gt;"",L1703,F1703)))</f>
        <v>2</v>
      </c>
    </row>
    <row r="1704" customFormat="false" ht="15" hidden="false" customHeight="true" outlineLevel="0" collapsed="false">
      <c r="A1704" s="30" t="s">
        <v>207</v>
      </c>
      <c r="B1704" s="30" t="s">
        <v>208</v>
      </c>
      <c r="C1704" s="21" t="n">
        <f aca="false">IF(A1704="","",IFERROR(VLOOKUP(A1704,'Recert Status'!$A$8:$C$400,3,FALSE()),""))</f>
        <v>46752</v>
      </c>
      <c r="D1704" s="31" t="s">
        <v>387</v>
      </c>
      <c r="E1704" s="30" t="s">
        <v>389</v>
      </c>
      <c r="F1704" s="32" t="n">
        <v>1</v>
      </c>
      <c r="G1704" s="33" t="n">
        <v>46274</v>
      </c>
      <c r="H1704" s="33" t="n">
        <v>46274</v>
      </c>
      <c r="I1704" s="31" t="s">
        <v>530</v>
      </c>
      <c r="J1704" s="30" t="s">
        <v>389</v>
      </c>
      <c r="K1704" s="31" t="s">
        <v>451</v>
      </c>
      <c r="L1704" s="32" t="n">
        <v>1</v>
      </c>
      <c r="M1704" s="35" t="s">
        <v>386</v>
      </c>
      <c r="N1704" s="31" t="s">
        <v>387</v>
      </c>
      <c r="O1704" s="32" t="n">
        <v>1</v>
      </c>
      <c r="P1704" s="15" t="n">
        <f aca="false">IF(A1704="","",IF(O1704&lt;&gt;"",O1704,IF(L1704&lt;&gt;"",L1704,F1704)))</f>
        <v>1</v>
      </c>
    </row>
    <row r="1705" customFormat="false" ht="15" hidden="false" customHeight="true" outlineLevel="0" collapsed="false">
      <c r="A1705" s="26" t="s">
        <v>207</v>
      </c>
      <c r="B1705" s="26" t="s">
        <v>208</v>
      </c>
      <c r="C1705" s="14" t="n">
        <f aca="false">IF(A1705="","",IFERROR(VLOOKUP(A1705,'Recert Status'!$A$8:$C$400,3,FALSE()),""))</f>
        <v>46752</v>
      </c>
      <c r="D1705" s="18" t="s">
        <v>531</v>
      </c>
      <c r="E1705" s="26" t="s">
        <v>452</v>
      </c>
      <c r="F1705" s="27" t="n">
        <v>1</v>
      </c>
      <c r="G1705" s="28" t="n">
        <v>45983</v>
      </c>
      <c r="H1705" s="28" t="n">
        <v>45983</v>
      </c>
      <c r="I1705" s="18" t="s">
        <v>532</v>
      </c>
      <c r="J1705" s="26" t="s">
        <v>452</v>
      </c>
      <c r="K1705" s="18" t="s">
        <v>385</v>
      </c>
      <c r="L1705" s="27" t="n">
        <v>1</v>
      </c>
      <c r="M1705" s="36" t="s">
        <v>396</v>
      </c>
      <c r="N1705" s="18" t="s">
        <v>397</v>
      </c>
      <c r="O1705" s="27" t="n">
        <v>1</v>
      </c>
      <c r="P1705" s="15" t="n">
        <f aca="false">IF(A1705="","",IF(O1705&lt;&gt;"",O1705,IF(L1705&lt;&gt;"",L1705,F1705)))</f>
        <v>1</v>
      </c>
    </row>
    <row r="1706" customFormat="false" ht="15" hidden="false" customHeight="true" outlineLevel="0" collapsed="false">
      <c r="A1706" s="30" t="s">
        <v>207</v>
      </c>
      <c r="B1706" s="30" t="s">
        <v>208</v>
      </c>
      <c r="C1706" s="21" t="n">
        <f aca="false">IF(A1706="","",IFERROR(VLOOKUP(A1706,'Recert Status'!$A$8:$C$400,3,FALSE()),""))</f>
        <v>46752</v>
      </c>
      <c r="D1706" s="31" t="s">
        <v>415</v>
      </c>
      <c r="E1706" s="30" t="s">
        <v>416</v>
      </c>
      <c r="F1706" s="32" t="n">
        <v>2</v>
      </c>
      <c r="G1706" s="33" t="n">
        <v>45860</v>
      </c>
      <c r="H1706" s="33" t="n">
        <v>45860</v>
      </c>
      <c r="I1706" s="31" t="s">
        <v>721</v>
      </c>
      <c r="J1706" s="30" t="s">
        <v>416</v>
      </c>
      <c r="K1706" s="31" t="s">
        <v>418</v>
      </c>
      <c r="L1706" s="32" t="n">
        <v>2</v>
      </c>
      <c r="M1706" s="39" t="s">
        <v>413</v>
      </c>
      <c r="N1706" s="31" t="s">
        <v>414</v>
      </c>
      <c r="O1706" s="32" t="n">
        <v>2</v>
      </c>
      <c r="P1706" s="15" t="n">
        <f aca="false">IF(A1706="","",IF(O1706&lt;&gt;"",O1706,IF(L1706&lt;&gt;"",L1706,F1706)))</f>
        <v>2</v>
      </c>
    </row>
    <row r="1707" customFormat="false" ht="15" hidden="false" customHeight="true" outlineLevel="0" collapsed="false">
      <c r="A1707" s="26" t="s">
        <v>207</v>
      </c>
      <c r="B1707" s="26" t="s">
        <v>208</v>
      </c>
      <c r="C1707" s="14" t="n">
        <f aca="false">IF(A1707="","",IFERROR(VLOOKUP(A1707,'Recert Status'!$A$8:$C$400,3,FALSE()),""))</f>
        <v>46752</v>
      </c>
      <c r="D1707" s="18" t="s">
        <v>457</v>
      </c>
      <c r="E1707" s="26" t="s">
        <v>416</v>
      </c>
      <c r="F1707" s="27" t="n">
        <v>2</v>
      </c>
      <c r="G1707" s="28" t="n">
        <v>45861</v>
      </c>
      <c r="H1707" s="28" t="n">
        <v>45861</v>
      </c>
      <c r="I1707" s="18" t="s">
        <v>921</v>
      </c>
      <c r="J1707" s="26" t="s">
        <v>416</v>
      </c>
      <c r="K1707" s="18" t="s">
        <v>418</v>
      </c>
      <c r="L1707" s="27" t="n">
        <v>2</v>
      </c>
      <c r="M1707" s="39" t="s">
        <v>413</v>
      </c>
      <c r="N1707" s="18" t="s">
        <v>414</v>
      </c>
      <c r="O1707" s="27" t="n">
        <v>2</v>
      </c>
      <c r="P1707" s="15" t="n">
        <f aca="false">IF(A1707="","",IF(O1707&lt;&gt;"",O1707,IF(L1707&lt;&gt;"",L1707,F1707)))</f>
        <v>2</v>
      </c>
    </row>
    <row r="1708" customFormat="false" ht="15" hidden="false" customHeight="true" outlineLevel="0" collapsed="false">
      <c r="A1708" s="30" t="s">
        <v>207</v>
      </c>
      <c r="B1708" s="30" t="s">
        <v>208</v>
      </c>
      <c r="C1708" s="21" t="n">
        <f aca="false">IF(A1708="","",IFERROR(VLOOKUP(A1708,'Recert Status'!$A$8:$C$400,3,FALSE()),""))</f>
        <v>46752</v>
      </c>
      <c r="D1708" s="31" t="s">
        <v>582</v>
      </c>
      <c r="E1708" s="30" t="s">
        <v>416</v>
      </c>
      <c r="F1708" s="32" t="n">
        <v>2</v>
      </c>
      <c r="G1708" s="33" t="n">
        <v>45861</v>
      </c>
      <c r="H1708" s="33" t="n">
        <v>45861</v>
      </c>
      <c r="I1708" s="31" t="s">
        <v>583</v>
      </c>
      <c r="J1708" s="30" t="s">
        <v>416</v>
      </c>
      <c r="K1708" s="31" t="s">
        <v>418</v>
      </c>
      <c r="L1708" s="32" t="n">
        <v>2</v>
      </c>
      <c r="M1708" s="39" t="s">
        <v>413</v>
      </c>
      <c r="N1708" s="31" t="s">
        <v>414</v>
      </c>
      <c r="O1708" s="32" t="n">
        <v>2</v>
      </c>
      <c r="P1708" s="15" t="n">
        <f aca="false">IF(A1708="","",IF(O1708&lt;&gt;"",O1708,IF(L1708&lt;&gt;"",L1708,F1708)))</f>
        <v>2</v>
      </c>
    </row>
    <row r="1709" customFormat="false" ht="15" hidden="false" customHeight="true" outlineLevel="0" collapsed="false">
      <c r="A1709" s="26" t="s">
        <v>207</v>
      </c>
      <c r="B1709" s="26" t="s">
        <v>208</v>
      </c>
      <c r="C1709" s="14" t="n">
        <f aca="false">IF(A1709="","",IFERROR(VLOOKUP(A1709,'Recert Status'!$A$8:$C$400,3,FALSE()),""))</f>
        <v>46752</v>
      </c>
      <c r="D1709" s="18" t="s">
        <v>905</v>
      </c>
      <c r="E1709" s="26" t="s">
        <v>416</v>
      </c>
      <c r="F1709" s="27" t="n">
        <v>1</v>
      </c>
      <c r="G1709" s="28" t="n">
        <v>45935</v>
      </c>
      <c r="H1709" s="28" t="n">
        <v>45935</v>
      </c>
      <c r="I1709" s="18" t="s">
        <v>906</v>
      </c>
      <c r="J1709" s="26" t="s">
        <v>416</v>
      </c>
      <c r="K1709" s="18" t="s">
        <v>418</v>
      </c>
      <c r="L1709" s="27" t="n">
        <v>1</v>
      </c>
      <c r="M1709" s="39" t="s">
        <v>413</v>
      </c>
      <c r="N1709" s="18" t="s">
        <v>414</v>
      </c>
      <c r="O1709" s="27" t="n">
        <v>1</v>
      </c>
      <c r="P1709" s="15" t="n">
        <f aca="false">IF(A1709="","",IF(O1709&lt;&gt;"",O1709,IF(L1709&lt;&gt;"",L1709,F1709)))</f>
        <v>1</v>
      </c>
    </row>
    <row r="1710" customFormat="false" ht="15" hidden="false" customHeight="true" outlineLevel="0" collapsed="false">
      <c r="A1710" s="30" t="s">
        <v>207</v>
      </c>
      <c r="B1710" s="30" t="s">
        <v>208</v>
      </c>
      <c r="C1710" s="21" t="n">
        <f aca="false">IF(A1710="","",IFERROR(VLOOKUP(A1710,'Recert Status'!$A$8:$C$400,3,FALSE()),""))</f>
        <v>46752</v>
      </c>
      <c r="D1710" s="31" t="s">
        <v>1439</v>
      </c>
      <c r="E1710" s="30" t="s">
        <v>416</v>
      </c>
      <c r="F1710" s="32" t="n">
        <v>4</v>
      </c>
      <c r="G1710" s="33" t="n">
        <v>46085</v>
      </c>
      <c r="H1710" s="33" t="n">
        <v>46085</v>
      </c>
      <c r="I1710" s="31" t="s">
        <v>1440</v>
      </c>
      <c r="J1710" s="30" t="s">
        <v>416</v>
      </c>
      <c r="K1710" s="31" t="s">
        <v>1441</v>
      </c>
      <c r="L1710" s="32" t="n">
        <v>4</v>
      </c>
      <c r="M1710" s="39" t="s">
        <v>413</v>
      </c>
      <c r="N1710" s="31" t="s">
        <v>414</v>
      </c>
      <c r="O1710" s="32" t="n">
        <v>4</v>
      </c>
      <c r="P1710" s="15" t="n">
        <f aca="false">IF(A1710="","",IF(O1710&lt;&gt;"",O1710,IF(L1710&lt;&gt;"",L1710,F1710)))</f>
        <v>4</v>
      </c>
    </row>
    <row r="1711" customFormat="false" ht="15" hidden="false" customHeight="true" outlineLevel="0" collapsed="false">
      <c r="A1711" s="26" t="s">
        <v>207</v>
      </c>
      <c r="B1711" s="26" t="s">
        <v>208</v>
      </c>
      <c r="C1711" s="14" t="n">
        <f aca="false">IF(A1711="","",IFERROR(VLOOKUP(A1711,'Recert Status'!$A$8:$C$400,3,FALSE()),""))</f>
        <v>46752</v>
      </c>
      <c r="D1711" s="18" t="s">
        <v>488</v>
      </c>
      <c r="E1711" s="26" t="s">
        <v>416</v>
      </c>
      <c r="F1711" s="27" t="n">
        <v>1</v>
      </c>
      <c r="G1711" s="28" t="n">
        <v>46127</v>
      </c>
      <c r="H1711" s="28" t="n">
        <v>46127</v>
      </c>
      <c r="I1711" s="18" t="s">
        <v>534</v>
      </c>
      <c r="J1711" s="26" t="s">
        <v>416</v>
      </c>
      <c r="K1711" s="18" t="s">
        <v>490</v>
      </c>
      <c r="L1711" s="27" t="n">
        <v>1</v>
      </c>
      <c r="M1711" s="39" t="s">
        <v>413</v>
      </c>
      <c r="N1711" s="18" t="s">
        <v>414</v>
      </c>
      <c r="O1711" s="27" t="n">
        <v>1</v>
      </c>
      <c r="P1711" s="15" t="n">
        <f aca="false">IF(A1711="","",IF(O1711&lt;&gt;"",O1711,IF(L1711&lt;&gt;"",L1711,F1711)))</f>
        <v>1</v>
      </c>
    </row>
    <row r="1712" customFormat="false" ht="15" hidden="false" customHeight="true" outlineLevel="0" collapsed="false">
      <c r="A1712" s="30" t="s">
        <v>207</v>
      </c>
      <c r="B1712" s="30" t="s">
        <v>208</v>
      </c>
      <c r="C1712" s="21" t="n">
        <f aca="false">IF(A1712="","",IFERROR(VLOOKUP(A1712,'Recert Status'!$A$8:$C$400,3,FALSE()),""))</f>
        <v>46752</v>
      </c>
      <c r="D1712" s="31" t="s">
        <v>414</v>
      </c>
      <c r="E1712" s="30" t="s">
        <v>416</v>
      </c>
      <c r="F1712" s="32" t="n">
        <v>2</v>
      </c>
      <c r="G1712" s="33" t="n">
        <v>46217</v>
      </c>
      <c r="H1712" s="33" t="n">
        <v>46217</v>
      </c>
      <c r="I1712" s="31" t="s">
        <v>460</v>
      </c>
      <c r="J1712" s="30" t="s">
        <v>416</v>
      </c>
      <c r="K1712" s="31" t="s">
        <v>418</v>
      </c>
      <c r="L1712" s="32" t="n">
        <v>2</v>
      </c>
      <c r="M1712" s="39" t="s">
        <v>413</v>
      </c>
      <c r="N1712" s="31" t="s">
        <v>414</v>
      </c>
      <c r="O1712" s="32" t="n">
        <v>2</v>
      </c>
      <c r="P1712" s="15" t="n">
        <f aca="false">IF(A1712="","",IF(O1712&lt;&gt;"",O1712,IF(L1712&lt;&gt;"",L1712,F1712)))</f>
        <v>2</v>
      </c>
    </row>
    <row r="1713" customFormat="false" ht="15" hidden="false" customHeight="true" outlineLevel="0" collapsed="false">
      <c r="A1713" s="26" t="s">
        <v>207</v>
      </c>
      <c r="B1713" s="26" t="s">
        <v>208</v>
      </c>
      <c r="C1713" s="14" t="n">
        <f aca="false">IF(A1713="","",IFERROR(VLOOKUP(A1713,'Recert Status'!$A$8:$C$400,3,FALSE()),""))</f>
        <v>46752</v>
      </c>
      <c r="D1713" s="18" t="s">
        <v>414</v>
      </c>
      <c r="E1713" s="26" t="s">
        <v>416</v>
      </c>
      <c r="F1713" s="27" t="n">
        <v>1.5</v>
      </c>
      <c r="G1713" s="28" t="n">
        <v>46241</v>
      </c>
      <c r="H1713" s="28" t="n">
        <v>46241</v>
      </c>
      <c r="I1713" s="18" t="s">
        <v>536</v>
      </c>
      <c r="J1713" s="26" t="s">
        <v>416</v>
      </c>
      <c r="K1713" s="18" t="s">
        <v>418</v>
      </c>
      <c r="L1713" s="27" t="n">
        <v>1.5</v>
      </c>
      <c r="M1713" s="39" t="s">
        <v>413</v>
      </c>
      <c r="N1713" s="18" t="s">
        <v>414</v>
      </c>
      <c r="O1713" s="27" t="n">
        <v>1.5</v>
      </c>
      <c r="P1713" s="15" t="n">
        <f aca="false">IF(A1713="","",IF(O1713&lt;&gt;"",O1713,IF(L1713&lt;&gt;"",L1713,F1713)))</f>
        <v>1.5</v>
      </c>
    </row>
    <row r="1714" customFormat="false" ht="15" hidden="false" customHeight="true" outlineLevel="0" collapsed="false">
      <c r="A1714" s="30" t="s">
        <v>209</v>
      </c>
      <c r="B1714" s="30" t="s">
        <v>210</v>
      </c>
      <c r="C1714" s="21" t="n">
        <f aca="false">IF(A1714="","",IFERROR(VLOOKUP(A1714,'Recert Status'!$A$8:$C$400,3,FALSE()),""))</f>
        <v>46752</v>
      </c>
      <c r="D1714" s="31" t="s">
        <v>362</v>
      </c>
      <c r="E1714" s="30" t="s">
        <v>363</v>
      </c>
      <c r="F1714" s="32" t="n">
        <v>0.5</v>
      </c>
      <c r="G1714" s="33" t="n">
        <v>45783</v>
      </c>
      <c r="H1714" s="33" t="n">
        <v>45783</v>
      </c>
      <c r="I1714" s="31" t="s">
        <v>364</v>
      </c>
      <c r="J1714" s="30" t="s">
        <v>363</v>
      </c>
      <c r="K1714" s="31" t="s">
        <v>365</v>
      </c>
      <c r="L1714" s="32" t="n">
        <v>0.5</v>
      </c>
      <c r="M1714" s="29" t="s">
        <v>366</v>
      </c>
      <c r="N1714" s="31" t="s">
        <v>367</v>
      </c>
      <c r="O1714" s="32" t="n">
        <v>0.5</v>
      </c>
      <c r="P1714" s="15" t="n">
        <f aca="false">IF(A1714="","",IF(O1714&lt;&gt;"",O1714,IF(L1714&lt;&gt;"",L1714,F1714)))</f>
        <v>0.5</v>
      </c>
    </row>
    <row r="1715" customFormat="false" ht="15" hidden="false" customHeight="true" outlineLevel="0" collapsed="false">
      <c r="A1715" s="26" t="s">
        <v>209</v>
      </c>
      <c r="B1715" s="26" t="s">
        <v>210</v>
      </c>
      <c r="C1715" s="14" t="n">
        <f aca="false">IF(A1715="","",IFERROR(VLOOKUP(A1715,'Recert Status'!$A$8:$C$400,3,FALSE()),""))</f>
        <v>46752</v>
      </c>
      <c r="D1715" s="18" t="s">
        <v>1237</v>
      </c>
      <c r="E1715" s="26" t="s">
        <v>363</v>
      </c>
      <c r="F1715" s="27" t="n">
        <v>0.5</v>
      </c>
      <c r="G1715" s="28" t="n">
        <v>45843</v>
      </c>
      <c r="H1715" s="28" t="n">
        <v>45843</v>
      </c>
      <c r="I1715" s="18" t="s">
        <v>1238</v>
      </c>
      <c r="J1715" s="26" t="s">
        <v>363</v>
      </c>
      <c r="K1715" s="18" t="s">
        <v>370</v>
      </c>
      <c r="L1715" s="27" t="n">
        <v>0.5</v>
      </c>
      <c r="M1715" s="29" t="s">
        <v>366</v>
      </c>
      <c r="N1715" s="18" t="s">
        <v>367</v>
      </c>
      <c r="O1715" s="27" t="n">
        <v>0.5</v>
      </c>
      <c r="P1715" s="15" t="n">
        <f aca="false">IF(A1715="","",IF(O1715&lt;&gt;"",O1715,IF(L1715&lt;&gt;"",L1715,F1715)))</f>
        <v>0.5</v>
      </c>
    </row>
    <row r="1716" customFormat="false" ht="15" hidden="false" customHeight="true" outlineLevel="0" collapsed="false">
      <c r="A1716" s="30" t="s">
        <v>209</v>
      </c>
      <c r="B1716" s="30" t="s">
        <v>210</v>
      </c>
      <c r="C1716" s="21" t="n">
        <f aca="false">IF(A1716="","",IFERROR(VLOOKUP(A1716,'Recert Status'!$A$8:$C$400,3,FALSE()),""))</f>
        <v>46752</v>
      </c>
      <c r="D1716" s="31" t="s">
        <v>364</v>
      </c>
      <c r="E1716" s="30" t="n">
        <v>29675</v>
      </c>
      <c r="F1716" s="32" t="n">
        <v>1</v>
      </c>
      <c r="G1716" s="33" t="n">
        <v>45909</v>
      </c>
      <c r="H1716" s="33" t="n">
        <v>45909</v>
      </c>
      <c r="I1716" s="31" t="s">
        <v>1379</v>
      </c>
      <c r="J1716" s="30" t="s">
        <v>406</v>
      </c>
      <c r="K1716" s="31" t="s">
        <v>630</v>
      </c>
      <c r="L1716" s="32" t="n">
        <v>1</v>
      </c>
      <c r="M1716" s="29" t="s">
        <v>366</v>
      </c>
      <c r="N1716" s="31" t="s">
        <v>514</v>
      </c>
      <c r="O1716" s="32" t="n">
        <v>1</v>
      </c>
      <c r="P1716" s="15" t="n">
        <f aca="false">IF(A1716="","",IF(O1716&lt;&gt;"",O1716,IF(L1716&lt;&gt;"",L1716,F1716)))</f>
        <v>1</v>
      </c>
    </row>
    <row r="1717" customFormat="false" ht="15" hidden="false" customHeight="true" outlineLevel="0" collapsed="false">
      <c r="A1717" s="26" t="s">
        <v>209</v>
      </c>
      <c r="B1717" s="26" t="s">
        <v>210</v>
      </c>
      <c r="C1717" s="14" t="n">
        <f aca="false">IF(A1717="","",IFERROR(VLOOKUP(A1717,'Recert Status'!$A$8:$C$400,3,FALSE()),""))</f>
        <v>46752</v>
      </c>
      <c r="D1717" s="18" t="s">
        <v>814</v>
      </c>
      <c r="E1717" s="26" t="s">
        <v>426</v>
      </c>
      <c r="F1717" s="27" t="n">
        <v>2</v>
      </c>
      <c r="G1717" s="28" t="n">
        <v>45912</v>
      </c>
      <c r="H1717" s="28" t="n">
        <v>45912</v>
      </c>
      <c r="I1717" s="18" t="s">
        <v>815</v>
      </c>
      <c r="J1717" s="26" t="s">
        <v>426</v>
      </c>
      <c r="K1717" s="18" t="s">
        <v>428</v>
      </c>
      <c r="L1717" s="27" t="n">
        <v>2</v>
      </c>
      <c r="M1717" s="41" t="s">
        <v>429</v>
      </c>
      <c r="N1717" s="18" t="s">
        <v>430</v>
      </c>
      <c r="O1717" s="27" t="n">
        <v>2</v>
      </c>
      <c r="P1717" s="15" t="n">
        <f aca="false">IF(A1717="","",IF(O1717&lt;&gt;"",O1717,IF(L1717&lt;&gt;"",L1717,F1717)))</f>
        <v>2</v>
      </c>
    </row>
    <row r="1718" customFormat="false" ht="15" hidden="false" customHeight="true" outlineLevel="0" collapsed="false">
      <c r="A1718" s="30" t="s">
        <v>209</v>
      </c>
      <c r="B1718" s="30" t="s">
        <v>210</v>
      </c>
      <c r="C1718" s="21" t="n">
        <f aca="false">IF(A1718="","",IFERROR(VLOOKUP(A1718,'Recert Status'!$A$8:$C$400,3,FALSE()),""))</f>
        <v>46752</v>
      </c>
      <c r="D1718" s="31" t="s">
        <v>1239</v>
      </c>
      <c r="E1718" s="30" t="s">
        <v>372</v>
      </c>
      <c r="F1718" s="32" t="n">
        <v>0.75</v>
      </c>
      <c r="G1718" s="33" t="n">
        <v>45873</v>
      </c>
      <c r="H1718" s="33" t="n">
        <v>45873</v>
      </c>
      <c r="I1718" s="31" t="s">
        <v>1240</v>
      </c>
      <c r="J1718" s="30" t="s">
        <v>372</v>
      </c>
      <c r="K1718" s="31" t="s">
        <v>374</v>
      </c>
      <c r="L1718" s="32" t="n">
        <v>0.75</v>
      </c>
      <c r="M1718" s="34" t="s">
        <v>375</v>
      </c>
      <c r="N1718" s="31" t="s">
        <v>376</v>
      </c>
      <c r="O1718" s="32" t="n">
        <v>0.75</v>
      </c>
      <c r="P1718" s="15" t="n">
        <f aca="false">IF(A1718="","",IF(O1718&lt;&gt;"",O1718,IF(L1718&lt;&gt;"",L1718,F1718)))</f>
        <v>0.75</v>
      </c>
    </row>
    <row r="1719" customFormat="false" ht="15" hidden="false" customHeight="true" outlineLevel="0" collapsed="false">
      <c r="A1719" s="26" t="s">
        <v>209</v>
      </c>
      <c r="B1719" s="26" t="s">
        <v>210</v>
      </c>
      <c r="C1719" s="14" t="n">
        <f aca="false">IF(A1719="","",IFERROR(VLOOKUP(A1719,'Recert Status'!$A$8:$C$400,3,FALSE()),""))</f>
        <v>46752</v>
      </c>
      <c r="D1719" s="18" t="s">
        <v>1241</v>
      </c>
      <c r="E1719" s="26" t="s">
        <v>372</v>
      </c>
      <c r="F1719" s="27" t="n">
        <v>1</v>
      </c>
      <c r="G1719" s="28" t="n">
        <v>46140</v>
      </c>
      <c r="H1719" s="28" t="n">
        <v>46140</v>
      </c>
      <c r="I1719" s="18" t="s">
        <v>1242</v>
      </c>
      <c r="J1719" s="26" t="s">
        <v>372</v>
      </c>
      <c r="K1719" s="18" t="s">
        <v>374</v>
      </c>
      <c r="L1719" s="27" t="n">
        <v>1</v>
      </c>
      <c r="M1719" s="34" t="s">
        <v>375</v>
      </c>
      <c r="N1719" s="18" t="s">
        <v>376</v>
      </c>
      <c r="O1719" s="27" t="n">
        <v>1</v>
      </c>
      <c r="P1719" s="15" t="n">
        <f aca="false">IF(A1719="","",IF(O1719&lt;&gt;"",O1719,IF(L1719&lt;&gt;"",L1719,F1719)))</f>
        <v>1</v>
      </c>
    </row>
    <row r="1720" customFormat="false" ht="15" hidden="false" customHeight="true" outlineLevel="0" collapsed="false">
      <c r="A1720" s="30" t="s">
        <v>209</v>
      </c>
      <c r="B1720" s="30" t="s">
        <v>210</v>
      </c>
      <c r="C1720" s="21" t="n">
        <f aca="false">IF(A1720="","",IFERROR(VLOOKUP(A1720,'Recert Status'!$A$8:$C$400,3,FALSE()),""))</f>
        <v>46752</v>
      </c>
      <c r="D1720" s="31" t="s">
        <v>816</v>
      </c>
      <c r="E1720" s="30" t="s">
        <v>817</v>
      </c>
      <c r="F1720" s="32" t="n">
        <v>2</v>
      </c>
      <c r="G1720" s="33" t="n">
        <v>45882</v>
      </c>
      <c r="H1720" s="33" t="n">
        <v>45882</v>
      </c>
      <c r="I1720" s="31" t="s">
        <v>818</v>
      </c>
      <c r="J1720" s="30" t="s">
        <v>817</v>
      </c>
      <c r="K1720" s="31" t="s">
        <v>819</v>
      </c>
      <c r="L1720" s="32" t="n">
        <v>2</v>
      </c>
      <c r="M1720" s="35" t="s">
        <v>386</v>
      </c>
      <c r="N1720" s="31" t="s">
        <v>387</v>
      </c>
      <c r="O1720" s="32" t="n">
        <v>2</v>
      </c>
      <c r="P1720" s="15" t="n">
        <f aca="false">IF(A1720="","",IF(O1720&lt;&gt;"",O1720,IF(L1720&lt;&gt;"",L1720,F1720)))</f>
        <v>2</v>
      </c>
    </row>
    <row r="1721" customFormat="false" ht="15" hidden="false" customHeight="true" outlineLevel="0" collapsed="false">
      <c r="A1721" s="26" t="s">
        <v>209</v>
      </c>
      <c r="B1721" s="26" t="s">
        <v>210</v>
      </c>
      <c r="C1721" s="14" t="n">
        <f aca="false">IF(A1721="","",IFERROR(VLOOKUP(A1721,'Recert Status'!$A$8:$C$400,3,FALSE()),""))</f>
        <v>46752</v>
      </c>
      <c r="D1721" s="18" t="s">
        <v>1442</v>
      </c>
      <c r="E1721" s="26" t="n">
        <v>57435</v>
      </c>
      <c r="F1721" s="27" t="n">
        <v>1</v>
      </c>
      <c r="G1721" s="28" t="n">
        <v>45951</v>
      </c>
      <c r="H1721" s="28" t="n">
        <v>45951</v>
      </c>
      <c r="I1721" s="18" t="s">
        <v>1443</v>
      </c>
      <c r="J1721" s="26" t="s">
        <v>593</v>
      </c>
      <c r="K1721" s="18" t="s">
        <v>507</v>
      </c>
      <c r="L1721" s="27" t="n">
        <v>1</v>
      </c>
      <c r="M1721" s="35" t="s">
        <v>386</v>
      </c>
      <c r="N1721" s="18" t="s">
        <v>387</v>
      </c>
      <c r="O1721" s="27" t="n">
        <v>1</v>
      </c>
      <c r="P1721" s="15" t="n">
        <f aca="false">IF(A1721="","",IF(O1721&lt;&gt;"",O1721,IF(L1721&lt;&gt;"",L1721,F1721)))</f>
        <v>1</v>
      </c>
    </row>
    <row r="1722" customFormat="false" ht="15" hidden="false" customHeight="true" outlineLevel="0" collapsed="false">
      <c r="A1722" s="30" t="s">
        <v>209</v>
      </c>
      <c r="B1722" s="30" t="s">
        <v>210</v>
      </c>
      <c r="C1722" s="21" t="n">
        <f aca="false">IF(A1722="","",IFERROR(VLOOKUP(A1722,'Recert Status'!$A$8:$C$400,3,FALSE()),""))</f>
        <v>46752</v>
      </c>
      <c r="D1722" s="31" t="s">
        <v>447</v>
      </c>
      <c r="E1722" s="30" t="n">
        <v>29675</v>
      </c>
      <c r="F1722" s="32" t="n">
        <v>1</v>
      </c>
      <c r="G1722" s="33" t="n">
        <v>45987</v>
      </c>
      <c r="H1722" s="33" t="n">
        <v>45987</v>
      </c>
      <c r="I1722" s="31" t="s">
        <v>683</v>
      </c>
      <c r="J1722" s="30" t="s">
        <v>406</v>
      </c>
      <c r="K1722" s="31" t="s">
        <v>446</v>
      </c>
      <c r="L1722" s="32" t="n">
        <v>1</v>
      </c>
      <c r="M1722" s="35" t="s">
        <v>386</v>
      </c>
      <c r="N1722" s="31" t="s">
        <v>387</v>
      </c>
      <c r="O1722" s="32" t="n">
        <v>1</v>
      </c>
      <c r="P1722" s="15" t="n">
        <f aca="false">IF(A1722="","",IF(O1722&lt;&gt;"",O1722,IF(L1722&lt;&gt;"",L1722,F1722)))</f>
        <v>1</v>
      </c>
    </row>
    <row r="1723" customFormat="false" ht="15" hidden="false" customHeight="true" outlineLevel="0" collapsed="false">
      <c r="A1723" s="26" t="s">
        <v>209</v>
      </c>
      <c r="B1723" s="26" t="s">
        <v>210</v>
      </c>
      <c r="C1723" s="14" t="n">
        <f aca="false">IF(A1723="","",IFERROR(VLOOKUP(A1723,'Recert Status'!$A$8:$C$400,3,FALSE()),""))</f>
        <v>46752</v>
      </c>
      <c r="D1723" s="18" t="s">
        <v>387</v>
      </c>
      <c r="E1723" s="26" t="s">
        <v>389</v>
      </c>
      <c r="F1723" s="27" t="n">
        <v>1</v>
      </c>
      <c r="G1723" s="28" t="n">
        <v>46230</v>
      </c>
      <c r="H1723" s="28" t="n">
        <v>46230</v>
      </c>
      <c r="I1723" s="18" t="s">
        <v>1245</v>
      </c>
      <c r="J1723" s="26" t="s">
        <v>389</v>
      </c>
      <c r="K1723" s="18" t="s">
        <v>451</v>
      </c>
      <c r="L1723" s="27" t="n">
        <v>1</v>
      </c>
      <c r="M1723" s="35" t="s">
        <v>386</v>
      </c>
      <c r="N1723" s="18" t="s">
        <v>387</v>
      </c>
      <c r="O1723" s="27" t="n">
        <v>1</v>
      </c>
      <c r="P1723" s="15" t="n">
        <f aca="false">IF(A1723="","",IF(O1723&lt;&gt;"",O1723,IF(L1723&lt;&gt;"",L1723,F1723)))</f>
        <v>1</v>
      </c>
    </row>
    <row r="1724" customFormat="false" ht="15" hidden="false" customHeight="true" outlineLevel="0" collapsed="false">
      <c r="A1724" s="30" t="s">
        <v>209</v>
      </c>
      <c r="B1724" s="30" t="s">
        <v>210</v>
      </c>
      <c r="C1724" s="21" t="n">
        <f aca="false">IF(A1724="","",IFERROR(VLOOKUP(A1724,'Recert Status'!$A$8:$C$400,3,FALSE()),""))</f>
        <v>46752</v>
      </c>
      <c r="D1724" s="31" t="s">
        <v>1246</v>
      </c>
      <c r="E1724" s="30" t="n">
        <v>29769</v>
      </c>
      <c r="F1724" s="32" t="n">
        <v>0.5</v>
      </c>
      <c r="G1724" s="33" t="n">
        <v>45843</v>
      </c>
      <c r="H1724" s="33" t="n">
        <v>45843</v>
      </c>
      <c r="I1724" s="31" t="s">
        <v>1247</v>
      </c>
      <c r="J1724" s="30" t="s">
        <v>517</v>
      </c>
      <c r="K1724" s="31" t="s">
        <v>412</v>
      </c>
      <c r="L1724" s="32" t="n">
        <v>0.5</v>
      </c>
      <c r="M1724" s="36" t="s">
        <v>396</v>
      </c>
      <c r="N1724" s="31" t="s">
        <v>397</v>
      </c>
      <c r="O1724" s="32" t="n">
        <v>0.5</v>
      </c>
      <c r="P1724" s="15" t="n">
        <f aca="false">IF(A1724="","",IF(O1724&lt;&gt;"",O1724,IF(L1724&lt;&gt;"",L1724,F1724)))</f>
        <v>0.5</v>
      </c>
    </row>
    <row r="1725" customFormat="false" ht="15" hidden="false" customHeight="true" outlineLevel="0" collapsed="false">
      <c r="A1725" s="26" t="s">
        <v>209</v>
      </c>
      <c r="B1725" s="26" t="s">
        <v>210</v>
      </c>
      <c r="C1725" s="14" t="n">
        <f aca="false">IF(A1725="","",IFERROR(VLOOKUP(A1725,'Recert Status'!$A$8:$C$400,3,FALSE()),""))</f>
        <v>46752</v>
      </c>
      <c r="D1725" s="18" t="s">
        <v>560</v>
      </c>
      <c r="E1725" s="26" t="s">
        <v>452</v>
      </c>
      <c r="F1725" s="27" t="n">
        <v>1</v>
      </c>
      <c r="G1725" s="28" t="n">
        <v>46125</v>
      </c>
      <c r="H1725" s="28" t="n">
        <v>46125</v>
      </c>
      <c r="I1725" s="18" t="s">
        <v>1444</v>
      </c>
      <c r="J1725" s="26" t="s">
        <v>452</v>
      </c>
      <c r="K1725" s="18" t="s">
        <v>407</v>
      </c>
      <c r="L1725" s="27" t="n">
        <v>1</v>
      </c>
      <c r="M1725" s="36" t="s">
        <v>396</v>
      </c>
      <c r="N1725" s="18" t="s">
        <v>397</v>
      </c>
      <c r="O1725" s="27" t="n">
        <v>1</v>
      </c>
      <c r="P1725" s="15" t="n">
        <f aca="false">IF(A1725="","",IF(O1725&lt;&gt;"",O1725,IF(L1725&lt;&gt;"",L1725,F1725)))</f>
        <v>1</v>
      </c>
    </row>
    <row r="1726" customFormat="false" ht="15" hidden="false" customHeight="true" outlineLevel="0" collapsed="false">
      <c r="A1726" s="30" t="s">
        <v>209</v>
      </c>
      <c r="B1726" s="30" t="s">
        <v>210</v>
      </c>
      <c r="C1726" s="21" t="n">
        <f aca="false">IF(A1726="","",IFERROR(VLOOKUP(A1726,'Recert Status'!$A$8:$C$400,3,FALSE()),""))</f>
        <v>46752</v>
      </c>
      <c r="D1726" s="31" t="s">
        <v>397</v>
      </c>
      <c r="E1726" s="30" t="s">
        <v>452</v>
      </c>
      <c r="F1726" s="32" t="n">
        <v>1</v>
      </c>
      <c r="G1726" s="33" t="n">
        <v>46230</v>
      </c>
      <c r="H1726" s="33" t="n">
        <v>46230</v>
      </c>
      <c r="I1726" s="31" t="s">
        <v>1250</v>
      </c>
      <c r="J1726" s="30" t="s">
        <v>452</v>
      </c>
      <c r="K1726" s="31" t="s">
        <v>385</v>
      </c>
      <c r="L1726" s="32" t="n">
        <v>1</v>
      </c>
      <c r="M1726" s="36" t="s">
        <v>396</v>
      </c>
      <c r="N1726" s="31" t="s">
        <v>397</v>
      </c>
      <c r="O1726" s="32" t="n">
        <v>1</v>
      </c>
      <c r="P1726" s="15" t="n">
        <f aca="false">IF(A1726="","",IF(O1726&lt;&gt;"",O1726,IF(L1726&lt;&gt;"",L1726,F1726)))</f>
        <v>1</v>
      </c>
    </row>
    <row r="1727" customFormat="false" ht="15" hidden="false" customHeight="true" outlineLevel="0" collapsed="false">
      <c r="A1727" s="26" t="s">
        <v>209</v>
      </c>
      <c r="B1727" s="26" t="s">
        <v>210</v>
      </c>
      <c r="C1727" s="14" t="n">
        <f aca="false">IF(A1727="","",IFERROR(VLOOKUP(A1727,'Recert Status'!$A$8:$C$400,3,FALSE()),""))</f>
        <v>46752</v>
      </c>
      <c r="D1727" s="18" t="s">
        <v>1445</v>
      </c>
      <c r="E1727" s="26" t="s">
        <v>399</v>
      </c>
      <c r="F1727" s="27" t="n">
        <v>1</v>
      </c>
      <c r="G1727" s="28" t="n">
        <v>45951</v>
      </c>
      <c r="H1727" s="28" t="n">
        <v>45951</v>
      </c>
      <c r="I1727" s="18" t="s">
        <v>1446</v>
      </c>
      <c r="J1727" s="26" t="s">
        <v>399</v>
      </c>
      <c r="K1727" s="18" t="s">
        <v>485</v>
      </c>
      <c r="L1727" s="27" t="n">
        <v>1</v>
      </c>
      <c r="M1727" s="37" t="s">
        <v>402</v>
      </c>
      <c r="N1727" s="18" t="s">
        <v>403</v>
      </c>
      <c r="O1727" s="27" t="n">
        <v>1</v>
      </c>
      <c r="P1727" s="15" t="n">
        <f aca="false">IF(A1727="","",IF(O1727&lt;&gt;"",O1727,IF(L1727&lt;&gt;"",L1727,F1727)))</f>
        <v>1</v>
      </c>
    </row>
    <row r="1728" customFormat="false" ht="15" hidden="false" customHeight="true" outlineLevel="0" collapsed="false">
      <c r="A1728" s="30" t="s">
        <v>209</v>
      </c>
      <c r="B1728" s="30" t="s">
        <v>210</v>
      </c>
      <c r="C1728" s="21" t="n">
        <f aca="false">IF(A1728="","",IFERROR(VLOOKUP(A1728,'Recert Status'!$A$8:$C$400,3,FALSE()),""))</f>
        <v>46752</v>
      </c>
      <c r="D1728" s="31" t="s">
        <v>717</v>
      </c>
      <c r="E1728" s="30" t="s">
        <v>416</v>
      </c>
      <c r="F1728" s="32" t="n">
        <v>1</v>
      </c>
      <c r="G1728" s="33" t="n">
        <v>45867</v>
      </c>
      <c r="H1728" s="33" t="n">
        <v>45867</v>
      </c>
      <c r="I1728" s="31" t="s">
        <v>1251</v>
      </c>
      <c r="J1728" s="30" t="s">
        <v>416</v>
      </c>
      <c r="K1728" s="31" t="s">
        <v>674</v>
      </c>
      <c r="L1728" s="32" t="n">
        <v>1</v>
      </c>
      <c r="M1728" s="39" t="s">
        <v>413</v>
      </c>
      <c r="N1728" s="31" t="s">
        <v>414</v>
      </c>
      <c r="O1728" s="32" t="n">
        <v>1</v>
      </c>
      <c r="P1728" s="15" t="n">
        <f aca="false">IF(A1728="","",IF(O1728&lt;&gt;"",O1728,IF(L1728&lt;&gt;"",L1728,F1728)))</f>
        <v>1</v>
      </c>
    </row>
    <row r="1729" customFormat="false" ht="15" hidden="false" customHeight="true" outlineLevel="0" collapsed="false">
      <c r="A1729" s="26" t="s">
        <v>211</v>
      </c>
      <c r="B1729" s="26" t="s">
        <v>212</v>
      </c>
      <c r="C1729" s="14" t="n">
        <f aca="false">IF(A1729="","",IFERROR(VLOOKUP(A1729,'Recert Status'!$A$8:$C$400,3,FALSE()),""))</f>
        <v>46752</v>
      </c>
      <c r="D1729" s="18" t="s">
        <v>362</v>
      </c>
      <c r="E1729" s="26" t="s">
        <v>363</v>
      </c>
      <c r="F1729" s="27" t="n">
        <v>0.5</v>
      </c>
      <c r="G1729" s="28" t="n">
        <v>45783</v>
      </c>
      <c r="H1729" s="28" t="n">
        <v>45783</v>
      </c>
      <c r="I1729" s="18" t="s">
        <v>364</v>
      </c>
      <c r="J1729" s="26" t="s">
        <v>363</v>
      </c>
      <c r="K1729" s="18" t="s">
        <v>365</v>
      </c>
      <c r="L1729" s="27" t="n">
        <v>0.5</v>
      </c>
      <c r="M1729" s="29" t="s">
        <v>366</v>
      </c>
      <c r="N1729" s="18" t="s">
        <v>367</v>
      </c>
      <c r="O1729" s="27" t="n">
        <v>0.5</v>
      </c>
      <c r="P1729" s="15" t="n">
        <f aca="false">IF(A1729="","",IF(O1729&lt;&gt;"",O1729,IF(L1729&lt;&gt;"",L1729,F1729)))</f>
        <v>0.5</v>
      </c>
    </row>
    <row r="1730" customFormat="false" ht="15" hidden="false" customHeight="true" outlineLevel="0" collapsed="false">
      <c r="A1730" s="30" t="s">
        <v>211</v>
      </c>
      <c r="B1730" s="30" t="s">
        <v>212</v>
      </c>
      <c r="C1730" s="21" t="n">
        <f aca="false">IF(A1730="","",IFERROR(VLOOKUP(A1730,'Recert Status'!$A$8:$C$400,3,FALSE()),""))</f>
        <v>46752</v>
      </c>
      <c r="D1730" s="31" t="s">
        <v>1237</v>
      </c>
      <c r="E1730" s="30" t="s">
        <v>363</v>
      </c>
      <c r="F1730" s="32" t="n">
        <v>0.5</v>
      </c>
      <c r="G1730" s="33" t="n">
        <v>45843</v>
      </c>
      <c r="H1730" s="33" t="n">
        <v>45843</v>
      </c>
      <c r="I1730" s="31" t="s">
        <v>1238</v>
      </c>
      <c r="J1730" s="30" t="s">
        <v>363</v>
      </c>
      <c r="K1730" s="31" t="s">
        <v>370</v>
      </c>
      <c r="L1730" s="32" t="n">
        <v>0.5</v>
      </c>
      <c r="M1730" s="29" t="s">
        <v>366</v>
      </c>
      <c r="N1730" s="31" t="s">
        <v>367</v>
      </c>
      <c r="O1730" s="32" t="n">
        <v>0.5</v>
      </c>
      <c r="P1730" s="15" t="n">
        <f aca="false">IF(A1730="","",IF(O1730&lt;&gt;"",O1730,IF(L1730&lt;&gt;"",L1730,F1730)))</f>
        <v>0.5</v>
      </c>
    </row>
    <row r="1731" customFormat="false" ht="15" hidden="false" customHeight="true" outlineLevel="0" collapsed="false">
      <c r="A1731" s="26" t="s">
        <v>211</v>
      </c>
      <c r="B1731" s="26" t="s">
        <v>212</v>
      </c>
      <c r="C1731" s="14" t="n">
        <f aca="false">IF(A1731="","",IFERROR(VLOOKUP(A1731,'Recert Status'!$A$8:$C$400,3,FALSE()),""))</f>
        <v>46752</v>
      </c>
      <c r="D1731" s="18" t="s">
        <v>569</v>
      </c>
      <c r="E1731" s="26" t="n">
        <v>57433</v>
      </c>
      <c r="F1731" s="27" t="n">
        <v>1</v>
      </c>
      <c r="G1731" s="28" t="n">
        <v>46017</v>
      </c>
      <c r="H1731" s="28" t="n">
        <v>46017</v>
      </c>
      <c r="I1731" s="18" t="s">
        <v>570</v>
      </c>
      <c r="J1731" s="26" t="s">
        <v>421</v>
      </c>
      <c r="K1731" s="18" t="s">
        <v>428</v>
      </c>
      <c r="L1731" s="27" t="n">
        <v>1</v>
      </c>
      <c r="M1731" s="40" t="s">
        <v>423</v>
      </c>
      <c r="N1731" s="18" t="s">
        <v>514</v>
      </c>
      <c r="O1731" s="27" t="n">
        <v>1</v>
      </c>
      <c r="P1731" s="15" t="n">
        <f aca="false">IF(A1731="","",IF(O1731&lt;&gt;"",O1731,IF(L1731&lt;&gt;"",L1731,F1731)))</f>
        <v>1</v>
      </c>
    </row>
    <row r="1732" customFormat="false" ht="15" hidden="false" customHeight="true" outlineLevel="0" collapsed="false">
      <c r="A1732" s="30" t="s">
        <v>211</v>
      </c>
      <c r="B1732" s="30" t="s">
        <v>212</v>
      </c>
      <c r="C1732" s="21" t="n">
        <f aca="false">IF(A1732="","",IFERROR(VLOOKUP(A1732,'Recert Status'!$A$8:$C$400,3,FALSE()),""))</f>
        <v>46752</v>
      </c>
      <c r="D1732" s="31" t="s">
        <v>1239</v>
      </c>
      <c r="E1732" s="30" t="s">
        <v>372</v>
      </c>
      <c r="F1732" s="32" t="n">
        <v>0.75</v>
      </c>
      <c r="G1732" s="33" t="n">
        <v>45873</v>
      </c>
      <c r="H1732" s="33" t="n">
        <v>45873</v>
      </c>
      <c r="I1732" s="31" t="s">
        <v>1240</v>
      </c>
      <c r="J1732" s="30" t="s">
        <v>372</v>
      </c>
      <c r="K1732" s="31" t="s">
        <v>374</v>
      </c>
      <c r="L1732" s="32" t="n">
        <v>0.75</v>
      </c>
      <c r="M1732" s="34" t="s">
        <v>375</v>
      </c>
      <c r="N1732" s="31" t="s">
        <v>376</v>
      </c>
      <c r="O1732" s="32" t="n">
        <v>0.75</v>
      </c>
      <c r="P1732" s="15" t="n">
        <f aca="false">IF(A1732="","",IF(O1732&lt;&gt;"",O1732,IF(L1732&lt;&gt;"",L1732,F1732)))</f>
        <v>0.75</v>
      </c>
    </row>
    <row r="1733" customFormat="false" ht="15" hidden="false" customHeight="true" outlineLevel="0" collapsed="false">
      <c r="A1733" s="26" t="s">
        <v>211</v>
      </c>
      <c r="B1733" s="26" t="s">
        <v>212</v>
      </c>
      <c r="C1733" s="14" t="n">
        <f aca="false">IF(A1733="","",IFERROR(VLOOKUP(A1733,'Recert Status'!$A$8:$C$400,3,FALSE()),""))</f>
        <v>46752</v>
      </c>
      <c r="D1733" s="18" t="s">
        <v>816</v>
      </c>
      <c r="E1733" s="26" t="s">
        <v>817</v>
      </c>
      <c r="F1733" s="27" t="n">
        <v>2</v>
      </c>
      <c r="G1733" s="28" t="n">
        <v>45882</v>
      </c>
      <c r="H1733" s="28" t="n">
        <v>45882</v>
      </c>
      <c r="I1733" s="18" t="s">
        <v>818</v>
      </c>
      <c r="J1733" s="26" t="s">
        <v>817</v>
      </c>
      <c r="K1733" s="18" t="s">
        <v>819</v>
      </c>
      <c r="L1733" s="27" t="n">
        <v>2</v>
      </c>
      <c r="M1733" s="35" t="s">
        <v>386</v>
      </c>
      <c r="N1733" s="18" t="s">
        <v>387</v>
      </c>
      <c r="O1733" s="27" t="n">
        <v>2</v>
      </c>
      <c r="P1733" s="15" t="n">
        <f aca="false">IF(A1733="","",IF(O1733&lt;&gt;"",O1733,IF(L1733&lt;&gt;"",L1733,F1733)))</f>
        <v>2</v>
      </c>
    </row>
    <row r="1734" customFormat="false" ht="15" hidden="false" customHeight="true" outlineLevel="0" collapsed="false">
      <c r="A1734" s="30" t="s">
        <v>211</v>
      </c>
      <c r="B1734" s="30" t="s">
        <v>212</v>
      </c>
      <c r="C1734" s="21" t="n">
        <f aca="false">IF(A1734="","",IFERROR(VLOOKUP(A1734,'Recert Status'!$A$8:$C$400,3,FALSE()),""))</f>
        <v>46752</v>
      </c>
      <c r="D1734" s="31" t="s">
        <v>571</v>
      </c>
      <c r="E1734" s="30" t="n">
        <v>29675</v>
      </c>
      <c r="F1734" s="32" t="n">
        <v>1</v>
      </c>
      <c r="G1734" s="33" t="n">
        <v>45924</v>
      </c>
      <c r="H1734" s="33" t="n">
        <v>45924</v>
      </c>
      <c r="I1734" s="31" t="s">
        <v>572</v>
      </c>
      <c r="J1734" s="30" t="s">
        <v>406</v>
      </c>
      <c r="K1734" s="31" t="s">
        <v>468</v>
      </c>
      <c r="L1734" s="32" t="n">
        <v>1</v>
      </c>
      <c r="M1734" s="35" t="s">
        <v>386</v>
      </c>
      <c r="N1734" s="31" t="s">
        <v>387</v>
      </c>
      <c r="O1734" s="32" t="n">
        <v>1</v>
      </c>
      <c r="P1734" s="15" t="n">
        <f aca="false">IF(A1734="","",IF(O1734&lt;&gt;"",O1734,IF(L1734&lt;&gt;"",L1734,F1734)))</f>
        <v>1</v>
      </c>
    </row>
    <row r="1735" customFormat="false" ht="15" hidden="false" customHeight="true" outlineLevel="0" collapsed="false">
      <c r="A1735" s="26" t="s">
        <v>211</v>
      </c>
      <c r="B1735" s="26" t="s">
        <v>212</v>
      </c>
      <c r="C1735" s="14" t="n">
        <f aca="false">IF(A1735="","",IFERROR(VLOOKUP(A1735,'Recert Status'!$A$8:$C$400,3,FALSE()),""))</f>
        <v>46752</v>
      </c>
      <c r="D1735" s="18" t="s">
        <v>1447</v>
      </c>
      <c r="E1735" s="26" t="s">
        <v>389</v>
      </c>
      <c r="F1735" s="27" t="n">
        <v>1</v>
      </c>
      <c r="G1735" s="28" t="n">
        <v>45957</v>
      </c>
      <c r="H1735" s="28" t="n">
        <v>45957</v>
      </c>
      <c r="I1735" s="18" t="s">
        <v>1448</v>
      </c>
      <c r="J1735" s="26" t="s">
        <v>389</v>
      </c>
      <c r="K1735" s="18" t="s">
        <v>1244</v>
      </c>
      <c r="L1735" s="27" t="n">
        <v>1</v>
      </c>
      <c r="M1735" s="35" t="s">
        <v>386</v>
      </c>
      <c r="N1735" s="18" t="s">
        <v>387</v>
      </c>
      <c r="O1735" s="27" t="n">
        <v>1</v>
      </c>
      <c r="P1735" s="15" t="n">
        <f aca="false">IF(A1735="","",IF(O1735&lt;&gt;"",O1735,IF(L1735&lt;&gt;"",L1735,F1735)))</f>
        <v>1</v>
      </c>
    </row>
    <row r="1736" customFormat="false" ht="15" hidden="false" customHeight="true" outlineLevel="0" collapsed="false">
      <c r="A1736" s="30" t="s">
        <v>211</v>
      </c>
      <c r="B1736" s="30" t="s">
        <v>212</v>
      </c>
      <c r="C1736" s="21" t="n">
        <f aca="false">IF(A1736="","",IFERROR(VLOOKUP(A1736,'Recert Status'!$A$8:$C$400,3,FALSE()),""))</f>
        <v>46752</v>
      </c>
      <c r="D1736" s="31" t="s">
        <v>404</v>
      </c>
      <c r="E1736" s="30" t="s">
        <v>389</v>
      </c>
      <c r="F1736" s="32" t="n">
        <v>1</v>
      </c>
      <c r="G1736" s="33" t="n">
        <v>45957</v>
      </c>
      <c r="H1736" s="33" t="n">
        <v>45957</v>
      </c>
      <c r="I1736" s="31" t="s">
        <v>1449</v>
      </c>
      <c r="J1736" s="30" t="s">
        <v>389</v>
      </c>
      <c r="K1736" s="31" t="s">
        <v>451</v>
      </c>
      <c r="L1736" s="32" t="n">
        <v>1</v>
      </c>
      <c r="M1736" s="35" t="s">
        <v>386</v>
      </c>
      <c r="N1736" s="31" t="s">
        <v>387</v>
      </c>
      <c r="O1736" s="32" t="n">
        <v>1</v>
      </c>
      <c r="P1736" s="15" t="n">
        <f aca="false">IF(A1736="","",IF(O1736&lt;&gt;"",O1736,IF(L1736&lt;&gt;"",L1736,F1736)))</f>
        <v>1</v>
      </c>
    </row>
    <row r="1737" customFormat="false" ht="15" hidden="false" customHeight="true" outlineLevel="0" collapsed="false">
      <c r="A1737" s="26" t="s">
        <v>211</v>
      </c>
      <c r="B1737" s="26" t="s">
        <v>212</v>
      </c>
      <c r="C1737" s="14" t="n">
        <f aca="false">IF(A1737="","",IFERROR(VLOOKUP(A1737,'Recert Status'!$A$8:$C$400,3,FALSE()),""))</f>
        <v>46752</v>
      </c>
      <c r="D1737" s="18" t="s">
        <v>447</v>
      </c>
      <c r="E1737" s="26" t="n">
        <v>29675</v>
      </c>
      <c r="F1737" s="27" t="n">
        <v>1</v>
      </c>
      <c r="G1737" s="28" t="n">
        <v>45987</v>
      </c>
      <c r="H1737" s="28" t="n">
        <v>45987</v>
      </c>
      <c r="I1737" s="18" t="s">
        <v>683</v>
      </c>
      <c r="J1737" s="26" t="s">
        <v>406</v>
      </c>
      <c r="K1737" s="18" t="s">
        <v>446</v>
      </c>
      <c r="L1737" s="27" t="n">
        <v>1</v>
      </c>
      <c r="M1737" s="35" t="s">
        <v>386</v>
      </c>
      <c r="N1737" s="18" t="s">
        <v>387</v>
      </c>
      <c r="O1737" s="27" t="n">
        <v>1</v>
      </c>
      <c r="P1737" s="15" t="n">
        <f aca="false">IF(A1737="","",IF(O1737&lt;&gt;"",O1737,IF(L1737&lt;&gt;"",L1737,F1737)))</f>
        <v>1</v>
      </c>
    </row>
    <row r="1738" customFormat="false" ht="15" hidden="false" customHeight="true" outlineLevel="0" collapsed="false">
      <c r="A1738" s="30" t="s">
        <v>211</v>
      </c>
      <c r="B1738" s="30" t="s">
        <v>212</v>
      </c>
      <c r="C1738" s="21" t="n">
        <f aca="false">IF(A1738="","",IFERROR(VLOOKUP(A1738,'Recert Status'!$A$8:$C$400,3,FALSE()),""))</f>
        <v>46752</v>
      </c>
      <c r="D1738" s="31" t="s">
        <v>1246</v>
      </c>
      <c r="E1738" s="30" t="n">
        <v>29769</v>
      </c>
      <c r="F1738" s="32" t="n">
        <v>0.5</v>
      </c>
      <c r="G1738" s="33" t="n">
        <v>45843</v>
      </c>
      <c r="H1738" s="33" t="n">
        <v>45843</v>
      </c>
      <c r="I1738" s="31" t="s">
        <v>1247</v>
      </c>
      <c r="J1738" s="30" t="s">
        <v>517</v>
      </c>
      <c r="K1738" s="31" t="s">
        <v>412</v>
      </c>
      <c r="L1738" s="32" t="n">
        <v>0.5</v>
      </c>
      <c r="M1738" s="36" t="s">
        <v>396</v>
      </c>
      <c r="N1738" s="31" t="s">
        <v>397</v>
      </c>
      <c r="O1738" s="32" t="n">
        <v>0.5</v>
      </c>
      <c r="P1738" s="15" t="n">
        <f aca="false">IF(A1738="","",IF(O1738&lt;&gt;"",O1738,IF(L1738&lt;&gt;"",L1738,F1738)))</f>
        <v>0.5</v>
      </c>
    </row>
    <row r="1739" customFormat="false" ht="15" hidden="false" customHeight="true" outlineLevel="0" collapsed="false">
      <c r="A1739" s="26" t="s">
        <v>211</v>
      </c>
      <c r="B1739" s="26" t="s">
        <v>212</v>
      </c>
      <c r="C1739" s="14" t="n">
        <f aca="false">IF(A1739="","",IFERROR(VLOOKUP(A1739,'Recert Status'!$A$8:$C$400,3,FALSE()),""))</f>
        <v>46752</v>
      </c>
      <c r="D1739" s="18" t="s">
        <v>397</v>
      </c>
      <c r="E1739" s="26" t="s">
        <v>452</v>
      </c>
      <c r="F1739" s="27" t="n">
        <v>1</v>
      </c>
      <c r="G1739" s="28" t="n">
        <v>46245</v>
      </c>
      <c r="H1739" s="28" t="n">
        <v>46245</v>
      </c>
      <c r="I1739" s="18" t="s">
        <v>605</v>
      </c>
      <c r="J1739" s="26" t="s">
        <v>452</v>
      </c>
      <c r="K1739" s="18" t="s">
        <v>385</v>
      </c>
      <c r="L1739" s="27" t="n">
        <v>1</v>
      </c>
      <c r="M1739" s="36" t="s">
        <v>396</v>
      </c>
      <c r="N1739" s="18" t="s">
        <v>397</v>
      </c>
      <c r="O1739" s="27" t="n">
        <v>1</v>
      </c>
      <c r="P1739" s="15" t="n">
        <f aca="false">IF(A1739="","",IF(O1739&lt;&gt;"",O1739,IF(L1739&lt;&gt;"",L1739,F1739)))</f>
        <v>1</v>
      </c>
    </row>
    <row r="1740" customFormat="false" ht="15" hidden="false" customHeight="true" outlineLevel="0" collapsed="false">
      <c r="A1740" s="30" t="s">
        <v>211</v>
      </c>
      <c r="B1740" s="30" t="s">
        <v>212</v>
      </c>
      <c r="C1740" s="21" t="n">
        <f aca="false">IF(A1740="","",IFERROR(VLOOKUP(A1740,'Recert Status'!$A$8:$C$400,3,FALSE()),""))</f>
        <v>46752</v>
      </c>
      <c r="D1740" s="31" t="s">
        <v>1445</v>
      </c>
      <c r="E1740" s="30" t="s">
        <v>399</v>
      </c>
      <c r="F1740" s="32" t="n">
        <v>1</v>
      </c>
      <c r="G1740" s="33" t="n">
        <v>45951</v>
      </c>
      <c r="H1740" s="33" t="n">
        <v>45951</v>
      </c>
      <c r="I1740" s="31" t="s">
        <v>1446</v>
      </c>
      <c r="J1740" s="30" t="s">
        <v>399</v>
      </c>
      <c r="K1740" s="31" t="s">
        <v>485</v>
      </c>
      <c r="L1740" s="32" t="n">
        <v>1</v>
      </c>
      <c r="M1740" s="37" t="s">
        <v>402</v>
      </c>
      <c r="N1740" s="31" t="s">
        <v>403</v>
      </c>
      <c r="O1740" s="32" t="n">
        <v>1</v>
      </c>
      <c r="P1740" s="15" t="n">
        <f aca="false">IF(A1740="","",IF(O1740&lt;&gt;"",O1740,IF(L1740&lt;&gt;"",L1740,F1740)))</f>
        <v>1</v>
      </c>
    </row>
    <row r="1741" customFormat="false" ht="15" hidden="false" customHeight="true" outlineLevel="0" collapsed="false">
      <c r="A1741" s="26" t="s">
        <v>211</v>
      </c>
      <c r="B1741" s="26" t="s">
        <v>212</v>
      </c>
      <c r="C1741" s="14" t="n">
        <f aca="false">IF(A1741="","",IFERROR(VLOOKUP(A1741,'Recert Status'!$A$8:$C$400,3,FALSE()),""))</f>
        <v>46752</v>
      </c>
      <c r="D1741" s="18" t="s">
        <v>822</v>
      </c>
      <c r="E1741" s="26" t="s">
        <v>416</v>
      </c>
      <c r="F1741" s="27" t="n">
        <v>2</v>
      </c>
      <c r="G1741" s="28" t="n">
        <v>45861</v>
      </c>
      <c r="H1741" s="28" t="n">
        <v>45861</v>
      </c>
      <c r="I1741" s="18" t="s">
        <v>823</v>
      </c>
      <c r="J1741" s="26" t="s">
        <v>416</v>
      </c>
      <c r="K1741" s="18" t="s">
        <v>523</v>
      </c>
      <c r="L1741" s="27" t="n">
        <v>2</v>
      </c>
      <c r="M1741" s="39" t="s">
        <v>413</v>
      </c>
      <c r="N1741" s="18" t="s">
        <v>414</v>
      </c>
      <c r="O1741" s="27" t="n">
        <v>2</v>
      </c>
      <c r="P1741" s="15" t="n">
        <f aca="false">IF(A1741="","",IF(O1741&lt;&gt;"",O1741,IF(L1741&lt;&gt;"",L1741,F1741)))</f>
        <v>2</v>
      </c>
    </row>
    <row r="1742" customFormat="false" ht="15" hidden="false" customHeight="true" outlineLevel="0" collapsed="false">
      <c r="A1742" s="30" t="s">
        <v>211</v>
      </c>
      <c r="B1742" s="30" t="s">
        <v>212</v>
      </c>
      <c r="C1742" s="21" t="n">
        <f aca="false">IF(A1742="","",IFERROR(VLOOKUP(A1742,'Recert Status'!$A$8:$C$400,3,FALSE()),""))</f>
        <v>46752</v>
      </c>
      <c r="D1742" s="31" t="s">
        <v>717</v>
      </c>
      <c r="E1742" s="30" t="s">
        <v>416</v>
      </c>
      <c r="F1742" s="32" t="n">
        <v>1</v>
      </c>
      <c r="G1742" s="33" t="n">
        <v>45867</v>
      </c>
      <c r="H1742" s="33" t="n">
        <v>45867</v>
      </c>
      <c r="I1742" s="31" t="s">
        <v>1251</v>
      </c>
      <c r="J1742" s="30" t="s">
        <v>416</v>
      </c>
      <c r="K1742" s="31" t="s">
        <v>674</v>
      </c>
      <c r="L1742" s="32" t="n">
        <v>1</v>
      </c>
      <c r="M1742" s="39" t="s">
        <v>413</v>
      </c>
      <c r="N1742" s="31" t="s">
        <v>414</v>
      </c>
      <c r="O1742" s="32" t="n">
        <v>1</v>
      </c>
      <c r="P1742" s="15" t="n">
        <f aca="false">IF(A1742="","",IF(O1742&lt;&gt;"",O1742,IF(L1742&lt;&gt;"",L1742,F1742)))</f>
        <v>1</v>
      </c>
    </row>
    <row r="1743" customFormat="false" ht="15" hidden="false" customHeight="true" outlineLevel="0" collapsed="false">
      <c r="A1743" s="26" t="s">
        <v>211</v>
      </c>
      <c r="B1743" s="26" t="s">
        <v>212</v>
      </c>
      <c r="C1743" s="14" t="n">
        <f aca="false">IF(A1743="","",IFERROR(VLOOKUP(A1743,'Recert Status'!$A$8:$C$400,3,FALSE()),""))</f>
        <v>46752</v>
      </c>
      <c r="D1743" s="18" t="s">
        <v>488</v>
      </c>
      <c r="E1743" s="26" t="s">
        <v>416</v>
      </c>
      <c r="F1743" s="27" t="n">
        <v>1</v>
      </c>
      <c r="G1743" s="28" t="n">
        <v>46128</v>
      </c>
      <c r="H1743" s="28" t="n">
        <v>46128</v>
      </c>
      <c r="I1743" s="18" t="s">
        <v>609</v>
      </c>
      <c r="J1743" s="26" t="s">
        <v>416</v>
      </c>
      <c r="K1743" s="18" t="s">
        <v>490</v>
      </c>
      <c r="L1743" s="27" t="n">
        <v>1</v>
      </c>
      <c r="M1743" s="39" t="s">
        <v>413</v>
      </c>
      <c r="N1743" s="18" t="s">
        <v>414</v>
      </c>
      <c r="O1743" s="27" t="n">
        <v>1</v>
      </c>
      <c r="P1743" s="15" t="n">
        <f aca="false">IF(A1743="","",IF(O1743&lt;&gt;"",O1743,IF(L1743&lt;&gt;"",L1743,F1743)))</f>
        <v>1</v>
      </c>
    </row>
    <row r="1744" customFormat="false" ht="15" hidden="false" customHeight="true" outlineLevel="0" collapsed="false">
      <c r="A1744" s="30" t="s">
        <v>211</v>
      </c>
      <c r="B1744" s="30" t="s">
        <v>212</v>
      </c>
      <c r="C1744" s="21" t="n">
        <f aca="false">IF(A1744="","",IFERROR(VLOOKUP(A1744,'Recert Status'!$A$8:$C$400,3,FALSE()),""))</f>
        <v>46752</v>
      </c>
      <c r="D1744" s="31" t="s">
        <v>414</v>
      </c>
      <c r="E1744" s="30" t="s">
        <v>416</v>
      </c>
      <c r="F1744" s="32" t="n">
        <v>2</v>
      </c>
      <c r="G1744" s="33" t="n">
        <v>46218</v>
      </c>
      <c r="H1744" s="33" t="n">
        <v>46218</v>
      </c>
      <c r="I1744" s="31" t="s">
        <v>535</v>
      </c>
      <c r="J1744" s="30" t="s">
        <v>416</v>
      </c>
      <c r="K1744" s="31" t="s">
        <v>418</v>
      </c>
      <c r="L1744" s="32" t="n">
        <v>2</v>
      </c>
      <c r="M1744" s="39" t="s">
        <v>413</v>
      </c>
      <c r="N1744" s="31" t="s">
        <v>414</v>
      </c>
      <c r="O1744" s="32" t="n">
        <v>2</v>
      </c>
      <c r="P1744" s="15" t="n">
        <f aca="false">IF(A1744="","",IF(O1744&lt;&gt;"",O1744,IF(L1744&lt;&gt;"",L1744,F1744)))</f>
        <v>2</v>
      </c>
    </row>
    <row r="1745" customFormat="false" ht="15" hidden="false" customHeight="true" outlineLevel="0" collapsed="false">
      <c r="A1745" s="26" t="s">
        <v>213</v>
      </c>
      <c r="B1745" s="26" t="s">
        <v>214</v>
      </c>
      <c r="C1745" s="14" t="n">
        <f aca="false">IF(A1745="","",IFERROR(VLOOKUP(A1745,'Recert Status'!$A$8:$C$400,3,FALSE()),""))</f>
        <v>46387</v>
      </c>
      <c r="D1745" s="18" t="s">
        <v>508</v>
      </c>
      <c r="E1745" s="26" t="s">
        <v>426</v>
      </c>
      <c r="F1745" s="27" t="n">
        <v>1.5</v>
      </c>
      <c r="G1745" s="28" t="n">
        <v>45973</v>
      </c>
      <c r="H1745" s="28" t="n">
        <v>45973</v>
      </c>
      <c r="I1745" s="18" t="s">
        <v>731</v>
      </c>
      <c r="J1745" s="26" t="s">
        <v>426</v>
      </c>
      <c r="K1745" s="18" t="s">
        <v>428</v>
      </c>
      <c r="L1745" s="27" t="n">
        <v>1.5</v>
      </c>
      <c r="M1745" s="41" t="s">
        <v>429</v>
      </c>
      <c r="N1745" s="18" t="s">
        <v>430</v>
      </c>
      <c r="O1745" s="27" t="n">
        <v>1.5</v>
      </c>
      <c r="P1745" s="15" t="n">
        <f aca="false">IF(A1745="","",IF(O1745&lt;&gt;"",O1745,IF(L1745&lt;&gt;"",L1745,F1745)))</f>
        <v>1.5</v>
      </c>
    </row>
    <row r="1746" customFormat="false" ht="15" hidden="false" customHeight="true" outlineLevel="0" collapsed="false">
      <c r="A1746" s="30" t="s">
        <v>213</v>
      </c>
      <c r="B1746" s="30" t="s">
        <v>214</v>
      </c>
      <c r="C1746" s="21" t="n">
        <f aca="false">IF(A1746="","",IFERROR(VLOOKUP(A1746,'Recert Status'!$A$8:$C$400,3,FALSE()),""))</f>
        <v>46387</v>
      </c>
      <c r="D1746" s="31" t="s">
        <v>741</v>
      </c>
      <c r="E1746" s="30" t="s">
        <v>389</v>
      </c>
      <c r="F1746" s="32" t="n">
        <v>1</v>
      </c>
      <c r="G1746" s="33" t="n">
        <v>45973</v>
      </c>
      <c r="H1746" s="33" t="n">
        <v>45973</v>
      </c>
      <c r="I1746" s="31" t="s">
        <v>731</v>
      </c>
      <c r="J1746" s="30" t="s">
        <v>389</v>
      </c>
      <c r="K1746" s="31" t="s">
        <v>509</v>
      </c>
      <c r="L1746" s="32" t="n">
        <v>1</v>
      </c>
      <c r="M1746" s="35" t="s">
        <v>386</v>
      </c>
      <c r="N1746" s="31" t="s">
        <v>387</v>
      </c>
      <c r="O1746" s="32" t="n">
        <v>1</v>
      </c>
      <c r="P1746" s="15" t="n">
        <f aca="false">IF(A1746="","",IF(O1746&lt;&gt;"",O1746,IF(L1746&lt;&gt;"",L1746,F1746)))</f>
        <v>1</v>
      </c>
    </row>
    <row r="1747" customFormat="false" ht="15" hidden="false" customHeight="true" outlineLevel="0" collapsed="false">
      <c r="A1747" s="26" t="s">
        <v>213</v>
      </c>
      <c r="B1747" s="26" t="s">
        <v>214</v>
      </c>
      <c r="C1747" s="14" t="n">
        <f aca="false">IF(A1747="","",IFERROR(VLOOKUP(A1747,'Recert Status'!$A$8:$C$400,3,FALSE()),""))</f>
        <v>46387</v>
      </c>
      <c r="D1747" s="18" t="s">
        <v>1027</v>
      </c>
      <c r="E1747" s="26" t="s">
        <v>1028</v>
      </c>
      <c r="F1747" s="27" t="n">
        <v>1</v>
      </c>
      <c r="G1747" s="28" t="n">
        <v>45973</v>
      </c>
      <c r="H1747" s="28" t="n">
        <v>45973</v>
      </c>
      <c r="I1747" s="18" t="s">
        <v>1029</v>
      </c>
      <c r="J1747" s="26" t="s">
        <v>1028</v>
      </c>
      <c r="K1747" s="18" t="s">
        <v>766</v>
      </c>
      <c r="L1747" s="27" t="n">
        <v>1</v>
      </c>
      <c r="M1747" s="35" t="s">
        <v>386</v>
      </c>
      <c r="N1747" s="18" t="s">
        <v>514</v>
      </c>
      <c r="O1747" s="27" t="n">
        <v>1</v>
      </c>
      <c r="P1747" s="15" t="n">
        <f aca="false">IF(A1747="","",IF(O1747&lt;&gt;"",O1747,IF(L1747&lt;&gt;"",L1747,F1747)))</f>
        <v>1</v>
      </c>
    </row>
    <row r="1748" customFormat="false" ht="15" hidden="false" customHeight="true" outlineLevel="0" collapsed="false">
      <c r="A1748" s="30" t="s">
        <v>213</v>
      </c>
      <c r="B1748" s="30" t="s">
        <v>214</v>
      </c>
      <c r="C1748" s="21" t="n">
        <f aca="false">IF(A1748="","",IFERROR(VLOOKUP(A1748,'Recert Status'!$A$8:$C$400,3,FALSE()),""))</f>
        <v>46387</v>
      </c>
      <c r="D1748" s="31" t="s">
        <v>742</v>
      </c>
      <c r="E1748" s="30" t="n">
        <v>29668</v>
      </c>
      <c r="F1748" s="32" t="n">
        <v>1.5</v>
      </c>
      <c r="G1748" s="33" t="n">
        <v>45973</v>
      </c>
      <c r="H1748" s="33" t="n">
        <v>45973</v>
      </c>
      <c r="I1748" s="31" t="s">
        <v>743</v>
      </c>
      <c r="J1748" s="30" t="s">
        <v>511</v>
      </c>
      <c r="K1748" s="31" t="s">
        <v>509</v>
      </c>
      <c r="L1748" s="32" t="n">
        <v>1.5</v>
      </c>
      <c r="M1748" s="35" t="s">
        <v>386</v>
      </c>
      <c r="N1748" s="31" t="s">
        <v>387</v>
      </c>
      <c r="O1748" s="32" t="n">
        <v>1.5</v>
      </c>
      <c r="P1748" s="15" t="n">
        <f aca="false">IF(A1748="","",IF(O1748&lt;&gt;"",O1748,IF(L1748&lt;&gt;"",L1748,F1748)))</f>
        <v>1.5</v>
      </c>
    </row>
    <row r="1749" customFormat="false" ht="15" hidden="false" customHeight="true" outlineLevel="0" collapsed="false">
      <c r="A1749" s="26" t="s">
        <v>213</v>
      </c>
      <c r="B1749" s="26" t="s">
        <v>214</v>
      </c>
      <c r="C1749" s="14" t="n">
        <f aca="false">IF(A1749="","",IFERROR(VLOOKUP(A1749,'Recert Status'!$A$8:$C$400,3,FALSE()),""))</f>
        <v>46387</v>
      </c>
      <c r="D1749" s="18" t="s">
        <v>682</v>
      </c>
      <c r="E1749" s="26" t="n">
        <v>29675</v>
      </c>
      <c r="F1749" s="27" t="n">
        <v>1</v>
      </c>
      <c r="G1749" s="28" t="n">
        <v>45985</v>
      </c>
      <c r="H1749" s="28" t="n">
        <v>45985</v>
      </c>
      <c r="I1749" s="18" t="s">
        <v>1074</v>
      </c>
      <c r="J1749" s="26" t="s">
        <v>406</v>
      </c>
      <c r="K1749" s="18" t="s">
        <v>446</v>
      </c>
      <c r="L1749" s="27" t="n">
        <v>1</v>
      </c>
      <c r="M1749" s="35" t="s">
        <v>386</v>
      </c>
      <c r="N1749" s="18" t="s">
        <v>387</v>
      </c>
      <c r="O1749" s="27" t="n">
        <v>1</v>
      </c>
      <c r="P1749" s="15" t="n">
        <f aca="false">IF(A1749="","",IF(O1749&lt;&gt;"",O1749,IF(L1749&lt;&gt;"",L1749,F1749)))</f>
        <v>1</v>
      </c>
    </row>
    <row r="1750" customFormat="false" ht="15" hidden="false" customHeight="true" outlineLevel="0" collapsed="false">
      <c r="A1750" s="30" t="s">
        <v>213</v>
      </c>
      <c r="B1750" s="30" t="s">
        <v>214</v>
      </c>
      <c r="C1750" s="21" t="n">
        <f aca="false">IF(A1750="","",IFERROR(VLOOKUP(A1750,'Recert Status'!$A$8:$C$400,3,FALSE()),""))</f>
        <v>46387</v>
      </c>
      <c r="D1750" s="31" t="s">
        <v>744</v>
      </c>
      <c r="E1750" s="30" t="s">
        <v>452</v>
      </c>
      <c r="F1750" s="32" t="n">
        <v>4</v>
      </c>
      <c r="G1750" s="33" t="n">
        <v>45973</v>
      </c>
      <c r="H1750" s="33" t="n">
        <v>45973</v>
      </c>
      <c r="I1750" s="31" t="s">
        <v>731</v>
      </c>
      <c r="J1750" s="30" t="s">
        <v>452</v>
      </c>
      <c r="K1750" s="31" t="s">
        <v>385</v>
      </c>
      <c r="L1750" s="32" t="n">
        <v>4</v>
      </c>
      <c r="M1750" s="36" t="s">
        <v>396</v>
      </c>
      <c r="N1750" s="31" t="s">
        <v>397</v>
      </c>
      <c r="O1750" s="32" t="n">
        <v>4</v>
      </c>
      <c r="P1750" s="15" t="n">
        <f aca="false">IF(A1750="","",IF(O1750&lt;&gt;"",O1750,IF(L1750&lt;&gt;"",L1750,F1750)))</f>
        <v>4</v>
      </c>
    </row>
    <row r="1751" customFormat="false" ht="15" hidden="false" customHeight="true" outlineLevel="0" collapsed="false">
      <c r="A1751" s="26" t="s">
        <v>213</v>
      </c>
      <c r="B1751" s="26" t="s">
        <v>214</v>
      </c>
      <c r="C1751" s="14" t="n">
        <f aca="false">IF(A1751="","",IFERROR(VLOOKUP(A1751,'Recert Status'!$A$8:$C$400,3,FALSE()),""))</f>
        <v>46387</v>
      </c>
      <c r="D1751" s="18" t="s">
        <v>397</v>
      </c>
      <c r="E1751" s="26" t="s">
        <v>452</v>
      </c>
      <c r="F1751" s="27" t="n">
        <v>1</v>
      </c>
      <c r="G1751" s="28" t="n">
        <v>46244</v>
      </c>
      <c r="H1751" s="28" t="n">
        <v>46244</v>
      </c>
      <c r="I1751" s="18" t="s">
        <v>577</v>
      </c>
      <c r="J1751" s="26" t="s">
        <v>452</v>
      </c>
      <c r="K1751" s="18" t="s">
        <v>385</v>
      </c>
      <c r="L1751" s="27" t="n">
        <v>1</v>
      </c>
      <c r="M1751" s="36" t="s">
        <v>396</v>
      </c>
      <c r="N1751" s="18" t="s">
        <v>397</v>
      </c>
      <c r="O1751" s="27" t="n">
        <v>1</v>
      </c>
      <c r="P1751" s="15" t="n">
        <f aca="false">IF(A1751="","",IF(O1751&lt;&gt;"",O1751,IF(L1751&lt;&gt;"",L1751,F1751)))</f>
        <v>1</v>
      </c>
    </row>
    <row r="1752" customFormat="false" ht="15" hidden="false" customHeight="true" outlineLevel="0" collapsed="false">
      <c r="A1752" s="30" t="s">
        <v>213</v>
      </c>
      <c r="B1752" s="30" t="s">
        <v>214</v>
      </c>
      <c r="C1752" s="21" t="n">
        <f aca="false">IF(A1752="","",IFERROR(VLOOKUP(A1752,'Recert Status'!$A$8:$C$400,3,FALSE()),""))</f>
        <v>46387</v>
      </c>
      <c r="D1752" s="31" t="s">
        <v>717</v>
      </c>
      <c r="E1752" s="30" t="s">
        <v>416</v>
      </c>
      <c r="F1752" s="32" t="n">
        <v>2</v>
      </c>
      <c r="G1752" s="33" t="n">
        <v>45859</v>
      </c>
      <c r="H1752" s="33" t="n">
        <v>45859</v>
      </c>
      <c r="I1752" s="31" t="s">
        <v>718</v>
      </c>
      <c r="J1752" s="30" t="s">
        <v>416</v>
      </c>
      <c r="K1752" s="31" t="s">
        <v>418</v>
      </c>
      <c r="L1752" s="32" t="n">
        <v>2</v>
      </c>
      <c r="M1752" s="39" t="s">
        <v>413</v>
      </c>
      <c r="N1752" s="31" t="s">
        <v>414</v>
      </c>
      <c r="O1752" s="32" t="n">
        <v>2</v>
      </c>
      <c r="P1752" s="15" t="n">
        <f aca="false">IF(A1752="","",IF(O1752&lt;&gt;"",O1752,IF(L1752&lt;&gt;"",L1752,F1752)))</f>
        <v>2</v>
      </c>
    </row>
    <row r="1753" customFormat="false" ht="15" hidden="false" customHeight="true" outlineLevel="0" collapsed="false">
      <c r="A1753" s="26" t="s">
        <v>213</v>
      </c>
      <c r="B1753" s="26" t="s">
        <v>214</v>
      </c>
      <c r="C1753" s="14" t="n">
        <f aca="false">IF(A1753="","",IFERROR(VLOOKUP(A1753,'Recert Status'!$A$8:$C$400,3,FALSE()),""))</f>
        <v>46387</v>
      </c>
      <c r="D1753" s="18" t="s">
        <v>488</v>
      </c>
      <c r="E1753" s="26" t="s">
        <v>416</v>
      </c>
      <c r="F1753" s="27" t="n">
        <v>1</v>
      </c>
      <c r="G1753" s="28" t="n">
        <v>46132</v>
      </c>
      <c r="H1753" s="28" t="n">
        <v>46132</v>
      </c>
      <c r="I1753" s="18" t="s">
        <v>609</v>
      </c>
      <c r="J1753" s="26" t="s">
        <v>416</v>
      </c>
      <c r="K1753" s="18" t="s">
        <v>490</v>
      </c>
      <c r="L1753" s="27" t="n">
        <v>1</v>
      </c>
      <c r="M1753" s="39" t="s">
        <v>413</v>
      </c>
      <c r="N1753" s="18" t="s">
        <v>414</v>
      </c>
      <c r="O1753" s="27" t="n">
        <v>1</v>
      </c>
      <c r="P1753" s="15" t="n">
        <f aca="false">IF(A1753="","",IF(O1753&lt;&gt;"",O1753,IF(L1753&lt;&gt;"",L1753,F1753)))</f>
        <v>1</v>
      </c>
    </row>
    <row r="1754" customFormat="false" ht="15" hidden="false" customHeight="true" outlineLevel="0" collapsed="false">
      <c r="A1754" s="30" t="s">
        <v>215</v>
      </c>
      <c r="B1754" s="30" t="s">
        <v>216</v>
      </c>
      <c r="C1754" s="21" t="n">
        <f aca="false">IF(A1754="","",IFERROR(VLOOKUP(A1754,'Recert Status'!$A$8:$C$400,3,FALSE()),""))</f>
        <v>46387</v>
      </c>
      <c r="D1754" s="31" t="s">
        <v>584</v>
      </c>
      <c r="E1754" s="30" t="s">
        <v>542</v>
      </c>
      <c r="F1754" s="32" t="n">
        <v>3</v>
      </c>
      <c r="G1754" s="33" t="n">
        <v>45892</v>
      </c>
      <c r="H1754" s="33" t="n">
        <v>45892</v>
      </c>
      <c r="I1754" s="31" t="s">
        <v>585</v>
      </c>
      <c r="J1754" s="30" t="s">
        <v>542</v>
      </c>
      <c r="K1754" s="31" t="s">
        <v>586</v>
      </c>
      <c r="L1754" s="32" t="n">
        <v>3</v>
      </c>
      <c r="M1754" s="40" t="s">
        <v>423</v>
      </c>
      <c r="N1754" s="31" t="s">
        <v>424</v>
      </c>
      <c r="O1754" s="32" t="n">
        <v>3</v>
      </c>
      <c r="P1754" s="15" t="n">
        <f aca="false">IF(A1754="","",IF(O1754&lt;&gt;"",O1754,IF(L1754&lt;&gt;"",L1754,F1754)))</f>
        <v>3</v>
      </c>
    </row>
    <row r="1755" customFormat="false" ht="15" hidden="false" customHeight="true" outlineLevel="0" collapsed="false">
      <c r="A1755" s="26" t="s">
        <v>215</v>
      </c>
      <c r="B1755" s="26" t="s">
        <v>216</v>
      </c>
      <c r="C1755" s="14" t="n">
        <f aca="false">IF(A1755="","",IFERROR(VLOOKUP(A1755,'Recert Status'!$A$8:$C$400,3,FALSE()),""))</f>
        <v>46387</v>
      </c>
      <c r="D1755" s="18" t="s">
        <v>800</v>
      </c>
      <c r="E1755" s="26" t="s">
        <v>389</v>
      </c>
      <c r="F1755" s="27" t="n">
        <v>0.5</v>
      </c>
      <c r="G1755" s="28" t="n">
        <v>45838</v>
      </c>
      <c r="H1755" s="28" t="n">
        <v>45838</v>
      </c>
      <c r="I1755" s="18" t="s">
        <v>801</v>
      </c>
      <c r="J1755" s="26" t="s">
        <v>389</v>
      </c>
      <c r="K1755" s="18" t="s">
        <v>451</v>
      </c>
      <c r="L1755" s="27" t="n">
        <v>0.5</v>
      </c>
      <c r="M1755" s="35" t="s">
        <v>386</v>
      </c>
      <c r="N1755" s="18" t="s">
        <v>387</v>
      </c>
      <c r="O1755" s="27" t="n">
        <v>0.5</v>
      </c>
      <c r="P1755" s="15" t="n">
        <f aca="false">IF(A1755="","",IF(O1755&lt;&gt;"",O1755,IF(L1755&lt;&gt;"",L1755,F1755)))</f>
        <v>0.5</v>
      </c>
    </row>
    <row r="1756" customFormat="false" ht="15" hidden="false" customHeight="true" outlineLevel="0" collapsed="false">
      <c r="A1756" s="30" t="s">
        <v>215</v>
      </c>
      <c r="B1756" s="30" t="s">
        <v>216</v>
      </c>
      <c r="C1756" s="21" t="n">
        <f aca="false">IF(A1756="","",IFERROR(VLOOKUP(A1756,'Recert Status'!$A$8:$C$400,3,FALSE()),""))</f>
        <v>46387</v>
      </c>
      <c r="D1756" s="31" t="s">
        <v>382</v>
      </c>
      <c r="E1756" s="30" t="n">
        <v>35513</v>
      </c>
      <c r="F1756" s="32" t="n">
        <v>2</v>
      </c>
      <c r="G1756" s="33" t="n">
        <v>45883</v>
      </c>
      <c r="H1756" s="33" t="n">
        <v>45883</v>
      </c>
      <c r="I1756" s="31" t="s">
        <v>383</v>
      </c>
      <c r="J1756" s="30" t="s">
        <v>384</v>
      </c>
      <c r="K1756" s="31" t="s">
        <v>385</v>
      </c>
      <c r="L1756" s="32" t="n">
        <v>2</v>
      </c>
      <c r="M1756" s="35" t="s">
        <v>386</v>
      </c>
      <c r="N1756" s="31" t="s">
        <v>387</v>
      </c>
      <c r="O1756" s="32" t="n">
        <v>2</v>
      </c>
      <c r="P1756" s="15" t="n">
        <f aca="false">IF(A1756="","",IF(O1756&lt;&gt;"",O1756,IF(L1756&lt;&gt;"",L1756,F1756)))</f>
        <v>2</v>
      </c>
    </row>
    <row r="1757" customFormat="false" ht="15" hidden="false" customHeight="true" outlineLevel="0" collapsed="false">
      <c r="A1757" s="26" t="s">
        <v>215</v>
      </c>
      <c r="B1757" s="26" t="s">
        <v>216</v>
      </c>
      <c r="C1757" s="14" t="n">
        <f aca="false">IF(A1757="","",IFERROR(VLOOKUP(A1757,'Recert Status'!$A$8:$C$400,3,FALSE()),""))</f>
        <v>46387</v>
      </c>
      <c r="D1757" s="18" t="s">
        <v>682</v>
      </c>
      <c r="E1757" s="26" t="n">
        <v>29675</v>
      </c>
      <c r="F1757" s="27" t="n">
        <v>1</v>
      </c>
      <c r="G1757" s="28" t="n">
        <v>45985</v>
      </c>
      <c r="H1757" s="28" t="n">
        <v>45985</v>
      </c>
      <c r="I1757" s="18" t="s">
        <v>1074</v>
      </c>
      <c r="J1757" s="26" t="s">
        <v>406</v>
      </c>
      <c r="K1757" s="18" t="s">
        <v>446</v>
      </c>
      <c r="L1757" s="27" t="n">
        <v>1</v>
      </c>
      <c r="M1757" s="35" t="s">
        <v>386</v>
      </c>
      <c r="N1757" s="18" t="s">
        <v>387</v>
      </c>
      <c r="O1757" s="27" t="n">
        <v>1</v>
      </c>
      <c r="P1757" s="15" t="n">
        <f aca="false">IF(A1757="","",IF(O1757&lt;&gt;"",O1757,IF(L1757&lt;&gt;"",L1757,F1757)))</f>
        <v>1</v>
      </c>
    </row>
    <row r="1758" customFormat="false" ht="15" hidden="false" customHeight="true" outlineLevel="0" collapsed="false">
      <c r="A1758" s="30" t="s">
        <v>215</v>
      </c>
      <c r="B1758" s="30" t="s">
        <v>216</v>
      </c>
      <c r="C1758" s="21" t="n">
        <f aca="false">IF(A1758="","",IFERROR(VLOOKUP(A1758,'Recert Status'!$A$8:$C$400,3,FALSE()),""))</f>
        <v>46387</v>
      </c>
      <c r="D1758" s="31" t="s">
        <v>802</v>
      </c>
      <c r="E1758" s="30" t="n">
        <v>35513</v>
      </c>
      <c r="F1758" s="32" t="n">
        <v>1</v>
      </c>
      <c r="G1758" s="33" t="n">
        <v>45868</v>
      </c>
      <c r="H1758" s="33" t="n">
        <v>45868</v>
      </c>
      <c r="I1758" s="31" t="s">
        <v>803</v>
      </c>
      <c r="J1758" s="30" t="s">
        <v>384</v>
      </c>
      <c r="K1758" s="31" t="s">
        <v>385</v>
      </c>
      <c r="L1758" s="32" t="n">
        <v>1</v>
      </c>
      <c r="M1758" s="36" t="s">
        <v>396</v>
      </c>
      <c r="N1758" s="31" t="s">
        <v>397</v>
      </c>
      <c r="O1758" s="32" t="n">
        <v>1</v>
      </c>
      <c r="P1758" s="15" t="n">
        <f aca="false">IF(A1758="","",IF(O1758&lt;&gt;"",O1758,IF(L1758&lt;&gt;"",L1758,F1758)))</f>
        <v>1</v>
      </c>
    </row>
    <row r="1759" customFormat="false" ht="15" hidden="false" customHeight="true" outlineLevel="0" collapsed="false">
      <c r="A1759" s="26" t="s">
        <v>215</v>
      </c>
      <c r="B1759" s="26" t="s">
        <v>216</v>
      </c>
      <c r="C1759" s="14" t="n">
        <f aca="false">IF(A1759="","",IFERROR(VLOOKUP(A1759,'Recert Status'!$A$8:$C$400,3,FALSE()),""))</f>
        <v>46387</v>
      </c>
      <c r="D1759" s="18" t="s">
        <v>397</v>
      </c>
      <c r="E1759" s="26" t="s">
        <v>452</v>
      </c>
      <c r="F1759" s="27" t="n">
        <v>1</v>
      </c>
      <c r="G1759" s="28" t="n">
        <v>46246</v>
      </c>
      <c r="H1759" s="28" t="n">
        <v>46246</v>
      </c>
      <c r="I1759" s="18" t="s">
        <v>478</v>
      </c>
      <c r="J1759" s="26" t="s">
        <v>452</v>
      </c>
      <c r="K1759" s="18" t="s">
        <v>385</v>
      </c>
      <c r="L1759" s="27" t="n">
        <v>1</v>
      </c>
      <c r="M1759" s="36" t="s">
        <v>396</v>
      </c>
      <c r="N1759" s="18" t="s">
        <v>397</v>
      </c>
      <c r="O1759" s="27" t="n">
        <v>1</v>
      </c>
      <c r="P1759" s="15" t="n">
        <f aca="false">IF(A1759="","",IF(O1759&lt;&gt;"",O1759,IF(L1759&lt;&gt;"",L1759,F1759)))</f>
        <v>1</v>
      </c>
    </row>
    <row r="1760" customFormat="false" ht="15" hidden="false" customHeight="true" outlineLevel="0" collapsed="false">
      <c r="A1760" s="30" t="s">
        <v>215</v>
      </c>
      <c r="B1760" s="30" t="s">
        <v>216</v>
      </c>
      <c r="C1760" s="21" t="n">
        <f aca="false">IF(A1760="","",IFERROR(VLOOKUP(A1760,'Recert Status'!$A$8:$C$400,3,FALSE()),""))</f>
        <v>46387</v>
      </c>
      <c r="D1760" s="31" t="s">
        <v>397</v>
      </c>
      <c r="E1760" s="30" t="s">
        <v>452</v>
      </c>
      <c r="F1760" s="32" t="n">
        <v>1</v>
      </c>
      <c r="G1760" s="33" t="n">
        <v>46292</v>
      </c>
      <c r="H1760" s="33" t="n">
        <v>46292</v>
      </c>
      <c r="I1760" s="31" t="s">
        <v>1233</v>
      </c>
      <c r="J1760" s="30" t="s">
        <v>452</v>
      </c>
      <c r="K1760" s="31" t="s">
        <v>385</v>
      </c>
      <c r="L1760" s="32" t="n">
        <v>1</v>
      </c>
      <c r="M1760" s="36" t="s">
        <v>396</v>
      </c>
      <c r="N1760" s="31" t="s">
        <v>397</v>
      </c>
      <c r="O1760" s="32" t="n">
        <v>1</v>
      </c>
      <c r="P1760" s="15" t="n">
        <f aca="false">IF(A1760="","",IF(O1760&lt;&gt;"",O1760,IF(L1760&lt;&gt;"",L1760,F1760)))</f>
        <v>1</v>
      </c>
    </row>
    <row r="1761" customFormat="false" ht="15" hidden="false" customHeight="true" outlineLevel="0" collapsed="false">
      <c r="A1761" s="26" t="s">
        <v>215</v>
      </c>
      <c r="B1761" s="26" t="s">
        <v>216</v>
      </c>
      <c r="C1761" s="14" t="n">
        <f aca="false">IF(A1761="","",IFERROR(VLOOKUP(A1761,'Recert Status'!$A$8:$C$400,3,FALSE()),""))</f>
        <v>46387</v>
      </c>
      <c r="D1761" s="18" t="s">
        <v>717</v>
      </c>
      <c r="E1761" s="26" t="s">
        <v>416</v>
      </c>
      <c r="F1761" s="27" t="n">
        <v>1</v>
      </c>
      <c r="G1761" s="28" t="n">
        <v>45826</v>
      </c>
      <c r="H1761" s="28" t="n">
        <v>45826</v>
      </c>
      <c r="I1761" s="18" t="s">
        <v>821</v>
      </c>
      <c r="J1761" s="26" t="s">
        <v>416</v>
      </c>
      <c r="K1761" s="18" t="s">
        <v>418</v>
      </c>
      <c r="L1761" s="27" t="n">
        <v>1</v>
      </c>
      <c r="M1761" s="39" t="s">
        <v>413</v>
      </c>
      <c r="N1761" s="18" t="s">
        <v>414</v>
      </c>
      <c r="O1761" s="27" t="n">
        <v>1</v>
      </c>
      <c r="P1761" s="15" t="n">
        <f aca="false">IF(A1761="","",IF(O1761&lt;&gt;"",O1761,IF(L1761&lt;&gt;"",L1761,F1761)))</f>
        <v>1</v>
      </c>
    </row>
    <row r="1762" customFormat="false" ht="15" hidden="false" customHeight="true" outlineLevel="0" collapsed="false">
      <c r="A1762" s="30" t="s">
        <v>215</v>
      </c>
      <c r="B1762" s="30" t="s">
        <v>216</v>
      </c>
      <c r="C1762" s="21" t="n">
        <f aca="false">IF(A1762="","",IFERROR(VLOOKUP(A1762,'Recert Status'!$A$8:$C$400,3,FALSE()),""))</f>
        <v>46387</v>
      </c>
      <c r="D1762" s="31" t="s">
        <v>486</v>
      </c>
      <c r="E1762" s="30" t="s">
        <v>416</v>
      </c>
      <c r="F1762" s="32" t="n">
        <v>2</v>
      </c>
      <c r="G1762" s="33" t="n">
        <v>45859</v>
      </c>
      <c r="H1762" s="33" t="n">
        <v>45859</v>
      </c>
      <c r="I1762" s="31" t="s">
        <v>487</v>
      </c>
      <c r="J1762" s="30" t="s">
        <v>416</v>
      </c>
      <c r="K1762" s="31" t="s">
        <v>418</v>
      </c>
      <c r="L1762" s="32" t="n">
        <v>2</v>
      </c>
      <c r="M1762" s="39" t="s">
        <v>413</v>
      </c>
      <c r="N1762" s="31" t="s">
        <v>414</v>
      </c>
      <c r="O1762" s="32" t="n">
        <v>2</v>
      </c>
      <c r="P1762" s="15" t="n">
        <f aca="false">IF(A1762="","",IF(O1762&lt;&gt;"",O1762,IF(L1762&lt;&gt;"",L1762,F1762)))</f>
        <v>2</v>
      </c>
    </row>
    <row r="1763" customFormat="false" ht="15" hidden="false" customHeight="true" outlineLevel="0" collapsed="false">
      <c r="A1763" s="26" t="s">
        <v>215</v>
      </c>
      <c r="B1763" s="26" t="s">
        <v>216</v>
      </c>
      <c r="C1763" s="14" t="n">
        <f aca="false">IF(A1763="","",IFERROR(VLOOKUP(A1763,'Recert Status'!$A$8:$C$400,3,FALSE()),""))</f>
        <v>46387</v>
      </c>
      <c r="D1763" s="18" t="s">
        <v>457</v>
      </c>
      <c r="E1763" s="26" t="s">
        <v>416</v>
      </c>
      <c r="F1763" s="27" t="n">
        <v>2</v>
      </c>
      <c r="G1763" s="28" t="n">
        <v>45860</v>
      </c>
      <c r="H1763" s="28" t="n">
        <v>45860</v>
      </c>
      <c r="I1763" s="18" t="s">
        <v>458</v>
      </c>
      <c r="J1763" s="26" t="s">
        <v>416</v>
      </c>
      <c r="K1763" s="18" t="s">
        <v>459</v>
      </c>
      <c r="L1763" s="27" t="n">
        <v>2</v>
      </c>
      <c r="M1763" s="39" t="s">
        <v>413</v>
      </c>
      <c r="N1763" s="18" t="s">
        <v>414</v>
      </c>
      <c r="O1763" s="27" t="n">
        <v>2</v>
      </c>
      <c r="P1763" s="15" t="n">
        <f aca="false">IF(A1763="","",IF(O1763&lt;&gt;"",O1763,IF(L1763&lt;&gt;"",L1763,F1763)))</f>
        <v>2</v>
      </c>
    </row>
    <row r="1764" customFormat="false" ht="15" hidden="false" customHeight="true" outlineLevel="0" collapsed="false">
      <c r="A1764" s="30" t="s">
        <v>215</v>
      </c>
      <c r="B1764" s="30" t="s">
        <v>216</v>
      </c>
      <c r="C1764" s="21" t="n">
        <f aca="false">IF(A1764="","",IFERROR(VLOOKUP(A1764,'Recert Status'!$A$8:$C$400,3,FALSE()),""))</f>
        <v>46387</v>
      </c>
      <c r="D1764" s="31" t="s">
        <v>488</v>
      </c>
      <c r="E1764" s="30" t="s">
        <v>416</v>
      </c>
      <c r="F1764" s="32" t="n">
        <v>1</v>
      </c>
      <c r="G1764" s="33" t="n">
        <v>46132</v>
      </c>
      <c r="H1764" s="33" t="n">
        <v>46132</v>
      </c>
      <c r="I1764" s="31" t="s">
        <v>609</v>
      </c>
      <c r="J1764" s="30" t="s">
        <v>416</v>
      </c>
      <c r="K1764" s="31" t="s">
        <v>490</v>
      </c>
      <c r="L1764" s="32" t="n">
        <v>1</v>
      </c>
      <c r="M1764" s="39" t="s">
        <v>413</v>
      </c>
      <c r="N1764" s="31" t="s">
        <v>414</v>
      </c>
      <c r="O1764" s="32" t="n">
        <v>1</v>
      </c>
      <c r="P1764" s="15" t="n">
        <f aca="false">IF(A1764="","",IF(O1764&lt;&gt;"",O1764,IF(L1764&lt;&gt;"",L1764,F1764)))</f>
        <v>1</v>
      </c>
    </row>
    <row r="1765" customFormat="false" ht="15" hidden="false" customHeight="true" outlineLevel="0" collapsed="false">
      <c r="A1765" s="26" t="s">
        <v>215</v>
      </c>
      <c r="B1765" s="26" t="s">
        <v>216</v>
      </c>
      <c r="C1765" s="14" t="n">
        <f aca="false">IF(A1765="","",IFERROR(VLOOKUP(A1765,'Recert Status'!$A$8:$C$400,3,FALSE()),""))</f>
        <v>46387</v>
      </c>
      <c r="D1765" s="18" t="s">
        <v>414</v>
      </c>
      <c r="E1765" s="26" t="s">
        <v>416</v>
      </c>
      <c r="F1765" s="27" t="n">
        <v>2</v>
      </c>
      <c r="G1765" s="28" t="n">
        <v>46217</v>
      </c>
      <c r="H1765" s="28" t="n">
        <v>46217</v>
      </c>
      <c r="I1765" s="18" t="s">
        <v>460</v>
      </c>
      <c r="J1765" s="26" t="s">
        <v>416</v>
      </c>
      <c r="K1765" s="18" t="s">
        <v>418</v>
      </c>
      <c r="L1765" s="27" t="n">
        <v>2</v>
      </c>
      <c r="M1765" s="39" t="s">
        <v>413</v>
      </c>
      <c r="N1765" s="18" t="s">
        <v>414</v>
      </c>
      <c r="O1765" s="27" t="n">
        <v>2</v>
      </c>
      <c r="P1765" s="15" t="n">
        <f aca="false">IF(A1765="","",IF(O1765&lt;&gt;"",O1765,IF(L1765&lt;&gt;"",L1765,F1765)))</f>
        <v>2</v>
      </c>
    </row>
    <row r="1766" customFormat="false" ht="15" hidden="false" customHeight="true" outlineLevel="0" collapsed="false">
      <c r="A1766" s="30" t="s">
        <v>215</v>
      </c>
      <c r="B1766" s="30" t="s">
        <v>216</v>
      </c>
      <c r="C1766" s="21" t="n">
        <f aca="false">IF(A1766="","",IFERROR(VLOOKUP(A1766,'Recert Status'!$A$8:$C$400,3,FALSE()),""))</f>
        <v>46387</v>
      </c>
      <c r="D1766" s="31" t="s">
        <v>414</v>
      </c>
      <c r="E1766" s="30" t="s">
        <v>416</v>
      </c>
      <c r="F1766" s="32" t="n">
        <v>2</v>
      </c>
      <c r="G1766" s="33" t="n">
        <v>46219</v>
      </c>
      <c r="H1766" s="33" t="n">
        <v>46219</v>
      </c>
      <c r="I1766" s="31" t="s">
        <v>567</v>
      </c>
      <c r="J1766" s="30" t="s">
        <v>416</v>
      </c>
      <c r="K1766" s="31" t="s">
        <v>418</v>
      </c>
      <c r="L1766" s="32" t="n">
        <v>2</v>
      </c>
      <c r="M1766" s="39" t="s">
        <v>413</v>
      </c>
      <c r="N1766" s="31" t="s">
        <v>414</v>
      </c>
      <c r="O1766" s="32" t="n">
        <v>2</v>
      </c>
      <c r="P1766" s="15" t="n">
        <f aca="false">IF(A1766="","",IF(O1766&lt;&gt;"",O1766,IF(L1766&lt;&gt;"",L1766,F1766)))</f>
        <v>2</v>
      </c>
    </row>
    <row r="1767" customFormat="false" ht="15" hidden="false" customHeight="true" outlineLevel="0" collapsed="false">
      <c r="A1767" s="26" t="s">
        <v>217</v>
      </c>
      <c r="B1767" s="26" t="s">
        <v>218</v>
      </c>
      <c r="C1767" s="14" t="n">
        <f aca="false">IF(A1767="","",IFERROR(VLOOKUP(A1767,'Recert Status'!$A$8:$C$400,3,FALSE()),""))</f>
        <v>46387</v>
      </c>
      <c r="D1767" s="18" t="s">
        <v>876</v>
      </c>
      <c r="E1767" s="26" t="s">
        <v>363</v>
      </c>
      <c r="F1767" s="27" t="n">
        <v>0.75</v>
      </c>
      <c r="G1767" s="28" t="n">
        <v>45929</v>
      </c>
      <c r="H1767" s="28" t="n">
        <v>45929</v>
      </c>
      <c r="I1767" s="18" t="s">
        <v>1254</v>
      </c>
      <c r="J1767" s="26" t="s">
        <v>363</v>
      </c>
      <c r="K1767" s="18" t="s">
        <v>370</v>
      </c>
      <c r="L1767" s="27" t="n">
        <v>0.75</v>
      </c>
      <c r="M1767" s="29" t="s">
        <v>366</v>
      </c>
      <c r="N1767" s="18" t="s">
        <v>367</v>
      </c>
      <c r="O1767" s="27" t="n">
        <v>0.75</v>
      </c>
      <c r="P1767" s="15" t="n">
        <f aca="false">IF(A1767="","",IF(O1767&lt;&gt;"",O1767,IF(L1767&lt;&gt;"",L1767,F1767)))</f>
        <v>0.75</v>
      </c>
    </row>
    <row r="1768" customFormat="false" ht="15" hidden="false" customHeight="true" outlineLevel="0" collapsed="false">
      <c r="A1768" s="30" t="s">
        <v>217</v>
      </c>
      <c r="B1768" s="30" t="s">
        <v>218</v>
      </c>
      <c r="C1768" s="21" t="n">
        <f aca="false">IF(A1768="","",IFERROR(VLOOKUP(A1768,'Recert Status'!$A$8:$C$400,3,FALSE()),""))</f>
        <v>46387</v>
      </c>
      <c r="D1768" s="31" t="s">
        <v>1255</v>
      </c>
      <c r="E1768" s="30" t="n">
        <v>57404</v>
      </c>
      <c r="F1768" s="32" t="n">
        <v>3</v>
      </c>
      <c r="G1768" s="33" t="n">
        <v>45971</v>
      </c>
      <c r="H1768" s="33" t="n">
        <v>45971</v>
      </c>
      <c r="I1768" s="31" t="s">
        <v>1256</v>
      </c>
      <c r="J1768" s="30" t="s">
        <v>728</v>
      </c>
      <c r="K1768" s="31" t="s">
        <v>882</v>
      </c>
      <c r="L1768" s="32" t="n">
        <v>3</v>
      </c>
      <c r="M1768" s="29" t="s">
        <v>366</v>
      </c>
      <c r="N1768" s="31" t="s">
        <v>367</v>
      </c>
      <c r="O1768" s="32" t="n">
        <v>3</v>
      </c>
      <c r="P1768" s="15" t="n">
        <f aca="false">IF(A1768="","",IF(O1768&lt;&gt;"",O1768,IF(L1768&lt;&gt;"",L1768,F1768)))</f>
        <v>3</v>
      </c>
    </row>
    <row r="1769" customFormat="false" ht="15" hidden="false" customHeight="true" outlineLevel="0" collapsed="false">
      <c r="A1769" s="26" t="s">
        <v>217</v>
      </c>
      <c r="B1769" s="26" t="s">
        <v>218</v>
      </c>
      <c r="C1769" s="14" t="n">
        <f aca="false">IF(A1769="","",IFERROR(VLOOKUP(A1769,'Recert Status'!$A$8:$C$400,3,FALSE()),""))</f>
        <v>46387</v>
      </c>
      <c r="D1769" s="18" t="s">
        <v>785</v>
      </c>
      <c r="E1769" s="26" t="s">
        <v>363</v>
      </c>
      <c r="F1769" s="27" t="n">
        <v>4</v>
      </c>
      <c r="G1769" s="28" t="n">
        <v>46076</v>
      </c>
      <c r="H1769" s="28" t="n">
        <v>46076</v>
      </c>
      <c r="I1769" s="18" t="s">
        <v>786</v>
      </c>
      <c r="J1769" s="26" t="s">
        <v>363</v>
      </c>
      <c r="K1769" s="18" t="s">
        <v>630</v>
      </c>
      <c r="L1769" s="27" t="n">
        <v>4</v>
      </c>
      <c r="M1769" s="29" t="s">
        <v>366</v>
      </c>
      <c r="N1769" s="18" t="s">
        <v>367</v>
      </c>
      <c r="O1769" s="27" t="n">
        <v>4</v>
      </c>
      <c r="P1769" s="15" t="n">
        <f aca="false">IF(A1769="","",IF(O1769&lt;&gt;"",O1769,IF(L1769&lt;&gt;"",L1769,F1769)))</f>
        <v>4</v>
      </c>
    </row>
    <row r="1770" customFormat="false" ht="15" hidden="false" customHeight="true" outlineLevel="0" collapsed="false">
      <c r="A1770" s="30" t="s">
        <v>217</v>
      </c>
      <c r="B1770" s="30" t="s">
        <v>218</v>
      </c>
      <c r="C1770" s="21" t="n">
        <f aca="false">IF(A1770="","",IFERROR(VLOOKUP(A1770,'Recert Status'!$A$8:$C$400,3,FALSE()),""))</f>
        <v>46387</v>
      </c>
      <c r="D1770" s="31" t="s">
        <v>425</v>
      </c>
      <c r="E1770" s="30" t="s">
        <v>426</v>
      </c>
      <c r="F1770" s="32" t="n">
        <v>2</v>
      </c>
      <c r="G1770" s="33" t="n">
        <v>45929</v>
      </c>
      <c r="H1770" s="33" t="n">
        <v>45929</v>
      </c>
      <c r="I1770" s="31" t="s">
        <v>427</v>
      </c>
      <c r="J1770" s="30" t="s">
        <v>426</v>
      </c>
      <c r="K1770" s="31" t="s">
        <v>428</v>
      </c>
      <c r="L1770" s="32" t="n">
        <v>2</v>
      </c>
      <c r="M1770" s="41" t="s">
        <v>429</v>
      </c>
      <c r="N1770" s="31" t="s">
        <v>430</v>
      </c>
      <c r="O1770" s="32" t="n">
        <v>2</v>
      </c>
      <c r="P1770" s="15" t="n">
        <f aca="false">IF(A1770="","",IF(O1770&lt;&gt;"",O1770,IF(L1770&lt;&gt;"",L1770,F1770)))</f>
        <v>2</v>
      </c>
    </row>
    <row r="1771" customFormat="false" ht="15" hidden="false" customHeight="true" outlineLevel="0" collapsed="false">
      <c r="A1771" s="26" t="s">
        <v>217</v>
      </c>
      <c r="B1771" s="26" t="s">
        <v>218</v>
      </c>
      <c r="C1771" s="14" t="n">
        <f aca="false">IF(A1771="","",IFERROR(VLOOKUP(A1771,'Recert Status'!$A$8:$C$400,3,FALSE()),""))</f>
        <v>46387</v>
      </c>
      <c r="D1771" s="18" t="s">
        <v>548</v>
      </c>
      <c r="E1771" s="26" t="s">
        <v>426</v>
      </c>
      <c r="F1771" s="27" t="n">
        <v>2</v>
      </c>
      <c r="G1771" s="28" t="n">
        <v>45972</v>
      </c>
      <c r="H1771" s="28" t="n">
        <v>45972</v>
      </c>
      <c r="I1771" s="18" t="s">
        <v>1259</v>
      </c>
      <c r="J1771" s="26" t="s">
        <v>426</v>
      </c>
      <c r="K1771" s="18" t="s">
        <v>428</v>
      </c>
      <c r="L1771" s="27" t="n">
        <v>2</v>
      </c>
      <c r="M1771" s="41" t="s">
        <v>429</v>
      </c>
      <c r="N1771" s="18" t="s">
        <v>430</v>
      </c>
      <c r="O1771" s="27" t="n">
        <v>2</v>
      </c>
      <c r="P1771" s="15" t="n">
        <f aca="false">IF(A1771="","",IF(O1771&lt;&gt;"",O1771,IF(L1771&lt;&gt;"",L1771,F1771)))</f>
        <v>2</v>
      </c>
    </row>
    <row r="1772" customFormat="false" ht="15" hidden="false" customHeight="true" outlineLevel="0" collapsed="false">
      <c r="A1772" s="30" t="s">
        <v>217</v>
      </c>
      <c r="B1772" s="30" t="s">
        <v>218</v>
      </c>
      <c r="C1772" s="21" t="n">
        <f aca="false">IF(A1772="","",IFERROR(VLOOKUP(A1772,'Recert Status'!$A$8:$C$400,3,FALSE()),""))</f>
        <v>46387</v>
      </c>
      <c r="D1772" s="31" t="s">
        <v>1260</v>
      </c>
      <c r="E1772" s="30" t="n">
        <v>29668</v>
      </c>
      <c r="F1772" s="32" t="n">
        <v>0.5</v>
      </c>
      <c r="G1772" s="33" t="n">
        <v>45680</v>
      </c>
      <c r="H1772" s="33" t="n">
        <v>45680</v>
      </c>
      <c r="I1772" s="31" t="s">
        <v>1261</v>
      </c>
      <c r="J1772" s="30" t="s">
        <v>511</v>
      </c>
      <c r="K1772" s="31" t="s">
        <v>509</v>
      </c>
      <c r="L1772" s="32" t="n">
        <v>0.5</v>
      </c>
      <c r="M1772" s="35" t="s">
        <v>386</v>
      </c>
      <c r="N1772" s="31" t="s">
        <v>387</v>
      </c>
      <c r="O1772" s="32" t="n">
        <v>0.5</v>
      </c>
      <c r="P1772" s="15" t="n">
        <f aca="false">IF(A1772="","",IF(O1772&lt;&gt;"",O1772,IF(L1772&lt;&gt;"",L1772,F1772)))</f>
        <v>0.5</v>
      </c>
    </row>
    <row r="1773" customFormat="false" ht="15" hidden="false" customHeight="true" outlineLevel="0" collapsed="false">
      <c r="A1773" s="26" t="s">
        <v>217</v>
      </c>
      <c r="B1773" s="26" t="s">
        <v>218</v>
      </c>
      <c r="C1773" s="14" t="n">
        <f aca="false">IF(A1773="","",IFERROR(VLOOKUP(A1773,'Recert Status'!$A$8:$C$400,3,FALSE()),""))</f>
        <v>46387</v>
      </c>
      <c r="D1773" s="18" t="s">
        <v>437</v>
      </c>
      <c r="E1773" s="26" t="n">
        <v>29743</v>
      </c>
      <c r="F1773" s="27" t="n">
        <v>1</v>
      </c>
      <c r="G1773" s="28" t="n">
        <v>45833</v>
      </c>
      <c r="H1773" s="28" t="n">
        <v>45833</v>
      </c>
      <c r="I1773" s="18" t="s">
        <v>438</v>
      </c>
      <c r="J1773" s="26" t="s">
        <v>439</v>
      </c>
      <c r="K1773" s="18" t="s">
        <v>440</v>
      </c>
      <c r="L1773" s="27" t="n">
        <v>1</v>
      </c>
      <c r="M1773" s="35" t="s">
        <v>386</v>
      </c>
      <c r="N1773" s="18" t="s">
        <v>387</v>
      </c>
      <c r="O1773" s="27" t="n">
        <v>1</v>
      </c>
      <c r="P1773" s="15" t="n">
        <f aca="false">IF(A1773="","",IF(O1773&lt;&gt;"",O1773,IF(L1773&lt;&gt;"",L1773,F1773)))</f>
        <v>1</v>
      </c>
    </row>
    <row r="1774" customFormat="false" ht="15" hidden="false" customHeight="true" outlineLevel="0" collapsed="false">
      <c r="A1774" s="30" t="s">
        <v>217</v>
      </c>
      <c r="B1774" s="30" t="s">
        <v>218</v>
      </c>
      <c r="C1774" s="21" t="n">
        <f aca="false">IF(A1774="","",IFERROR(VLOOKUP(A1774,'Recert Status'!$A$8:$C$400,3,FALSE()),""))</f>
        <v>46387</v>
      </c>
      <c r="D1774" s="31" t="s">
        <v>441</v>
      </c>
      <c r="E1774" s="30" t="n">
        <v>29743</v>
      </c>
      <c r="F1774" s="32" t="n">
        <v>1</v>
      </c>
      <c r="G1774" s="33" t="n">
        <v>45833</v>
      </c>
      <c r="H1774" s="33" t="n">
        <v>45833</v>
      </c>
      <c r="I1774" s="31" t="s">
        <v>442</v>
      </c>
      <c r="J1774" s="30" t="s">
        <v>439</v>
      </c>
      <c r="K1774" s="31" t="s">
        <v>443</v>
      </c>
      <c r="L1774" s="32" t="n">
        <v>1</v>
      </c>
      <c r="M1774" s="35" t="s">
        <v>386</v>
      </c>
      <c r="N1774" s="31" t="s">
        <v>387</v>
      </c>
      <c r="O1774" s="32" t="n">
        <v>1</v>
      </c>
      <c r="P1774" s="15" t="n">
        <f aca="false">IF(A1774="","",IF(O1774&lt;&gt;"",O1774,IF(L1774&lt;&gt;"",L1774,F1774)))</f>
        <v>1</v>
      </c>
    </row>
    <row r="1775" customFormat="false" ht="15" hidden="false" customHeight="true" outlineLevel="0" collapsed="false">
      <c r="A1775" s="26" t="s">
        <v>217</v>
      </c>
      <c r="B1775" s="26" t="s">
        <v>218</v>
      </c>
      <c r="C1775" s="14" t="n">
        <f aca="false">IF(A1775="","",IFERROR(VLOOKUP(A1775,'Recert Status'!$A$8:$C$400,3,FALSE()),""))</f>
        <v>46387</v>
      </c>
      <c r="D1775" s="18" t="s">
        <v>615</v>
      </c>
      <c r="E1775" s="26" t="n">
        <v>29740</v>
      </c>
      <c r="F1775" s="27" t="n">
        <v>2</v>
      </c>
      <c r="G1775" s="28" t="n">
        <v>45884</v>
      </c>
      <c r="H1775" s="28" t="n">
        <v>45884</v>
      </c>
      <c r="I1775" s="18" t="s">
        <v>616</v>
      </c>
      <c r="J1775" s="26" t="s">
        <v>394</v>
      </c>
      <c r="K1775" s="18" t="s">
        <v>385</v>
      </c>
      <c r="L1775" s="27" t="n">
        <v>2</v>
      </c>
      <c r="M1775" s="35" t="s">
        <v>386</v>
      </c>
      <c r="N1775" s="18" t="s">
        <v>397</v>
      </c>
      <c r="O1775" s="27" t="n">
        <v>2</v>
      </c>
      <c r="P1775" s="15" t="n">
        <f aca="false">IF(A1775="","",IF(O1775&lt;&gt;"",O1775,IF(L1775&lt;&gt;"",L1775,F1775)))</f>
        <v>2</v>
      </c>
    </row>
    <row r="1776" customFormat="false" ht="15" hidden="false" customHeight="true" outlineLevel="0" collapsed="false">
      <c r="A1776" s="30" t="s">
        <v>217</v>
      </c>
      <c r="B1776" s="30" t="s">
        <v>218</v>
      </c>
      <c r="C1776" s="21" t="n">
        <f aca="false">IF(A1776="","",IFERROR(VLOOKUP(A1776,'Recert Status'!$A$8:$C$400,3,FALSE()),""))</f>
        <v>46387</v>
      </c>
      <c r="D1776" s="31" t="s">
        <v>705</v>
      </c>
      <c r="E1776" s="30" t="n">
        <v>29769</v>
      </c>
      <c r="F1776" s="32" t="n">
        <v>2</v>
      </c>
      <c r="G1776" s="33" t="n">
        <v>45896</v>
      </c>
      <c r="H1776" s="33" t="n">
        <v>45896</v>
      </c>
      <c r="I1776" s="31" t="s">
        <v>706</v>
      </c>
      <c r="J1776" s="30" t="s">
        <v>517</v>
      </c>
      <c r="K1776" s="31" t="s">
        <v>707</v>
      </c>
      <c r="L1776" s="32" t="n">
        <v>2</v>
      </c>
      <c r="M1776" s="35" t="s">
        <v>386</v>
      </c>
      <c r="N1776" s="31" t="s">
        <v>387</v>
      </c>
      <c r="O1776" s="32" t="n">
        <v>2</v>
      </c>
      <c r="P1776" s="15" t="n">
        <f aca="false">IF(A1776="","",IF(O1776&lt;&gt;"",O1776,IF(L1776&lt;&gt;"",L1776,F1776)))</f>
        <v>2</v>
      </c>
    </row>
    <row r="1777" customFormat="false" ht="15" hidden="false" customHeight="true" outlineLevel="0" collapsed="false">
      <c r="A1777" s="26" t="s">
        <v>217</v>
      </c>
      <c r="B1777" s="26" t="s">
        <v>218</v>
      </c>
      <c r="C1777" s="14" t="n">
        <f aca="false">IF(A1777="","",IFERROR(VLOOKUP(A1777,'Recert Status'!$A$8:$C$400,3,FALSE()),""))</f>
        <v>46387</v>
      </c>
      <c r="D1777" s="18" t="s">
        <v>1263</v>
      </c>
      <c r="E1777" s="26" t="s">
        <v>389</v>
      </c>
      <c r="F1777" s="27" t="n">
        <v>3</v>
      </c>
      <c r="G1777" s="28" t="n">
        <v>45972</v>
      </c>
      <c r="H1777" s="28" t="n">
        <v>45972</v>
      </c>
      <c r="I1777" s="18" t="s">
        <v>1264</v>
      </c>
      <c r="J1777" s="26" t="s">
        <v>389</v>
      </c>
      <c r="K1777" s="18" t="s">
        <v>446</v>
      </c>
      <c r="L1777" s="27" t="n">
        <v>3</v>
      </c>
      <c r="M1777" s="35" t="s">
        <v>386</v>
      </c>
      <c r="N1777" s="18" t="s">
        <v>387</v>
      </c>
      <c r="O1777" s="27" t="n">
        <v>3</v>
      </c>
      <c r="P1777" s="15" t="n">
        <f aca="false">IF(A1777="","",IF(O1777&lt;&gt;"",O1777,IF(L1777&lt;&gt;"",L1777,F1777)))</f>
        <v>3</v>
      </c>
    </row>
    <row r="1778" customFormat="false" ht="15" hidden="false" customHeight="true" outlineLevel="0" collapsed="false">
      <c r="A1778" s="30" t="s">
        <v>217</v>
      </c>
      <c r="B1778" s="30" t="s">
        <v>218</v>
      </c>
      <c r="C1778" s="21" t="n">
        <f aca="false">IF(A1778="","",IFERROR(VLOOKUP(A1778,'Recert Status'!$A$8:$C$400,3,FALSE()),""))</f>
        <v>46387</v>
      </c>
      <c r="D1778" s="31" t="s">
        <v>794</v>
      </c>
      <c r="E1778" s="30" t="s">
        <v>389</v>
      </c>
      <c r="F1778" s="32" t="n">
        <v>2</v>
      </c>
      <c r="G1778" s="33" t="n">
        <v>46079</v>
      </c>
      <c r="H1778" s="33" t="n">
        <v>46079</v>
      </c>
      <c r="I1778" s="31" t="s">
        <v>795</v>
      </c>
      <c r="J1778" s="30" t="s">
        <v>389</v>
      </c>
      <c r="K1778" s="31" t="s">
        <v>446</v>
      </c>
      <c r="L1778" s="32" t="n">
        <v>2</v>
      </c>
      <c r="M1778" s="35" t="s">
        <v>386</v>
      </c>
      <c r="N1778" s="31" t="s">
        <v>387</v>
      </c>
      <c r="O1778" s="32" t="n">
        <v>2</v>
      </c>
      <c r="P1778" s="15" t="n">
        <f aca="false">IF(A1778="","",IF(O1778&lt;&gt;"",O1778,IF(L1778&lt;&gt;"",L1778,F1778)))</f>
        <v>2</v>
      </c>
    </row>
    <row r="1779" customFormat="false" ht="15" hidden="false" customHeight="true" outlineLevel="0" collapsed="false">
      <c r="A1779" s="26" t="s">
        <v>217</v>
      </c>
      <c r="B1779" s="26" t="s">
        <v>218</v>
      </c>
      <c r="C1779" s="14" t="n">
        <f aca="false">IF(A1779="","",IFERROR(VLOOKUP(A1779,'Recert Status'!$A$8:$C$400,3,FALSE()),""))</f>
        <v>46387</v>
      </c>
      <c r="D1779" s="18" t="s">
        <v>1265</v>
      </c>
      <c r="E1779" s="26" t="n">
        <v>29769</v>
      </c>
      <c r="F1779" s="27" t="n">
        <v>4</v>
      </c>
      <c r="G1779" s="28" t="n">
        <v>45740</v>
      </c>
      <c r="H1779" s="28" t="n">
        <v>45740</v>
      </c>
      <c r="I1779" s="18" t="s">
        <v>1266</v>
      </c>
      <c r="J1779" s="26" t="s">
        <v>517</v>
      </c>
      <c r="K1779" s="18" t="s">
        <v>412</v>
      </c>
      <c r="L1779" s="27" t="n">
        <v>4</v>
      </c>
      <c r="M1779" s="36" t="s">
        <v>396</v>
      </c>
      <c r="N1779" s="18" t="s">
        <v>397</v>
      </c>
      <c r="O1779" s="27" t="n">
        <v>4</v>
      </c>
      <c r="P1779" s="15" t="n">
        <f aca="false">IF(A1779="","",IF(O1779&lt;&gt;"",O1779,IF(L1779&lt;&gt;"",L1779,F1779)))</f>
        <v>4</v>
      </c>
    </row>
    <row r="1780" customFormat="false" ht="15" hidden="false" customHeight="true" outlineLevel="0" collapsed="false">
      <c r="A1780" s="30" t="s">
        <v>217</v>
      </c>
      <c r="B1780" s="30" t="s">
        <v>218</v>
      </c>
      <c r="C1780" s="21" t="n">
        <f aca="false">IF(A1780="","",IFERROR(VLOOKUP(A1780,'Recert Status'!$A$8:$C$400,3,FALSE()),""))</f>
        <v>46387</v>
      </c>
      <c r="D1780" s="31" t="s">
        <v>1267</v>
      </c>
      <c r="E1780" s="30" t="n">
        <v>29769</v>
      </c>
      <c r="F1780" s="32" t="n">
        <v>4</v>
      </c>
      <c r="G1780" s="33" t="n">
        <v>45740</v>
      </c>
      <c r="H1780" s="33" t="n">
        <v>45740</v>
      </c>
      <c r="I1780" s="31" t="s">
        <v>1266</v>
      </c>
      <c r="J1780" s="30" t="s">
        <v>517</v>
      </c>
      <c r="K1780" s="31" t="s">
        <v>1268</v>
      </c>
      <c r="L1780" s="32" t="n">
        <v>4</v>
      </c>
      <c r="M1780" s="36" t="s">
        <v>396</v>
      </c>
      <c r="N1780" s="31" t="s">
        <v>397</v>
      </c>
      <c r="O1780" s="32" t="n">
        <v>4</v>
      </c>
      <c r="P1780" s="15" t="n">
        <f aca="false">IF(A1780="","",IF(O1780&lt;&gt;"",O1780,IF(L1780&lt;&gt;"",L1780,F1780)))</f>
        <v>4</v>
      </c>
    </row>
    <row r="1781" customFormat="false" ht="15" hidden="false" customHeight="true" outlineLevel="0" collapsed="false">
      <c r="A1781" s="26" t="s">
        <v>217</v>
      </c>
      <c r="B1781" s="26" t="s">
        <v>218</v>
      </c>
      <c r="C1781" s="14" t="n">
        <f aca="false">IF(A1781="","",IFERROR(VLOOKUP(A1781,'Recert Status'!$A$8:$C$400,3,FALSE()),""))</f>
        <v>46387</v>
      </c>
      <c r="D1781" s="18" t="s">
        <v>397</v>
      </c>
      <c r="E1781" s="26" t="s">
        <v>452</v>
      </c>
      <c r="F1781" s="27" t="n">
        <v>1</v>
      </c>
      <c r="G1781" s="28" t="n">
        <v>46244</v>
      </c>
      <c r="H1781" s="28" t="n">
        <v>46244</v>
      </c>
      <c r="I1781" s="18" t="s">
        <v>577</v>
      </c>
      <c r="J1781" s="26" t="s">
        <v>452</v>
      </c>
      <c r="K1781" s="18" t="s">
        <v>385</v>
      </c>
      <c r="L1781" s="27" t="n">
        <v>1</v>
      </c>
      <c r="M1781" s="36" t="s">
        <v>396</v>
      </c>
      <c r="N1781" s="18" t="s">
        <v>397</v>
      </c>
      <c r="O1781" s="27" t="n">
        <v>1</v>
      </c>
      <c r="P1781" s="15" t="n">
        <f aca="false">IF(A1781="","",IF(O1781&lt;&gt;"",O1781,IF(L1781&lt;&gt;"",L1781,F1781)))</f>
        <v>1</v>
      </c>
    </row>
    <row r="1782" customFormat="false" ht="15" hidden="false" customHeight="true" outlineLevel="0" collapsed="false">
      <c r="A1782" s="30" t="s">
        <v>217</v>
      </c>
      <c r="B1782" s="30" t="s">
        <v>218</v>
      </c>
      <c r="C1782" s="21" t="n">
        <f aca="false">IF(A1782="","",IFERROR(VLOOKUP(A1782,'Recert Status'!$A$8:$C$400,3,FALSE()),""))</f>
        <v>46387</v>
      </c>
      <c r="D1782" s="31" t="s">
        <v>415</v>
      </c>
      <c r="E1782" s="30" t="s">
        <v>416</v>
      </c>
      <c r="F1782" s="32" t="n">
        <v>1</v>
      </c>
      <c r="G1782" s="33" t="n">
        <v>45779</v>
      </c>
      <c r="H1782" s="33" t="n">
        <v>45779</v>
      </c>
      <c r="I1782" s="31" t="s">
        <v>1279</v>
      </c>
      <c r="J1782" s="30" t="s">
        <v>416</v>
      </c>
      <c r="K1782" s="31" t="s">
        <v>1280</v>
      </c>
      <c r="L1782" s="32" t="n">
        <v>1</v>
      </c>
      <c r="M1782" s="39" t="s">
        <v>413</v>
      </c>
      <c r="N1782" s="31" t="s">
        <v>414</v>
      </c>
      <c r="O1782" s="32" t="n">
        <v>1</v>
      </c>
      <c r="P1782" s="15" t="n">
        <f aca="false">IF(A1782="","",IF(O1782&lt;&gt;"",O1782,IF(L1782&lt;&gt;"",L1782,F1782)))</f>
        <v>1</v>
      </c>
    </row>
    <row r="1783" customFormat="false" ht="15" hidden="false" customHeight="true" outlineLevel="0" collapsed="false">
      <c r="A1783" s="26" t="s">
        <v>217</v>
      </c>
      <c r="B1783" s="26" t="s">
        <v>218</v>
      </c>
      <c r="C1783" s="14" t="n">
        <f aca="false">IF(A1783="","",IFERROR(VLOOKUP(A1783,'Recert Status'!$A$8:$C$400,3,FALSE()),""))</f>
        <v>46387</v>
      </c>
      <c r="D1783" s="18" t="s">
        <v>1439</v>
      </c>
      <c r="E1783" s="26" t="s">
        <v>416</v>
      </c>
      <c r="F1783" s="27" t="n">
        <v>4</v>
      </c>
      <c r="G1783" s="28" t="n">
        <v>46085</v>
      </c>
      <c r="H1783" s="28" t="n">
        <v>46085</v>
      </c>
      <c r="I1783" s="18" t="s">
        <v>1440</v>
      </c>
      <c r="J1783" s="26" t="s">
        <v>416</v>
      </c>
      <c r="K1783" s="18" t="s">
        <v>1441</v>
      </c>
      <c r="L1783" s="27" t="n">
        <v>4</v>
      </c>
      <c r="M1783" s="39" t="s">
        <v>413</v>
      </c>
      <c r="N1783" s="18" t="s">
        <v>414</v>
      </c>
      <c r="O1783" s="27" t="n">
        <v>4</v>
      </c>
      <c r="P1783" s="15" t="n">
        <f aca="false">IF(A1783="","",IF(O1783&lt;&gt;"",O1783,IF(L1783&lt;&gt;"",L1783,F1783)))</f>
        <v>4</v>
      </c>
    </row>
    <row r="1784" customFormat="false" ht="15" hidden="false" customHeight="true" outlineLevel="0" collapsed="false">
      <c r="A1784" s="30" t="s">
        <v>217</v>
      </c>
      <c r="B1784" s="30" t="s">
        <v>218</v>
      </c>
      <c r="C1784" s="21" t="n">
        <f aca="false">IF(A1784="","",IFERROR(VLOOKUP(A1784,'Recert Status'!$A$8:$C$400,3,FALSE()),""))</f>
        <v>46387</v>
      </c>
      <c r="D1784" s="31" t="s">
        <v>488</v>
      </c>
      <c r="E1784" s="30" t="s">
        <v>416</v>
      </c>
      <c r="F1784" s="32" t="n">
        <v>1</v>
      </c>
      <c r="G1784" s="33" t="n">
        <v>46127</v>
      </c>
      <c r="H1784" s="33" t="n">
        <v>46127</v>
      </c>
      <c r="I1784" s="31" t="s">
        <v>534</v>
      </c>
      <c r="J1784" s="30" t="s">
        <v>416</v>
      </c>
      <c r="K1784" s="31" t="s">
        <v>490</v>
      </c>
      <c r="L1784" s="32" t="n">
        <v>1</v>
      </c>
      <c r="M1784" s="39" t="s">
        <v>413</v>
      </c>
      <c r="N1784" s="31" t="s">
        <v>414</v>
      </c>
      <c r="O1784" s="32" t="n">
        <v>1</v>
      </c>
      <c r="P1784" s="15" t="n">
        <f aca="false">IF(A1784="","",IF(O1784&lt;&gt;"",O1784,IF(L1784&lt;&gt;"",L1784,F1784)))</f>
        <v>1</v>
      </c>
    </row>
    <row r="1785" customFormat="false" ht="15" hidden="false" customHeight="true" outlineLevel="0" collapsed="false">
      <c r="A1785" s="26" t="s">
        <v>219</v>
      </c>
      <c r="B1785" s="26" t="s">
        <v>220</v>
      </c>
      <c r="C1785" s="14" t="n">
        <f aca="false">IF(A1785="","",IFERROR(VLOOKUP(A1785,'Recert Status'!$A$8:$C$400,3,FALSE()),""))</f>
        <v>46387</v>
      </c>
      <c r="D1785" s="18" t="s">
        <v>569</v>
      </c>
      <c r="E1785" s="26" t="s">
        <v>542</v>
      </c>
      <c r="F1785" s="27" t="n">
        <v>0.5</v>
      </c>
      <c r="G1785" s="28" t="n">
        <v>45673</v>
      </c>
      <c r="H1785" s="28" t="n">
        <v>45673</v>
      </c>
      <c r="I1785" s="18" t="s">
        <v>612</v>
      </c>
      <c r="J1785" s="26" t="s">
        <v>542</v>
      </c>
      <c r="K1785" s="18" t="s">
        <v>407</v>
      </c>
      <c r="L1785" s="27" t="n">
        <v>0.5</v>
      </c>
      <c r="M1785" s="40" t="s">
        <v>423</v>
      </c>
      <c r="N1785" s="18" t="s">
        <v>424</v>
      </c>
      <c r="O1785" s="27" t="n">
        <v>0.5</v>
      </c>
      <c r="P1785" s="15" t="n">
        <f aca="false">IF(A1785="","",IF(O1785&lt;&gt;"",O1785,IF(L1785&lt;&gt;"",L1785,F1785)))</f>
        <v>0.5</v>
      </c>
    </row>
    <row r="1786" customFormat="false" ht="15" hidden="false" customHeight="true" outlineLevel="0" collapsed="false">
      <c r="A1786" s="30" t="s">
        <v>219</v>
      </c>
      <c r="B1786" s="30" t="s">
        <v>220</v>
      </c>
      <c r="C1786" s="21" t="n">
        <f aca="false">IF(A1786="","",IFERROR(VLOOKUP(A1786,'Recert Status'!$A$8:$C$400,3,FALSE()),""))</f>
        <v>46387</v>
      </c>
      <c r="D1786" s="31" t="s">
        <v>548</v>
      </c>
      <c r="E1786" s="30" t="s">
        <v>426</v>
      </c>
      <c r="F1786" s="32" t="n">
        <v>2</v>
      </c>
      <c r="G1786" s="33" t="n">
        <v>45979</v>
      </c>
      <c r="H1786" s="33" t="n">
        <v>45979</v>
      </c>
      <c r="I1786" s="31" t="s">
        <v>549</v>
      </c>
      <c r="J1786" s="30" t="s">
        <v>426</v>
      </c>
      <c r="K1786" s="31" t="s">
        <v>428</v>
      </c>
      <c r="L1786" s="32" t="n">
        <v>2</v>
      </c>
      <c r="M1786" s="41" t="s">
        <v>429</v>
      </c>
      <c r="N1786" s="31" t="s">
        <v>430</v>
      </c>
      <c r="O1786" s="32" t="n">
        <v>2</v>
      </c>
      <c r="P1786" s="15" t="n">
        <f aca="false">IF(A1786="","",IF(O1786&lt;&gt;"",O1786,IF(L1786&lt;&gt;"",L1786,F1786)))</f>
        <v>2</v>
      </c>
    </row>
    <row r="1787" customFormat="false" ht="15" hidden="false" customHeight="true" outlineLevel="0" collapsed="false">
      <c r="A1787" s="26" t="s">
        <v>219</v>
      </c>
      <c r="B1787" s="26" t="s">
        <v>220</v>
      </c>
      <c r="C1787" s="14" t="n">
        <f aca="false">IF(A1787="","",IFERROR(VLOOKUP(A1787,'Recert Status'!$A$8:$C$400,3,FALSE()),""))</f>
        <v>46387</v>
      </c>
      <c r="D1787" s="18" t="s">
        <v>430</v>
      </c>
      <c r="E1787" s="26" t="s">
        <v>426</v>
      </c>
      <c r="F1787" s="27" t="n">
        <v>1</v>
      </c>
      <c r="G1787" s="28" t="n">
        <v>46249</v>
      </c>
      <c r="H1787" s="28" t="n">
        <v>46249</v>
      </c>
      <c r="I1787" s="18" t="s">
        <v>1450</v>
      </c>
      <c r="J1787" s="26" t="s">
        <v>426</v>
      </c>
      <c r="K1787" s="18" t="s">
        <v>428</v>
      </c>
      <c r="L1787" s="27" t="n">
        <v>1</v>
      </c>
      <c r="M1787" s="41" t="s">
        <v>429</v>
      </c>
      <c r="N1787" s="18" t="s">
        <v>430</v>
      </c>
      <c r="O1787" s="27" t="n">
        <v>1</v>
      </c>
      <c r="P1787" s="15" t="n">
        <f aca="false">IF(A1787="","",IF(O1787&lt;&gt;"",O1787,IF(L1787&lt;&gt;"",L1787,F1787)))</f>
        <v>1</v>
      </c>
    </row>
    <row r="1788" customFormat="false" ht="15" hidden="false" customHeight="true" outlineLevel="0" collapsed="false">
      <c r="A1788" s="30" t="s">
        <v>219</v>
      </c>
      <c r="B1788" s="30" t="s">
        <v>220</v>
      </c>
      <c r="C1788" s="21" t="n">
        <f aca="false">IF(A1788="","",IFERROR(VLOOKUP(A1788,'Recert Status'!$A$8:$C$400,3,FALSE()),""))</f>
        <v>46387</v>
      </c>
      <c r="D1788" s="31" t="s">
        <v>382</v>
      </c>
      <c r="E1788" s="30" t="n">
        <v>35513</v>
      </c>
      <c r="F1788" s="32" t="n">
        <v>2</v>
      </c>
      <c r="G1788" s="33" t="n">
        <v>45883</v>
      </c>
      <c r="H1788" s="33" t="n">
        <v>45883</v>
      </c>
      <c r="I1788" s="31" t="s">
        <v>553</v>
      </c>
      <c r="J1788" s="30" t="s">
        <v>384</v>
      </c>
      <c r="K1788" s="31" t="s">
        <v>385</v>
      </c>
      <c r="L1788" s="32" t="n">
        <v>2</v>
      </c>
      <c r="M1788" s="35" t="s">
        <v>386</v>
      </c>
      <c r="N1788" s="31" t="s">
        <v>387</v>
      </c>
      <c r="O1788" s="32" t="n">
        <v>2</v>
      </c>
      <c r="P1788" s="15" t="n">
        <f aca="false">IF(A1788="","",IF(O1788&lt;&gt;"",O1788,IF(L1788&lt;&gt;"",L1788,F1788)))</f>
        <v>2</v>
      </c>
    </row>
    <row r="1789" customFormat="false" ht="15" hidden="false" customHeight="true" outlineLevel="0" collapsed="false">
      <c r="A1789" s="26" t="s">
        <v>219</v>
      </c>
      <c r="B1789" s="26" t="s">
        <v>220</v>
      </c>
      <c r="C1789" s="14" t="n">
        <f aca="false">IF(A1789="","",IFERROR(VLOOKUP(A1789,'Recert Status'!$A$8:$C$400,3,FALSE()),""))</f>
        <v>46387</v>
      </c>
      <c r="D1789" s="18" t="s">
        <v>804</v>
      </c>
      <c r="E1789" s="26" t="s">
        <v>389</v>
      </c>
      <c r="F1789" s="27" t="n">
        <v>1</v>
      </c>
      <c r="G1789" s="28" t="n">
        <v>46039</v>
      </c>
      <c r="H1789" s="28" t="n">
        <v>46039</v>
      </c>
      <c r="I1789" s="18" t="s">
        <v>805</v>
      </c>
      <c r="J1789" s="26" t="s">
        <v>389</v>
      </c>
      <c r="K1789" s="18" t="s">
        <v>451</v>
      </c>
      <c r="L1789" s="27" t="n">
        <v>1</v>
      </c>
      <c r="M1789" s="35" t="s">
        <v>386</v>
      </c>
      <c r="N1789" s="18" t="s">
        <v>387</v>
      </c>
      <c r="O1789" s="27" t="n">
        <v>1</v>
      </c>
      <c r="P1789" s="15" t="n">
        <f aca="false">IF(A1789="","",IF(O1789&lt;&gt;"",O1789,IF(L1789&lt;&gt;"",L1789,F1789)))</f>
        <v>1</v>
      </c>
    </row>
    <row r="1790" customFormat="false" ht="15" hidden="false" customHeight="true" outlineLevel="0" collapsed="false">
      <c r="A1790" s="30" t="s">
        <v>219</v>
      </c>
      <c r="B1790" s="30" t="s">
        <v>220</v>
      </c>
      <c r="C1790" s="21" t="n">
        <f aca="false">IF(A1790="","",IFERROR(VLOOKUP(A1790,'Recert Status'!$A$8:$C$400,3,FALSE()),""))</f>
        <v>46387</v>
      </c>
      <c r="D1790" s="31" t="s">
        <v>474</v>
      </c>
      <c r="E1790" s="30" t="s">
        <v>389</v>
      </c>
      <c r="F1790" s="32" t="n">
        <v>1</v>
      </c>
      <c r="G1790" s="33" t="n">
        <v>46204</v>
      </c>
      <c r="H1790" s="33" t="n">
        <v>46204</v>
      </c>
      <c r="I1790" s="31" t="s">
        <v>475</v>
      </c>
      <c r="J1790" s="30" t="s">
        <v>389</v>
      </c>
      <c r="K1790" s="31" t="s">
        <v>476</v>
      </c>
      <c r="L1790" s="32" t="n">
        <v>1</v>
      </c>
      <c r="M1790" s="35" t="s">
        <v>386</v>
      </c>
      <c r="N1790" s="31" t="s">
        <v>387</v>
      </c>
      <c r="O1790" s="32" t="n">
        <v>1</v>
      </c>
      <c r="P1790" s="15" t="n">
        <f aca="false">IF(A1790="","",IF(O1790&lt;&gt;"",O1790,IF(L1790&lt;&gt;"",L1790,F1790)))</f>
        <v>1</v>
      </c>
    </row>
    <row r="1791" customFormat="false" ht="15" hidden="false" customHeight="true" outlineLevel="0" collapsed="false">
      <c r="A1791" s="26" t="s">
        <v>219</v>
      </c>
      <c r="B1791" s="26" t="s">
        <v>220</v>
      </c>
      <c r="C1791" s="14" t="n">
        <f aca="false">IF(A1791="","",IFERROR(VLOOKUP(A1791,'Recert Status'!$A$8:$C$400,3,FALSE()),""))</f>
        <v>46387</v>
      </c>
      <c r="D1791" s="18" t="s">
        <v>806</v>
      </c>
      <c r="E1791" s="26" t="s">
        <v>452</v>
      </c>
      <c r="F1791" s="27" t="n">
        <v>1</v>
      </c>
      <c r="G1791" s="28" t="n">
        <v>46039</v>
      </c>
      <c r="H1791" s="28" t="n">
        <v>46039</v>
      </c>
      <c r="I1791" s="18" t="s">
        <v>807</v>
      </c>
      <c r="J1791" s="26" t="s">
        <v>452</v>
      </c>
      <c r="K1791" s="18" t="s">
        <v>808</v>
      </c>
      <c r="L1791" s="27" t="n">
        <v>1</v>
      </c>
      <c r="M1791" s="36" t="s">
        <v>396</v>
      </c>
      <c r="N1791" s="18" t="s">
        <v>397</v>
      </c>
      <c r="O1791" s="27" t="n">
        <v>1</v>
      </c>
      <c r="P1791" s="15" t="n">
        <f aca="false">IF(A1791="","",IF(O1791&lt;&gt;"",O1791,IF(L1791&lt;&gt;"",L1791,F1791)))</f>
        <v>1</v>
      </c>
    </row>
    <row r="1792" customFormat="false" ht="15" hidden="false" customHeight="true" outlineLevel="0" collapsed="false">
      <c r="A1792" s="30" t="s">
        <v>219</v>
      </c>
      <c r="B1792" s="30" t="s">
        <v>220</v>
      </c>
      <c r="C1792" s="21" t="n">
        <f aca="false">IF(A1792="","",IFERROR(VLOOKUP(A1792,'Recert Status'!$A$8:$C$400,3,FALSE()),""))</f>
        <v>46387</v>
      </c>
      <c r="D1792" s="31" t="s">
        <v>397</v>
      </c>
      <c r="E1792" s="30" t="s">
        <v>452</v>
      </c>
      <c r="F1792" s="32" t="n">
        <v>1</v>
      </c>
      <c r="G1792" s="33" t="n">
        <v>46246</v>
      </c>
      <c r="H1792" s="33" t="n">
        <v>46246</v>
      </c>
      <c r="I1792" s="31" t="s">
        <v>478</v>
      </c>
      <c r="J1792" s="30" t="s">
        <v>452</v>
      </c>
      <c r="K1792" s="31" t="s">
        <v>385</v>
      </c>
      <c r="L1792" s="32" t="n">
        <v>1</v>
      </c>
      <c r="M1792" s="36" t="s">
        <v>396</v>
      </c>
      <c r="N1792" s="31" t="s">
        <v>397</v>
      </c>
      <c r="O1792" s="32" t="n">
        <v>1</v>
      </c>
      <c r="P1792" s="15" t="n">
        <f aca="false">IF(A1792="","",IF(O1792&lt;&gt;"",O1792,IF(L1792&lt;&gt;"",L1792,F1792)))</f>
        <v>1</v>
      </c>
    </row>
    <row r="1793" customFormat="false" ht="15" hidden="false" customHeight="true" outlineLevel="0" collapsed="false">
      <c r="A1793" s="26" t="s">
        <v>219</v>
      </c>
      <c r="B1793" s="26" t="s">
        <v>220</v>
      </c>
      <c r="C1793" s="14" t="n">
        <f aca="false">IF(A1793="","",IFERROR(VLOOKUP(A1793,'Recert Status'!$A$8:$C$400,3,FALSE()),""))</f>
        <v>46387</v>
      </c>
      <c r="D1793" s="18" t="s">
        <v>397</v>
      </c>
      <c r="E1793" s="26" t="s">
        <v>452</v>
      </c>
      <c r="F1793" s="27" t="n">
        <v>1</v>
      </c>
      <c r="G1793" s="28" t="n">
        <v>46261</v>
      </c>
      <c r="H1793" s="28" t="n">
        <v>46261</v>
      </c>
      <c r="I1793" s="18" t="s">
        <v>1451</v>
      </c>
      <c r="J1793" s="26" t="s">
        <v>452</v>
      </c>
      <c r="K1793" s="18" t="s">
        <v>385</v>
      </c>
      <c r="L1793" s="27" t="n">
        <v>1</v>
      </c>
      <c r="M1793" s="36" t="s">
        <v>396</v>
      </c>
      <c r="N1793" s="18" t="s">
        <v>397</v>
      </c>
      <c r="O1793" s="27" t="n">
        <v>1</v>
      </c>
      <c r="P1793" s="15" t="n">
        <f aca="false">IF(A1793="","",IF(O1793&lt;&gt;"",O1793,IF(L1793&lt;&gt;"",L1793,F1793)))</f>
        <v>1</v>
      </c>
    </row>
    <row r="1794" customFormat="false" ht="15" hidden="false" customHeight="true" outlineLevel="0" collapsed="false">
      <c r="A1794" s="30" t="s">
        <v>219</v>
      </c>
      <c r="B1794" s="30" t="s">
        <v>220</v>
      </c>
      <c r="C1794" s="21" t="n">
        <f aca="false">IF(A1794="","",IFERROR(VLOOKUP(A1794,'Recert Status'!$A$8:$C$400,3,FALSE()),""))</f>
        <v>46387</v>
      </c>
      <c r="D1794" s="31" t="s">
        <v>397</v>
      </c>
      <c r="E1794" s="30" t="s">
        <v>452</v>
      </c>
      <c r="F1794" s="32" t="n">
        <v>1</v>
      </c>
      <c r="G1794" s="33" t="n">
        <v>46276</v>
      </c>
      <c r="H1794" s="33" t="n">
        <v>46276</v>
      </c>
      <c r="I1794" s="31" t="s">
        <v>1452</v>
      </c>
      <c r="J1794" s="30" t="s">
        <v>452</v>
      </c>
      <c r="K1794" s="31" t="s">
        <v>385</v>
      </c>
      <c r="L1794" s="32" t="n">
        <v>1</v>
      </c>
      <c r="M1794" s="36" t="s">
        <v>396</v>
      </c>
      <c r="N1794" s="31" t="s">
        <v>397</v>
      </c>
      <c r="O1794" s="32" t="n">
        <v>1</v>
      </c>
      <c r="P1794" s="15" t="n">
        <f aca="false">IF(A1794="","",IF(O1794&lt;&gt;"",O1794,IF(L1794&lt;&gt;"",L1794,F1794)))</f>
        <v>1</v>
      </c>
    </row>
    <row r="1795" customFormat="false" ht="15" hidden="false" customHeight="true" outlineLevel="0" collapsed="false">
      <c r="A1795" s="26" t="s">
        <v>219</v>
      </c>
      <c r="B1795" s="26" t="s">
        <v>220</v>
      </c>
      <c r="C1795" s="14" t="n">
        <f aca="false">IF(A1795="","",IFERROR(VLOOKUP(A1795,'Recert Status'!$A$8:$C$400,3,FALSE()),""))</f>
        <v>46387</v>
      </c>
      <c r="D1795" s="18" t="s">
        <v>565</v>
      </c>
      <c r="E1795" s="26" t="s">
        <v>416</v>
      </c>
      <c r="F1795" s="27" t="n">
        <v>1</v>
      </c>
      <c r="G1795" s="28" t="n">
        <v>45826</v>
      </c>
      <c r="H1795" s="28" t="n">
        <v>45826</v>
      </c>
      <c r="I1795" s="18" t="s">
        <v>566</v>
      </c>
      <c r="J1795" s="26" t="s">
        <v>416</v>
      </c>
      <c r="K1795" s="18" t="s">
        <v>485</v>
      </c>
      <c r="L1795" s="27" t="n">
        <v>1</v>
      </c>
      <c r="M1795" s="39" t="s">
        <v>413</v>
      </c>
      <c r="N1795" s="18" t="s">
        <v>414</v>
      </c>
      <c r="O1795" s="27" t="n">
        <v>1</v>
      </c>
      <c r="P1795" s="15" t="n">
        <f aca="false">IF(A1795="","",IF(O1795&lt;&gt;"",O1795,IF(L1795&lt;&gt;"",L1795,F1795)))</f>
        <v>1</v>
      </c>
    </row>
    <row r="1796" customFormat="false" ht="15" hidden="false" customHeight="true" outlineLevel="0" collapsed="false">
      <c r="A1796" s="30" t="s">
        <v>219</v>
      </c>
      <c r="B1796" s="30" t="s">
        <v>220</v>
      </c>
      <c r="C1796" s="21" t="n">
        <f aca="false">IF(A1796="","",IFERROR(VLOOKUP(A1796,'Recert Status'!$A$8:$C$400,3,FALSE()),""))</f>
        <v>46387</v>
      </c>
      <c r="D1796" s="31" t="s">
        <v>457</v>
      </c>
      <c r="E1796" s="30" t="s">
        <v>416</v>
      </c>
      <c r="F1796" s="32" t="n">
        <v>2</v>
      </c>
      <c r="G1796" s="33" t="n">
        <v>45859</v>
      </c>
      <c r="H1796" s="33" t="n">
        <v>45859</v>
      </c>
      <c r="I1796" s="31" t="s">
        <v>780</v>
      </c>
      <c r="J1796" s="30" t="s">
        <v>416</v>
      </c>
      <c r="K1796" s="31" t="s">
        <v>781</v>
      </c>
      <c r="L1796" s="32" t="n">
        <v>2</v>
      </c>
      <c r="M1796" s="39" t="s">
        <v>413</v>
      </c>
      <c r="N1796" s="31" t="s">
        <v>414</v>
      </c>
      <c r="O1796" s="32" t="n">
        <v>2</v>
      </c>
      <c r="P1796" s="15" t="n">
        <f aca="false">IF(A1796="","",IF(O1796&lt;&gt;"",O1796,IF(L1796&lt;&gt;"",L1796,F1796)))</f>
        <v>2</v>
      </c>
    </row>
    <row r="1797" customFormat="false" ht="15" hidden="false" customHeight="true" outlineLevel="0" collapsed="false">
      <c r="A1797" s="26" t="s">
        <v>219</v>
      </c>
      <c r="B1797" s="26" t="s">
        <v>220</v>
      </c>
      <c r="C1797" s="14" t="n">
        <f aca="false">IF(A1797="","",IFERROR(VLOOKUP(A1797,'Recert Status'!$A$8:$C$400,3,FALSE()),""))</f>
        <v>46387</v>
      </c>
      <c r="D1797" s="18" t="s">
        <v>488</v>
      </c>
      <c r="E1797" s="26" t="s">
        <v>416</v>
      </c>
      <c r="F1797" s="27" t="n">
        <v>1</v>
      </c>
      <c r="G1797" s="28" t="n">
        <v>46132</v>
      </c>
      <c r="H1797" s="28" t="n">
        <v>46132</v>
      </c>
      <c r="I1797" s="18" t="s">
        <v>609</v>
      </c>
      <c r="J1797" s="26" t="s">
        <v>416</v>
      </c>
      <c r="K1797" s="18" t="s">
        <v>490</v>
      </c>
      <c r="L1797" s="27" t="n">
        <v>1</v>
      </c>
      <c r="M1797" s="39" t="s">
        <v>413</v>
      </c>
      <c r="N1797" s="18" t="s">
        <v>414</v>
      </c>
      <c r="O1797" s="27" t="n">
        <v>1</v>
      </c>
      <c r="P1797" s="15" t="n">
        <f aca="false">IF(A1797="","",IF(O1797&lt;&gt;"",O1797,IF(L1797&lt;&gt;"",L1797,F1797)))</f>
        <v>1</v>
      </c>
    </row>
    <row r="1798" customFormat="false" ht="15" hidden="false" customHeight="true" outlineLevel="0" collapsed="false">
      <c r="A1798" s="30" t="s">
        <v>219</v>
      </c>
      <c r="B1798" s="30" t="s">
        <v>220</v>
      </c>
      <c r="C1798" s="21" t="n">
        <f aca="false">IF(A1798="","",IFERROR(VLOOKUP(A1798,'Recert Status'!$A$8:$C$400,3,FALSE()),""))</f>
        <v>46387</v>
      </c>
      <c r="D1798" s="31" t="s">
        <v>414</v>
      </c>
      <c r="E1798" s="30" t="s">
        <v>416</v>
      </c>
      <c r="F1798" s="32" t="n">
        <v>2</v>
      </c>
      <c r="G1798" s="33" t="n">
        <v>46219</v>
      </c>
      <c r="H1798" s="33" t="n">
        <v>46219</v>
      </c>
      <c r="I1798" s="31" t="s">
        <v>567</v>
      </c>
      <c r="J1798" s="30" t="s">
        <v>416</v>
      </c>
      <c r="K1798" s="31" t="s">
        <v>418</v>
      </c>
      <c r="L1798" s="32" t="n">
        <v>2</v>
      </c>
      <c r="M1798" s="39" t="s">
        <v>413</v>
      </c>
      <c r="N1798" s="31" t="s">
        <v>414</v>
      </c>
      <c r="O1798" s="32" t="n">
        <v>2</v>
      </c>
      <c r="P1798" s="15" t="n">
        <f aca="false">IF(A1798="","",IF(O1798&lt;&gt;"",O1798,IF(L1798&lt;&gt;"",L1798,F1798)))</f>
        <v>2</v>
      </c>
    </row>
    <row r="1799" customFormat="false" ht="15" hidden="false" customHeight="true" outlineLevel="0" collapsed="false">
      <c r="A1799" s="26" t="s">
        <v>221</v>
      </c>
      <c r="B1799" s="26" t="s">
        <v>222</v>
      </c>
      <c r="C1799" s="14" t="n">
        <f aca="false">IF(A1799="","",IFERROR(VLOOKUP(A1799,'Recert Status'!$A$8:$C$400,3,FALSE()),""))</f>
        <v>46752</v>
      </c>
      <c r="D1799" s="18" t="s">
        <v>496</v>
      </c>
      <c r="E1799" s="26" t="s">
        <v>542</v>
      </c>
      <c r="F1799" s="27" t="n">
        <v>4</v>
      </c>
      <c r="G1799" s="28" t="n">
        <v>45961</v>
      </c>
      <c r="H1799" s="28" t="n">
        <v>45961</v>
      </c>
      <c r="I1799" s="18" t="s">
        <v>587</v>
      </c>
      <c r="J1799" s="26" t="s">
        <v>542</v>
      </c>
      <c r="K1799" s="18" t="s">
        <v>422</v>
      </c>
      <c r="L1799" s="27" t="n">
        <v>4</v>
      </c>
      <c r="M1799" s="40" t="s">
        <v>423</v>
      </c>
      <c r="N1799" s="18" t="s">
        <v>424</v>
      </c>
      <c r="O1799" s="27" t="n">
        <v>4</v>
      </c>
      <c r="P1799" s="15" t="n">
        <f aca="false">IF(A1799="","",IF(O1799&lt;&gt;"",O1799,IF(L1799&lt;&gt;"",L1799,F1799)))</f>
        <v>4</v>
      </c>
    </row>
    <row r="1800" customFormat="false" ht="15" hidden="false" customHeight="true" outlineLevel="0" collapsed="false">
      <c r="A1800" s="30" t="s">
        <v>221</v>
      </c>
      <c r="B1800" s="30" t="s">
        <v>222</v>
      </c>
      <c r="C1800" s="21" t="n">
        <f aca="false">IF(A1800="","",IFERROR(VLOOKUP(A1800,'Recert Status'!$A$8:$C$400,3,FALSE()),""))</f>
        <v>46752</v>
      </c>
      <c r="D1800" s="31" t="s">
        <v>732</v>
      </c>
      <c r="E1800" s="30" t="n">
        <v>29740</v>
      </c>
      <c r="F1800" s="32" t="n">
        <v>1</v>
      </c>
      <c r="G1800" s="33" t="n">
        <v>46140</v>
      </c>
      <c r="H1800" s="33" t="n">
        <v>46140</v>
      </c>
      <c r="I1800" s="31" t="s">
        <v>868</v>
      </c>
      <c r="J1800" s="30" t="s">
        <v>394</v>
      </c>
      <c r="K1800" s="31" t="s">
        <v>869</v>
      </c>
      <c r="L1800" s="32" t="n">
        <v>1</v>
      </c>
      <c r="M1800" s="35" t="s">
        <v>386</v>
      </c>
      <c r="N1800" s="31" t="s">
        <v>387</v>
      </c>
      <c r="O1800" s="32" t="n">
        <v>1</v>
      </c>
      <c r="P1800" s="15" t="n">
        <f aca="false">IF(A1800="","",IF(O1800&lt;&gt;"",O1800,IF(L1800&lt;&gt;"",L1800,F1800)))</f>
        <v>1</v>
      </c>
    </row>
    <row r="1801" customFormat="false" ht="15" hidden="false" customHeight="true" outlineLevel="0" collapsed="false">
      <c r="A1801" s="26" t="s">
        <v>221</v>
      </c>
      <c r="B1801" s="26" t="s">
        <v>222</v>
      </c>
      <c r="C1801" s="14" t="n">
        <f aca="false">IF(A1801="","",IFERROR(VLOOKUP(A1801,'Recert Status'!$A$8:$C$400,3,FALSE()),""))</f>
        <v>46752</v>
      </c>
      <c r="D1801" s="18" t="s">
        <v>387</v>
      </c>
      <c r="E1801" s="26" t="s">
        <v>389</v>
      </c>
      <c r="F1801" s="27" t="n">
        <v>0.5</v>
      </c>
      <c r="G1801" s="28" t="n">
        <v>46230</v>
      </c>
      <c r="H1801" s="28" t="n">
        <v>46230</v>
      </c>
      <c r="I1801" s="18" t="s">
        <v>594</v>
      </c>
      <c r="J1801" s="26" t="s">
        <v>389</v>
      </c>
      <c r="K1801" s="18" t="s">
        <v>451</v>
      </c>
      <c r="L1801" s="27" t="n">
        <v>0.5</v>
      </c>
      <c r="M1801" s="35" t="s">
        <v>386</v>
      </c>
      <c r="N1801" s="18" t="s">
        <v>387</v>
      </c>
      <c r="O1801" s="27" t="n">
        <v>0.5</v>
      </c>
      <c r="P1801" s="15" t="n">
        <f aca="false">IF(A1801="","",IF(O1801&lt;&gt;"",O1801,IF(L1801&lt;&gt;"",L1801,F1801)))</f>
        <v>0.5</v>
      </c>
    </row>
    <row r="1802" customFormat="false" ht="15" hidden="false" customHeight="true" outlineLevel="0" collapsed="false">
      <c r="A1802" s="30" t="s">
        <v>221</v>
      </c>
      <c r="B1802" s="30" t="s">
        <v>222</v>
      </c>
      <c r="C1802" s="21" t="n">
        <f aca="false">IF(A1802="","",IFERROR(VLOOKUP(A1802,'Recert Status'!$A$8:$C$400,3,FALSE()),""))</f>
        <v>46752</v>
      </c>
      <c r="D1802" s="31" t="s">
        <v>597</v>
      </c>
      <c r="E1802" s="30" t="n">
        <v>29735</v>
      </c>
      <c r="F1802" s="32" t="n">
        <v>4</v>
      </c>
      <c r="G1802" s="33" t="n">
        <v>45961</v>
      </c>
      <c r="H1802" s="33" t="n">
        <v>45961</v>
      </c>
      <c r="I1802" s="31" t="s">
        <v>598</v>
      </c>
      <c r="J1802" s="30" t="s">
        <v>599</v>
      </c>
      <c r="K1802" s="31" t="s">
        <v>600</v>
      </c>
      <c r="L1802" s="32" t="n">
        <v>4</v>
      </c>
      <c r="M1802" s="36" t="s">
        <v>396</v>
      </c>
      <c r="N1802" s="31" t="s">
        <v>397</v>
      </c>
      <c r="O1802" s="32" t="n">
        <v>4</v>
      </c>
      <c r="P1802" s="15" t="n">
        <f aca="false">IF(A1802="","",IF(O1802&lt;&gt;"",O1802,IF(L1802&lt;&gt;"",L1802,F1802)))</f>
        <v>4</v>
      </c>
    </row>
    <row r="1803" customFormat="false" ht="15" hidden="false" customHeight="true" outlineLevel="0" collapsed="false">
      <c r="A1803" s="26" t="s">
        <v>221</v>
      </c>
      <c r="B1803" s="26" t="s">
        <v>222</v>
      </c>
      <c r="C1803" s="14" t="n">
        <f aca="false">IF(A1803="","",IFERROR(VLOOKUP(A1803,'Recert Status'!$A$8:$C$400,3,FALSE()),""))</f>
        <v>46752</v>
      </c>
      <c r="D1803" s="18" t="s">
        <v>856</v>
      </c>
      <c r="E1803" s="26" t="s">
        <v>452</v>
      </c>
      <c r="F1803" s="27" t="n">
        <v>1</v>
      </c>
      <c r="G1803" s="28" t="n">
        <v>46137</v>
      </c>
      <c r="H1803" s="28" t="n">
        <v>46137</v>
      </c>
      <c r="I1803" s="18" t="s">
        <v>857</v>
      </c>
      <c r="J1803" s="26" t="s">
        <v>452</v>
      </c>
      <c r="K1803" s="18" t="s">
        <v>385</v>
      </c>
      <c r="L1803" s="27" t="n">
        <v>1</v>
      </c>
      <c r="M1803" s="36" t="s">
        <v>396</v>
      </c>
      <c r="N1803" s="18" t="s">
        <v>397</v>
      </c>
      <c r="O1803" s="27" t="n">
        <v>1</v>
      </c>
      <c r="P1803" s="15" t="n">
        <f aca="false">IF(A1803="","",IF(O1803&lt;&gt;"",O1803,IF(L1803&lt;&gt;"",L1803,F1803)))</f>
        <v>1</v>
      </c>
    </row>
    <row r="1804" customFormat="false" ht="15" hidden="false" customHeight="true" outlineLevel="0" collapsed="false">
      <c r="A1804" s="30" t="s">
        <v>221</v>
      </c>
      <c r="B1804" s="30" t="s">
        <v>222</v>
      </c>
      <c r="C1804" s="21" t="n">
        <f aca="false">IF(A1804="","",IFERROR(VLOOKUP(A1804,'Recert Status'!$A$8:$C$400,3,FALSE()),""))</f>
        <v>46752</v>
      </c>
      <c r="D1804" s="31" t="s">
        <v>488</v>
      </c>
      <c r="E1804" s="30" t="s">
        <v>416</v>
      </c>
      <c r="F1804" s="32" t="n">
        <v>1</v>
      </c>
      <c r="G1804" s="33" t="n">
        <v>46128</v>
      </c>
      <c r="H1804" s="33" t="n">
        <v>46128</v>
      </c>
      <c r="I1804" s="31" t="s">
        <v>609</v>
      </c>
      <c r="J1804" s="30" t="s">
        <v>416</v>
      </c>
      <c r="K1804" s="31" t="s">
        <v>490</v>
      </c>
      <c r="L1804" s="32" t="n">
        <v>1</v>
      </c>
      <c r="M1804" s="39" t="s">
        <v>413</v>
      </c>
      <c r="N1804" s="31" t="s">
        <v>414</v>
      </c>
      <c r="O1804" s="32" t="n">
        <v>1</v>
      </c>
      <c r="P1804" s="15" t="n">
        <f aca="false">IF(A1804="","",IF(O1804&lt;&gt;"",O1804,IF(L1804&lt;&gt;"",L1804,F1804)))</f>
        <v>1</v>
      </c>
    </row>
    <row r="1805" customFormat="false" ht="15" hidden="false" customHeight="true" outlineLevel="0" collapsed="false">
      <c r="A1805" s="26" t="s">
        <v>221</v>
      </c>
      <c r="B1805" s="26" t="s">
        <v>222</v>
      </c>
      <c r="C1805" s="14" t="n">
        <f aca="false">IF(A1805="","",IFERROR(VLOOKUP(A1805,'Recert Status'!$A$8:$C$400,3,FALSE()),""))</f>
        <v>46752</v>
      </c>
      <c r="D1805" s="18" t="s">
        <v>414</v>
      </c>
      <c r="E1805" s="26" t="s">
        <v>416</v>
      </c>
      <c r="F1805" s="27" t="n">
        <v>2</v>
      </c>
      <c r="G1805" s="28" t="n">
        <v>46218</v>
      </c>
      <c r="H1805" s="28" t="n">
        <v>46218</v>
      </c>
      <c r="I1805" s="18" t="s">
        <v>535</v>
      </c>
      <c r="J1805" s="26" t="s">
        <v>416</v>
      </c>
      <c r="K1805" s="18" t="s">
        <v>418</v>
      </c>
      <c r="L1805" s="27" t="n">
        <v>2</v>
      </c>
      <c r="M1805" s="39" t="s">
        <v>413</v>
      </c>
      <c r="N1805" s="18" t="s">
        <v>414</v>
      </c>
      <c r="O1805" s="27" t="n">
        <v>2</v>
      </c>
      <c r="P1805" s="15" t="n">
        <f aca="false">IF(A1805="","",IF(O1805&lt;&gt;"",O1805,IF(L1805&lt;&gt;"",L1805,F1805)))</f>
        <v>2</v>
      </c>
    </row>
    <row r="1806" customFormat="false" ht="15" hidden="false" customHeight="true" outlineLevel="0" collapsed="false">
      <c r="A1806" s="30" t="s">
        <v>223</v>
      </c>
      <c r="B1806" s="30" t="s">
        <v>224</v>
      </c>
      <c r="C1806" s="21" t="n">
        <f aca="false">IF(A1806="","",IFERROR(VLOOKUP(A1806,'Recert Status'!$A$8:$C$400,3,FALSE()),""))</f>
        <v>46752</v>
      </c>
      <c r="D1806" s="31" t="s">
        <v>1453</v>
      </c>
      <c r="E1806" s="30" t="s">
        <v>363</v>
      </c>
      <c r="F1806" s="32" t="n">
        <v>1</v>
      </c>
      <c r="G1806" s="33" t="n">
        <v>45746</v>
      </c>
      <c r="H1806" s="33" t="n">
        <v>45746</v>
      </c>
      <c r="I1806" s="31" t="s">
        <v>1454</v>
      </c>
      <c r="J1806" s="30" t="s">
        <v>363</v>
      </c>
      <c r="K1806" s="31" t="s">
        <v>1455</v>
      </c>
      <c r="L1806" s="32" t="n">
        <v>1</v>
      </c>
      <c r="M1806" s="29" t="s">
        <v>366</v>
      </c>
      <c r="N1806" s="31" t="s">
        <v>367</v>
      </c>
      <c r="O1806" s="32" t="n">
        <v>1</v>
      </c>
      <c r="P1806" s="15" t="n">
        <f aca="false">IF(A1806="","",IF(O1806&lt;&gt;"",O1806,IF(L1806&lt;&gt;"",L1806,F1806)))</f>
        <v>1</v>
      </c>
    </row>
    <row r="1807" customFormat="false" ht="15" hidden="false" customHeight="true" outlineLevel="0" collapsed="false">
      <c r="A1807" s="26" t="s">
        <v>223</v>
      </c>
      <c r="B1807" s="26" t="s">
        <v>224</v>
      </c>
      <c r="C1807" s="14" t="n">
        <f aca="false">IF(A1807="","",IFERROR(VLOOKUP(A1807,'Recert Status'!$A$8:$C$400,3,FALSE()),""))</f>
        <v>46752</v>
      </c>
      <c r="D1807" s="18" t="s">
        <v>1456</v>
      </c>
      <c r="E1807" s="26" t="s">
        <v>363</v>
      </c>
      <c r="F1807" s="27" t="n">
        <v>1</v>
      </c>
      <c r="G1807" s="28" t="n">
        <v>45746</v>
      </c>
      <c r="H1807" s="28" t="n">
        <v>45746</v>
      </c>
      <c r="I1807" s="18" t="s">
        <v>1457</v>
      </c>
      <c r="J1807" s="26" t="s">
        <v>363</v>
      </c>
      <c r="K1807" s="18" t="s">
        <v>1455</v>
      </c>
      <c r="L1807" s="27" t="n">
        <v>1</v>
      </c>
      <c r="M1807" s="29" t="s">
        <v>366</v>
      </c>
      <c r="N1807" s="18" t="s">
        <v>367</v>
      </c>
      <c r="O1807" s="27" t="n">
        <v>1</v>
      </c>
      <c r="P1807" s="15" t="n">
        <f aca="false">IF(A1807="","",IF(O1807&lt;&gt;"",O1807,IF(L1807&lt;&gt;"",L1807,F1807)))</f>
        <v>1</v>
      </c>
    </row>
    <row r="1808" customFormat="false" ht="15" hidden="false" customHeight="true" outlineLevel="0" collapsed="false">
      <c r="A1808" s="30" t="s">
        <v>223</v>
      </c>
      <c r="B1808" s="30" t="s">
        <v>224</v>
      </c>
      <c r="C1808" s="21" t="n">
        <f aca="false">IF(A1808="","",IFERROR(VLOOKUP(A1808,'Recert Status'!$A$8:$C$400,3,FALSE()),""))</f>
        <v>46752</v>
      </c>
      <c r="D1808" s="31" t="s">
        <v>425</v>
      </c>
      <c r="E1808" s="30" t="s">
        <v>426</v>
      </c>
      <c r="F1808" s="32" t="n">
        <v>2</v>
      </c>
      <c r="G1808" s="33" t="n">
        <v>45929</v>
      </c>
      <c r="H1808" s="33" t="n">
        <v>45929</v>
      </c>
      <c r="I1808" s="31" t="s">
        <v>427</v>
      </c>
      <c r="J1808" s="30" t="s">
        <v>426</v>
      </c>
      <c r="K1808" s="31" t="s">
        <v>428</v>
      </c>
      <c r="L1808" s="32" t="n">
        <v>2</v>
      </c>
      <c r="M1808" s="41" t="s">
        <v>429</v>
      </c>
      <c r="N1808" s="31" t="s">
        <v>430</v>
      </c>
      <c r="O1808" s="32" t="n">
        <v>2</v>
      </c>
      <c r="P1808" s="15" t="n">
        <f aca="false">IF(A1808="","",IF(O1808&lt;&gt;"",O1808,IF(L1808&lt;&gt;"",L1808,F1808)))</f>
        <v>2</v>
      </c>
    </row>
    <row r="1809" customFormat="false" ht="15" hidden="false" customHeight="true" outlineLevel="0" collapsed="false">
      <c r="A1809" s="26" t="s">
        <v>223</v>
      </c>
      <c r="B1809" s="26" t="s">
        <v>224</v>
      </c>
      <c r="C1809" s="14" t="n">
        <f aca="false">IF(A1809="","",IFERROR(VLOOKUP(A1809,'Recert Status'!$A$8:$C$400,3,FALSE()),""))</f>
        <v>46752</v>
      </c>
      <c r="D1809" s="18" t="s">
        <v>379</v>
      </c>
      <c r="E1809" s="26" t="s">
        <v>372</v>
      </c>
      <c r="F1809" s="27" t="n">
        <v>1</v>
      </c>
      <c r="G1809" s="28" t="n">
        <v>45782</v>
      </c>
      <c r="H1809" s="28" t="n">
        <v>45782</v>
      </c>
      <c r="I1809" s="18" t="s">
        <v>1458</v>
      </c>
      <c r="J1809" s="26" t="s">
        <v>372</v>
      </c>
      <c r="K1809" s="18" t="s">
        <v>374</v>
      </c>
      <c r="L1809" s="27" t="n">
        <v>1</v>
      </c>
      <c r="M1809" s="34" t="s">
        <v>375</v>
      </c>
      <c r="N1809" s="18" t="s">
        <v>376</v>
      </c>
      <c r="O1809" s="27" t="n">
        <v>1</v>
      </c>
      <c r="P1809" s="15" t="n">
        <f aca="false">IF(A1809="","",IF(O1809&lt;&gt;"",O1809,IF(L1809&lt;&gt;"",L1809,F1809)))</f>
        <v>1</v>
      </c>
    </row>
    <row r="1810" customFormat="false" ht="15" hidden="false" customHeight="true" outlineLevel="0" collapsed="false">
      <c r="A1810" s="30" t="s">
        <v>223</v>
      </c>
      <c r="B1810" s="30" t="s">
        <v>224</v>
      </c>
      <c r="C1810" s="21" t="n">
        <f aca="false">IF(A1810="","",IFERROR(VLOOKUP(A1810,'Recert Status'!$A$8:$C$400,3,FALSE()),""))</f>
        <v>46752</v>
      </c>
      <c r="D1810" s="31" t="s">
        <v>449</v>
      </c>
      <c r="E1810" s="30" t="s">
        <v>389</v>
      </c>
      <c r="F1810" s="32" t="n">
        <v>0.5</v>
      </c>
      <c r="G1810" s="33" t="n">
        <v>45698</v>
      </c>
      <c r="H1810" s="33" t="n">
        <v>45698</v>
      </c>
      <c r="I1810" s="31" t="s">
        <v>1216</v>
      </c>
      <c r="J1810" s="30" t="s">
        <v>389</v>
      </c>
      <c r="K1810" s="31" t="s">
        <v>395</v>
      </c>
      <c r="L1810" s="32" t="n">
        <v>0.5</v>
      </c>
      <c r="M1810" s="35" t="s">
        <v>386</v>
      </c>
      <c r="N1810" s="31" t="s">
        <v>387</v>
      </c>
      <c r="O1810" s="32" t="n">
        <v>0.5</v>
      </c>
      <c r="P1810" s="15" t="n">
        <f aca="false">IF(A1810="","",IF(O1810&lt;&gt;"",O1810,IF(L1810&lt;&gt;"",L1810,F1810)))</f>
        <v>0.5</v>
      </c>
    </row>
    <row r="1811" customFormat="false" ht="15" hidden="false" customHeight="true" outlineLevel="0" collapsed="false">
      <c r="A1811" s="26" t="s">
        <v>223</v>
      </c>
      <c r="B1811" s="26" t="s">
        <v>224</v>
      </c>
      <c r="C1811" s="14" t="n">
        <f aca="false">IF(A1811="","",IFERROR(VLOOKUP(A1811,'Recert Status'!$A$8:$C$400,3,FALSE()),""))</f>
        <v>46752</v>
      </c>
      <c r="D1811" s="18" t="s">
        <v>1459</v>
      </c>
      <c r="E1811" s="26" t="s">
        <v>389</v>
      </c>
      <c r="F1811" s="27" t="n">
        <v>1</v>
      </c>
      <c r="G1811" s="28" t="n">
        <v>45734</v>
      </c>
      <c r="H1811" s="28" t="n">
        <v>45734</v>
      </c>
      <c r="I1811" s="18" t="s">
        <v>1460</v>
      </c>
      <c r="J1811" s="26" t="s">
        <v>389</v>
      </c>
      <c r="K1811" s="18" t="s">
        <v>407</v>
      </c>
      <c r="L1811" s="27" t="n">
        <v>1</v>
      </c>
      <c r="M1811" s="35" t="s">
        <v>386</v>
      </c>
      <c r="N1811" s="18" t="s">
        <v>387</v>
      </c>
      <c r="O1811" s="27" t="n">
        <v>1</v>
      </c>
      <c r="P1811" s="15" t="n">
        <f aca="false">IF(A1811="","",IF(O1811&lt;&gt;"",O1811,IF(L1811&lt;&gt;"",L1811,F1811)))</f>
        <v>1</v>
      </c>
    </row>
    <row r="1812" customFormat="false" ht="15" hidden="false" customHeight="true" outlineLevel="0" collapsed="false">
      <c r="A1812" s="30" t="s">
        <v>223</v>
      </c>
      <c r="B1812" s="30" t="s">
        <v>224</v>
      </c>
      <c r="C1812" s="21" t="n">
        <f aca="false">IF(A1812="","",IFERROR(VLOOKUP(A1812,'Recert Status'!$A$8:$C$400,3,FALSE()),""))</f>
        <v>46752</v>
      </c>
      <c r="D1812" s="31" t="s">
        <v>1461</v>
      </c>
      <c r="E1812" s="30" t="s">
        <v>389</v>
      </c>
      <c r="F1812" s="32" t="n">
        <v>1</v>
      </c>
      <c r="G1812" s="33" t="n">
        <v>45734</v>
      </c>
      <c r="H1812" s="33" t="n">
        <v>45734</v>
      </c>
      <c r="I1812" s="31" t="s">
        <v>1462</v>
      </c>
      <c r="J1812" s="30" t="s">
        <v>389</v>
      </c>
      <c r="K1812" s="31" t="s">
        <v>407</v>
      </c>
      <c r="L1812" s="32" t="n">
        <v>1</v>
      </c>
      <c r="M1812" s="35" t="s">
        <v>386</v>
      </c>
      <c r="N1812" s="31" t="s">
        <v>387</v>
      </c>
      <c r="O1812" s="32" t="n">
        <v>1</v>
      </c>
      <c r="P1812" s="15" t="n">
        <f aca="false">IF(A1812="","",IF(O1812&lt;&gt;"",O1812,IF(L1812&lt;&gt;"",L1812,F1812)))</f>
        <v>1</v>
      </c>
    </row>
    <row r="1813" customFormat="false" ht="15" hidden="false" customHeight="true" outlineLevel="0" collapsed="false">
      <c r="A1813" s="26" t="s">
        <v>223</v>
      </c>
      <c r="B1813" s="26" t="s">
        <v>224</v>
      </c>
      <c r="C1813" s="14" t="n">
        <f aca="false">IF(A1813="","",IFERROR(VLOOKUP(A1813,'Recert Status'!$A$8:$C$400,3,FALSE()),""))</f>
        <v>46752</v>
      </c>
      <c r="D1813" s="18" t="s">
        <v>1463</v>
      </c>
      <c r="E1813" s="26" t="s">
        <v>389</v>
      </c>
      <c r="F1813" s="27" t="n">
        <v>1</v>
      </c>
      <c r="G1813" s="28" t="n">
        <v>45746</v>
      </c>
      <c r="H1813" s="28" t="n">
        <v>45746</v>
      </c>
      <c r="I1813" s="18" t="s">
        <v>1464</v>
      </c>
      <c r="J1813" s="26" t="s">
        <v>389</v>
      </c>
      <c r="K1813" s="18" t="s">
        <v>1465</v>
      </c>
      <c r="L1813" s="27" t="n">
        <v>1</v>
      </c>
      <c r="M1813" s="35" t="s">
        <v>386</v>
      </c>
      <c r="N1813" s="18" t="s">
        <v>387</v>
      </c>
      <c r="O1813" s="27" t="n">
        <v>1</v>
      </c>
      <c r="P1813" s="15" t="n">
        <f aca="false">IF(A1813="","",IF(O1813&lt;&gt;"",O1813,IF(L1813&lt;&gt;"",L1813,F1813)))</f>
        <v>1</v>
      </c>
    </row>
    <row r="1814" customFormat="false" ht="15" hidden="false" customHeight="true" outlineLevel="0" collapsed="false">
      <c r="A1814" s="30" t="s">
        <v>223</v>
      </c>
      <c r="B1814" s="30" t="s">
        <v>224</v>
      </c>
      <c r="C1814" s="21" t="n">
        <f aca="false">IF(A1814="","",IFERROR(VLOOKUP(A1814,'Recert Status'!$A$8:$C$400,3,FALSE()),""))</f>
        <v>46752</v>
      </c>
      <c r="D1814" s="31" t="s">
        <v>1466</v>
      </c>
      <c r="E1814" s="30" t="s">
        <v>389</v>
      </c>
      <c r="F1814" s="32" t="n">
        <v>1</v>
      </c>
      <c r="G1814" s="33" t="n">
        <v>45746</v>
      </c>
      <c r="H1814" s="33" t="n">
        <v>45746</v>
      </c>
      <c r="I1814" s="31" t="s">
        <v>1467</v>
      </c>
      <c r="J1814" s="30" t="s">
        <v>389</v>
      </c>
      <c r="K1814" s="31" t="s">
        <v>898</v>
      </c>
      <c r="L1814" s="32" t="n">
        <v>1</v>
      </c>
      <c r="M1814" s="35" t="s">
        <v>386</v>
      </c>
      <c r="N1814" s="31" t="s">
        <v>387</v>
      </c>
      <c r="O1814" s="32" t="n">
        <v>1</v>
      </c>
      <c r="P1814" s="15" t="n">
        <f aca="false">IF(A1814="","",IF(O1814&lt;&gt;"",O1814,IF(L1814&lt;&gt;"",L1814,F1814)))</f>
        <v>1</v>
      </c>
    </row>
    <row r="1815" customFormat="false" ht="15" hidden="false" customHeight="true" outlineLevel="0" collapsed="false">
      <c r="A1815" s="26" t="s">
        <v>223</v>
      </c>
      <c r="B1815" s="26" t="s">
        <v>224</v>
      </c>
      <c r="C1815" s="14" t="n">
        <f aca="false">IF(A1815="","",IFERROR(VLOOKUP(A1815,'Recert Status'!$A$8:$C$400,3,FALSE()),""))</f>
        <v>46752</v>
      </c>
      <c r="D1815" s="18" t="s">
        <v>1468</v>
      </c>
      <c r="E1815" s="26" t="s">
        <v>389</v>
      </c>
      <c r="F1815" s="27" t="n">
        <v>1</v>
      </c>
      <c r="G1815" s="28" t="n">
        <v>45747</v>
      </c>
      <c r="H1815" s="28" t="n">
        <v>45747</v>
      </c>
      <c r="I1815" s="18" t="s">
        <v>1469</v>
      </c>
      <c r="J1815" s="26" t="s">
        <v>389</v>
      </c>
      <c r="K1815" s="18" t="s">
        <v>407</v>
      </c>
      <c r="L1815" s="27" t="n">
        <v>1</v>
      </c>
      <c r="M1815" s="35" t="s">
        <v>386</v>
      </c>
      <c r="N1815" s="18" t="s">
        <v>387</v>
      </c>
      <c r="O1815" s="27" t="n">
        <v>1</v>
      </c>
      <c r="P1815" s="15" t="n">
        <f aca="false">IF(A1815="","",IF(O1815&lt;&gt;"",O1815,IF(L1815&lt;&gt;"",L1815,F1815)))</f>
        <v>1</v>
      </c>
    </row>
    <row r="1816" customFormat="false" ht="15" hidden="false" customHeight="true" outlineLevel="0" collapsed="false">
      <c r="A1816" s="30" t="s">
        <v>223</v>
      </c>
      <c r="B1816" s="30" t="s">
        <v>224</v>
      </c>
      <c r="C1816" s="21" t="n">
        <f aca="false">IF(A1816="","",IFERROR(VLOOKUP(A1816,'Recert Status'!$A$8:$C$400,3,FALSE()),""))</f>
        <v>46752</v>
      </c>
      <c r="D1816" s="31" t="s">
        <v>437</v>
      </c>
      <c r="E1816" s="30" t="n">
        <v>29743</v>
      </c>
      <c r="F1816" s="32" t="n">
        <v>1</v>
      </c>
      <c r="G1816" s="33" t="n">
        <v>45833</v>
      </c>
      <c r="H1816" s="33" t="n">
        <v>45833</v>
      </c>
      <c r="I1816" s="31" t="s">
        <v>438</v>
      </c>
      <c r="J1816" s="30" t="s">
        <v>439</v>
      </c>
      <c r="K1816" s="31" t="s">
        <v>440</v>
      </c>
      <c r="L1816" s="32" t="n">
        <v>1</v>
      </c>
      <c r="M1816" s="35" t="s">
        <v>386</v>
      </c>
      <c r="N1816" s="31" t="s">
        <v>387</v>
      </c>
      <c r="O1816" s="32" t="n">
        <v>1</v>
      </c>
      <c r="P1816" s="15" t="n">
        <f aca="false">IF(A1816="","",IF(O1816&lt;&gt;"",O1816,IF(L1816&lt;&gt;"",L1816,F1816)))</f>
        <v>1</v>
      </c>
    </row>
    <row r="1817" customFormat="false" ht="15" hidden="false" customHeight="true" outlineLevel="0" collapsed="false">
      <c r="A1817" s="26" t="s">
        <v>223</v>
      </c>
      <c r="B1817" s="26" t="s">
        <v>224</v>
      </c>
      <c r="C1817" s="14" t="n">
        <f aca="false">IF(A1817="","",IFERROR(VLOOKUP(A1817,'Recert Status'!$A$8:$C$400,3,FALSE()),""))</f>
        <v>46752</v>
      </c>
      <c r="D1817" s="18" t="s">
        <v>441</v>
      </c>
      <c r="E1817" s="26" t="n">
        <v>29743</v>
      </c>
      <c r="F1817" s="27" t="n">
        <v>1</v>
      </c>
      <c r="G1817" s="28" t="n">
        <v>45833</v>
      </c>
      <c r="H1817" s="28" t="n">
        <v>45833</v>
      </c>
      <c r="I1817" s="18" t="s">
        <v>442</v>
      </c>
      <c r="J1817" s="26" t="s">
        <v>439</v>
      </c>
      <c r="K1817" s="18" t="s">
        <v>443</v>
      </c>
      <c r="L1817" s="27" t="n">
        <v>1</v>
      </c>
      <c r="M1817" s="35" t="s">
        <v>386</v>
      </c>
      <c r="N1817" s="18" t="s">
        <v>387</v>
      </c>
      <c r="O1817" s="27" t="n">
        <v>1</v>
      </c>
      <c r="P1817" s="15" t="n">
        <f aca="false">IF(A1817="","",IF(O1817&lt;&gt;"",O1817,IF(L1817&lt;&gt;"",L1817,F1817)))</f>
        <v>1</v>
      </c>
    </row>
    <row r="1818" customFormat="false" ht="15" hidden="false" customHeight="true" outlineLevel="0" collapsed="false">
      <c r="A1818" s="30" t="s">
        <v>223</v>
      </c>
      <c r="B1818" s="30" t="s">
        <v>224</v>
      </c>
      <c r="C1818" s="21" t="n">
        <f aca="false">IF(A1818="","",IFERROR(VLOOKUP(A1818,'Recert Status'!$A$8:$C$400,3,FALSE()),""))</f>
        <v>46752</v>
      </c>
      <c r="D1818" s="31" t="s">
        <v>913</v>
      </c>
      <c r="E1818" s="30" t="s">
        <v>389</v>
      </c>
      <c r="F1818" s="32" t="n">
        <v>1</v>
      </c>
      <c r="G1818" s="33" t="n">
        <v>45971</v>
      </c>
      <c r="H1818" s="33" t="n">
        <v>45971</v>
      </c>
      <c r="I1818" s="31" t="s">
        <v>445</v>
      </c>
      <c r="J1818" s="30" t="s">
        <v>389</v>
      </c>
      <c r="K1818" s="31" t="s">
        <v>446</v>
      </c>
      <c r="L1818" s="32" t="n">
        <v>1</v>
      </c>
      <c r="M1818" s="35" t="s">
        <v>386</v>
      </c>
      <c r="N1818" s="31" t="s">
        <v>387</v>
      </c>
      <c r="O1818" s="32" t="n">
        <v>1</v>
      </c>
      <c r="P1818" s="15" t="n">
        <f aca="false">IF(A1818="","",IF(O1818&lt;&gt;"",O1818,IF(L1818&lt;&gt;"",L1818,F1818)))</f>
        <v>1</v>
      </c>
    </row>
    <row r="1819" customFormat="false" ht="15" hidden="false" customHeight="true" outlineLevel="0" collapsed="false">
      <c r="A1819" s="26" t="s">
        <v>223</v>
      </c>
      <c r="B1819" s="26" t="s">
        <v>224</v>
      </c>
      <c r="C1819" s="14" t="n">
        <f aca="false">IF(A1819="","",IFERROR(VLOOKUP(A1819,'Recert Status'!$A$8:$C$400,3,FALSE()),""))</f>
        <v>46752</v>
      </c>
      <c r="D1819" s="18" t="s">
        <v>914</v>
      </c>
      <c r="E1819" s="26" t="n">
        <v>29675</v>
      </c>
      <c r="F1819" s="27" t="n">
        <v>2</v>
      </c>
      <c r="G1819" s="28" t="n">
        <v>45971</v>
      </c>
      <c r="H1819" s="28" t="n">
        <v>45971</v>
      </c>
      <c r="I1819" s="18" t="s">
        <v>915</v>
      </c>
      <c r="J1819" s="26" t="s">
        <v>406</v>
      </c>
      <c r="K1819" s="18" t="s">
        <v>630</v>
      </c>
      <c r="L1819" s="27" t="n">
        <v>2</v>
      </c>
      <c r="M1819" s="35" t="s">
        <v>386</v>
      </c>
      <c r="N1819" s="18" t="s">
        <v>387</v>
      </c>
      <c r="O1819" s="27" t="n">
        <v>2</v>
      </c>
      <c r="P1819" s="15" t="n">
        <f aca="false">IF(A1819="","",IF(O1819&lt;&gt;"",O1819,IF(L1819&lt;&gt;"",L1819,F1819)))</f>
        <v>2</v>
      </c>
    </row>
    <row r="1820" customFormat="false" ht="15" hidden="false" customHeight="true" outlineLevel="0" collapsed="false">
      <c r="A1820" s="30" t="s">
        <v>223</v>
      </c>
      <c r="B1820" s="30" t="s">
        <v>224</v>
      </c>
      <c r="C1820" s="21" t="n">
        <f aca="false">IF(A1820="","",IFERROR(VLOOKUP(A1820,'Recert Status'!$A$8:$C$400,3,FALSE()),""))</f>
        <v>46752</v>
      </c>
      <c r="D1820" s="31" t="s">
        <v>1470</v>
      </c>
      <c r="E1820" s="30" t="s">
        <v>389</v>
      </c>
      <c r="F1820" s="32" t="n">
        <v>1</v>
      </c>
      <c r="G1820" s="33" t="n">
        <v>46166</v>
      </c>
      <c r="H1820" s="33" t="n">
        <v>46166</v>
      </c>
      <c r="I1820" s="31" t="s">
        <v>1471</v>
      </c>
      <c r="J1820" s="30" t="s">
        <v>389</v>
      </c>
      <c r="K1820" s="31" t="s">
        <v>735</v>
      </c>
      <c r="L1820" s="32" t="n">
        <v>1</v>
      </c>
      <c r="M1820" s="35" t="s">
        <v>386</v>
      </c>
      <c r="N1820" s="31" t="s">
        <v>387</v>
      </c>
      <c r="O1820" s="32" t="n">
        <v>1</v>
      </c>
      <c r="P1820" s="15" t="n">
        <f aca="false">IF(A1820="","",IF(O1820&lt;&gt;"",O1820,IF(L1820&lt;&gt;"",L1820,F1820)))</f>
        <v>1</v>
      </c>
    </row>
    <row r="1821" customFormat="false" ht="15" hidden="false" customHeight="true" outlineLevel="0" collapsed="false">
      <c r="A1821" s="26" t="s">
        <v>223</v>
      </c>
      <c r="B1821" s="26" t="s">
        <v>224</v>
      </c>
      <c r="C1821" s="14" t="n">
        <f aca="false">IF(A1821="","",IFERROR(VLOOKUP(A1821,'Recert Status'!$A$8:$C$400,3,FALSE()),""))</f>
        <v>46752</v>
      </c>
      <c r="D1821" s="18" t="s">
        <v>387</v>
      </c>
      <c r="E1821" s="26" t="s">
        <v>389</v>
      </c>
      <c r="F1821" s="27" t="n">
        <v>1</v>
      </c>
      <c r="G1821" s="28" t="n">
        <v>46235</v>
      </c>
      <c r="H1821" s="28" t="n">
        <v>46235</v>
      </c>
      <c r="I1821" s="18" t="s">
        <v>919</v>
      </c>
      <c r="J1821" s="26" t="s">
        <v>389</v>
      </c>
      <c r="K1821" s="18" t="s">
        <v>451</v>
      </c>
      <c r="L1821" s="27" t="n">
        <v>1</v>
      </c>
      <c r="M1821" s="35" t="s">
        <v>386</v>
      </c>
      <c r="N1821" s="18" t="s">
        <v>387</v>
      </c>
      <c r="O1821" s="27" t="n">
        <v>1</v>
      </c>
      <c r="P1821" s="15" t="n">
        <f aca="false">IF(A1821="","",IF(O1821&lt;&gt;"",O1821,IF(L1821&lt;&gt;"",L1821,F1821)))</f>
        <v>1</v>
      </c>
    </row>
    <row r="1822" customFormat="false" ht="15" hidden="false" customHeight="true" outlineLevel="0" collapsed="false">
      <c r="A1822" s="30" t="s">
        <v>223</v>
      </c>
      <c r="B1822" s="30" t="s">
        <v>224</v>
      </c>
      <c r="C1822" s="21" t="n">
        <f aca="false">IF(A1822="","",IFERROR(VLOOKUP(A1822,'Recert Status'!$A$8:$C$400,3,FALSE()),""))</f>
        <v>46752</v>
      </c>
      <c r="D1822" s="31" t="s">
        <v>1472</v>
      </c>
      <c r="E1822" s="30" t="s">
        <v>452</v>
      </c>
      <c r="F1822" s="32" t="n">
        <v>1</v>
      </c>
      <c r="G1822" s="33" t="n">
        <v>45737</v>
      </c>
      <c r="H1822" s="33" t="n">
        <v>45737</v>
      </c>
      <c r="I1822" s="31" t="s">
        <v>1473</v>
      </c>
      <c r="J1822" s="30" t="s">
        <v>452</v>
      </c>
      <c r="K1822" s="31" t="s">
        <v>385</v>
      </c>
      <c r="L1822" s="32" t="n">
        <v>1</v>
      </c>
      <c r="M1822" s="36" t="s">
        <v>396</v>
      </c>
      <c r="N1822" s="31" t="s">
        <v>397</v>
      </c>
      <c r="O1822" s="32" t="n">
        <v>1</v>
      </c>
      <c r="P1822" s="15" t="n">
        <f aca="false">IF(A1822="","",IF(O1822&lt;&gt;"",O1822,IF(L1822&lt;&gt;"",L1822,F1822)))</f>
        <v>1</v>
      </c>
    </row>
    <row r="1823" customFormat="false" ht="15" hidden="false" customHeight="true" outlineLevel="0" collapsed="false">
      <c r="A1823" s="26" t="s">
        <v>223</v>
      </c>
      <c r="B1823" s="26" t="s">
        <v>224</v>
      </c>
      <c r="C1823" s="14" t="n">
        <f aca="false">IF(A1823="","",IFERROR(VLOOKUP(A1823,'Recert Status'!$A$8:$C$400,3,FALSE()),""))</f>
        <v>46752</v>
      </c>
      <c r="D1823" s="18" t="s">
        <v>1474</v>
      </c>
      <c r="E1823" s="26" t="s">
        <v>452</v>
      </c>
      <c r="F1823" s="27" t="n">
        <v>1</v>
      </c>
      <c r="G1823" s="28" t="n">
        <v>45740</v>
      </c>
      <c r="H1823" s="28" t="n">
        <v>45740</v>
      </c>
      <c r="I1823" s="18" t="s">
        <v>1475</v>
      </c>
      <c r="J1823" s="26" t="s">
        <v>452</v>
      </c>
      <c r="K1823" s="18" t="s">
        <v>385</v>
      </c>
      <c r="L1823" s="27" t="n">
        <v>1</v>
      </c>
      <c r="M1823" s="36" t="s">
        <v>396</v>
      </c>
      <c r="N1823" s="18" t="s">
        <v>397</v>
      </c>
      <c r="O1823" s="27" t="n">
        <v>1</v>
      </c>
      <c r="P1823" s="15" t="n">
        <f aca="false">IF(A1823="","",IF(O1823&lt;&gt;"",O1823,IF(L1823&lt;&gt;"",L1823,F1823)))</f>
        <v>1</v>
      </c>
    </row>
    <row r="1824" customFormat="false" ht="15" hidden="false" customHeight="true" outlineLevel="0" collapsed="false">
      <c r="A1824" s="30" t="s">
        <v>223</v>
      </c>
      <c r="B1824" s="30" t="s">
        <v>224</v>
      </c>
      <c r="C1824" s="21" t="n">
        <f aca="false">IF(A1824="","",IFERROR(VLOOKUP(A1824,'Recert Status'!$A$8:$C$400,3,FALSE()),""))</f>
        <v>46752</v>
      </c>
      <c r="D1824" s="31" t="s">
        <v>1476</v>
      </c>
      <c r="E1824" s="30" t="s">
        <v>452</v>
      </c>
      <c r="F1824" s="32" t="n">
        <v>1</v>
      </c>
      <c r="G1824" s="33" t="n">
        <v>45743</v>
      </c>
      <c r="H1824" s="33" t="n">
        <v>45743</v>
      </c>
      <c r="I1824" s="31" t="s">
        <v>1477</v>
      </c>
      <c r="J1824" s="30" t="s">
        <v>452</v>
      </c>
      <c r="K1824" s="31" t="s">
        <v>385</v>
      </c>
      <c r="L1824" s="32" t="n">
        <v>1</v>
      </c>
      <c r="M1824" s="36" t="s">
        <v>396</v>
      </c>
      <c r="N1824" s="31" t="s">
        <v>397</v>
      </c>
      <c r="O1824" s="32" t="n">
        <v>1</v>
      </c>
      <c r="P1824" s="15" t="n">
        <f aca="false">IF(A1824="","",IF(O1824&lt;&gt;"",O1824,IF(L1824&lt;&gt;"",L1824,F1824)))</f>
        <v>1</v>
      </c>
    </row>
    <row r="1825" customFormat="false" ht="15" hidden="false" customHeight="true" outlineLevel="0" collapsed="false">
      <c r="A1825" s="26" t="s">
        <v>223</v>
      </c>
      <c r="B1825" s="26" t="s">
        <v>224</v>
      </c>
      <c r="C1825" s="14" t="n">
        <f aca="false">IF(A1825="","",IFERROR(VLOOKUP(A1825,'Recert Status'!$A$8:$C$400,3,FALSE()),""))</f>
        <v>46752</v>
      </c>
      <c r="D1825" s="18" t="s">
        <v>560</v>
      </c>
      <c r="E1825" s="26" t="s">
        <v>452</v>
      </c>
      <c r="F1825" s="27" t="n">
        <v>1</v>
      </c>
      <c r="G1825" s="28" t="n">
        <v>46175</v>
      </c>
      <c r="H1825" s="28" t="n">
        <v>46175</v>
      </c>
      <c r="I1825" s="18" t="s">
        <v>1478</v>
      </c>
      <c r="J1825" s="26" t="s">
        <v>452</v>
      </c>
      <c r="K1825" s="18" t="s">
        <v>385</v>
      </c>
      <c r="L1825" s="27" t="n">
        <v>1</v>
      </c>
      <c r="M1825" s="36" t="s">
        <v>396</v>
      </c>
      <c r="N1825" s="18" t="s">
        <v>397</v>
      </c>
      <c r="O1825" s="27" t="n">
        <v>1</v>
      </c>
      <c r="P1825" s="15" t="n">
        <f aca="false">IF(A1825="","",IF(O1825&lt;&gt;"",O1825,IF(L1825&lt;&gt;"",L1825,F1825)))</f>
        <v>1</v>
      </c>
    </row>
    <row r="1826" customFormat="false" ht="15" hidden="false" customHeight="true" outlineLevel="0" collapsed="false">
      <c r="A1826" s="30" t="s">
        <v>223</v>
      </c>
      <c r="B1826" s="30" t="s">
        <v>224</v>
      </c>
      <c r="C1826" s="21" t="n">
        <f aca="false">IF(A1826="","",IFERROR(VLOOKUP(A1826,'Recert Status'!$A$8:$C$400,3,FALSE()),""))</f>
        <v>46752</v>
      </c>
      <c r="D1826" s="31" t="s">
        <v>397</v>
      </c>
      <c r="E1826" s="30" t="s">
        <v>452</v>
      </c>
      <c r="F1826" s="32" t="n">
        <v>1</v>
      </c>
      <c r="G1826" s="33" t="n">
        <v>46244</v>
      </c>
      <c r="H1826" s="33" t="n">
        <v>46244</v>
      </c>
      <c r="I1826" s="31" t="s">
        <v>577</v>
      </c>
      <c r="J1826" s="30" t="s">
        <v>452</v>
      </c>
      <c r="K1826" s="31" t="s">
        <v>385</v>
      </c>
      <c r="L1826" s="32" t="n">
        <v>1</v>
      </c>
      <c r="M1826" s="36" t="s">
        <v>396</v>
      </c>
      <c r="N1826" s="31" t="s">
        <v>397</v>
      </c>
      <c r="O1826" s="32" t="n">
        <v>1</v>
      </c>
      <c r="P1826" s="15" t="n">
        <f aca="false">IF(A1826="","",IF(O1826&lt;&gt;"",O1826,IF(L1826&lt;&gt;"",L1826,F1826)))</f>
        <v>1</v>
      </c>
    </row>
    <row r="1827" customFormat="false" ht="15" hidden="false" customHeight="true" outlineLevel="0" collapsed="false">
      <c r="A1827" s="26" t="s">
        <v>223</v>
      </c>
      <c r="B1827" s="26" t="s">
        <v>224</v>
      </c>
      <c r="C1827" s="14" t="n">
        <f aca="false">IF(A1827="","",IFERROR(VLOOKUP(A1827,'Recert Status'!$A$8:$C$400,3,FALSE()),""))</f>
        <v>46752</v>
      </c>
      <c r="D1827" s="18" t="s">
        <v>1479</v>
      </c>
      <c r="E1827" s="26" t="s">
        <v>399</v>
      </c>
      <c r="F1827" s="27" t="n">
        <v>1</v>
      </c>
      <c r="G1827" s="28" t="n">
        <v>46196</v>
      </c>
      <c r="H1827" s="28" t="n">
        <v>46196</v>
      </c>
      <c r="I1827" s="18" t="s">
        <v>1480</v>
      </c>
      <c r="J1827" s="26" t="s">
        <v>399</v>
      </c>
      <c r="K1827" s="18" t="s">
        <v>401</v>
      </c>
      <c r="L1827" s="27" t="n">
        <v>1</v>
      </c>
      <c r="M1827" s="37" t="s">
        <v>402</v>
      </c>
      <c r="N1827" s="18" t="s">
        <v>403</v>
      </c>
      <c r="O1827" s="27" t="n">
        <v>1</v>
      </c>
      <c r="P1827" s="15" t="n">
        <f aca="false">IF(A1827="","",IF(O1827&lt;&gt;"",O1827,IF(L1827&lt;&gt;"",L1827,F1827)))</f>
        <v>1</v>
      </c>
    </row>
    <row r="1828" customFormat="false" ht="15" hidden="false" customHeight="true" outlineLevel="0" collapsed="false">
      <c r="A1828" s="30" t="s">
        <v>223</v>
      </c>
      <c r="B1828" s="30" t="s">
        <v>224</v>
      </c>
      <c r="C1828" s="21" t="n">
        <f aca="false">IF(A1828="","",IFERROR(VLOOKUP(A1828,'Recert Status'!$A$8:$C$400,3,FALSE()),""))</f>
        <v>46752</v>
      </c>
      <c r="D1828" s="31" t="s">
        <v>672</v>
      </c>
      <c r="E1828" s="30" t="n">
        <v>29675</v>
      </c>
      <c r="F1828" s="32" t="n">
        <v>1</v>
      </c>
      <c r="G1828" s="33" t="n">
        <v>45824</v>
      </c>
      <c r="H1828" s="33" t="n">
        <v>45824</v>
      </c>
      <c r="I1828" s="31" t="s">
        <v>970</v>
      </c>
      <c r="J1828" s="30" t="s">
        <v>406</v>
      </c>
      <c r="K1828" s="31" t="s">
        <v>418</v>
      </c>
      <c r="L1828" s="32" t="n">
        <v>1</v>
      </c>
      <c r="M1828" s="39" t="s">
        <v>413</v>
      </c>
      <c r="N1828" s="31" t="s">
        <v>414</v>
      </c>
      <c r="O1828" s="32" t="n">
        <v>1</v>
      </c>
      <c r="P1828" s="15" t="n">
        <f aca="false">IF(A1828="","",IF(O1828&lt;&gt;"",O1828,IF(L1828&lt;&gt;"",L1828,F1828)))</f>
        <v>1</v>
      </c>
    </row>
    <row r="1829" customFormat="false" ht="15" hidden="false" customHeight="true" outlineLevel="0" collapsed="false">
      <c r="A1829" s="26" t="s">
        <v>223</v>
      </c>
      <c r="B1829" s="26" t="s">
        <v>224</v>
      </c>
      <c r="C1829" s="14" t="n">
        <f aca="false">IF(A1829="","",IFERROR(VLOOKUP(A1829,'Recert Status'!$A$8:$C$400,3,FALSE()),""))</f>
        <v>46752</v>
      </c>
      <c r="D1829" s="18" t="s">
        <v>457</v>
      </c>
      <c r="E1829" s="26" t="s">
        <v>416</v>
      </c>
      <c r="F1829" s="27" t="n">
        <v>2</v>
      </c>
      <c r="G1829" s="28" t="n">
        <v>45860</v>
      </c>
      <c r="H1829" s="28" t="n">
        <v>45860</v>
      </c>
      <c r="I1829" s="18" t="s">
        <v>533</v>
      </c>
      <c r="J1829" s="26" t="s">
        <v>416</v>
      </c>
      <c r="K1829" s="18" t="s">
        <v>523</v>
      </c>
      <c r="L1829" s="27" t="n">
        <v>2</v>
      </c>
      <c r="M1829" s="39" t="s">
        <v>413</v>
      </c>
      <c r="N1829" s="18" t="s">
        <v>414</v>
      </c>
      <c r="O1829" s="27" t="n">
        <v>2</v>
      </c>
      <c r="P1829" s="15" t="n">
        <f aca="false">IF(A1829="","",IF(O1829&lt;&gt;"",O1829,IF(L1829&lt;&gt;"",L1829,F1829)))</f>
        <v>2</v>
      </c>
    </row>
    <row r="1830" customFormat="false" ht="15" hidden="false" customHeight="true" outlineLevel="0" collapsed="false">
      <c r="A1830" s="30" t="s">
        <v>223</v>
      </c>
      <c r="B1830" s="30" t="s">
        <v>224</v>
      </c>
      <c r="C1830" s="21" t="n">
        <f aca="false">IF(A1830="","",IFERROR(VLOOKUP(A1830,'Recert Status'!$A$8:$C$400,3,FALSE()),""))</f>
        <v>46752</v>
      </c>
      <c r="D1830" s="31" t="s">
        <v>488</v>
      </c>
      <c r="E1830" s="30" t="s">
        <v>416</v>
      </c>
      <c r="F1830" s="32" t="n">
        <v>1</v>
      </c>
      <c r="G1830" s="33" t="n">
        <v>46139</v>
      </c>
      <c r="H1830" s="33" t="n">
        <v>46139</v>
      </c>
      <c r="I1830" s="31" t="s">
        <v>610</v>
      </c>
      <c r="J1830" s="30" t="s">
        <v>416</v>
      </c>
      <c r="K1830" s="31" t="s">
        <v>490</v>
      </c>
      <c r="L1830" s="32" t="n">
        <v>1</v>
      </c>
      <c r="M1830" s="39" t="s">
        <v>413</v>
      </c>
      <c r="N1830" s="31" t="s">
        <v>414</v>
      </c>
      <c r="O1830" s="32" t="n">
        <v>1</v>
      </c>
      <c r="P1830" s="15" t="n">
        <f aca="false">IF(A1830="","",IF(O1830&lt;&gt;"",O1830,IF(L1830&lt;&gt;"",L1830,F1830)))</f>
        <v>1</v>
      </c>
    </row>
    <row r="1831" customFormat="false" ht="15" hidden="false" customHeight="true" outlineLevel="0" collapsed="false">
      <c r="A1831" s="26" t="s">
        <v>223</v>
      </c>
      <c r="B1831" s="26" t="s">
        <v>224</v>
      </c>
      <c r="C1831" s="14" t="n">
        <f aca="false">IF(A1831="","",IFERROR(VLOOKUP(A1831,'Recert Status'!$A$8:$C$400,3,FALSE()),""))</f>
        <v>46752</v>
      </c>
      <c r="D1831" s="18" t="s">
        <v>414</v>
      </c>
      <c r="E1831" s="26" t="s">
        <v>416</v>
      </c>
      <c r="F1831" s="27" t="n">
        <v>2</v>
      </c>
      <c r="G1831" s="28" t="n">
        <v>46217</v>
      </c>
      <c r="H1831" s="28" t="n">
        <v>46217</v>
      </c>
      <c r="I1831" s="18" t="s">
        <v>460</v>
      </c>
      <c r="J1831" s="26" t="s">
        <v>416</v>
      </c>
      <c r="K1831" s="18" t="s">
        <v>418</v>
      </c>
      <c r="L1831" s="27" t="n">
        <v>2</v>
      </c>
      <c r="M1831" s="39" t="s">
        <v>413</v>
      </c>
      <c r="N1831" s="18" t="s">
        <v>414</v>
      </c>
      <c r="O1831" s="27" t="n">
        <v>2</v>
      </c>
      <c r="P1831" s="15" t="n">
        <f aca="false">IF(A1831="","",IF(O1831&lt;&gt;"",O1831,IF(L1831&lt;&gt;"",L1831,F1831)))</f>
        <v>2</v>
      </c>
    </row>
    <row r="1832" customFormat="false" ht="15" hidden="false" customHeight="true" outlineLevel="0" collapsed="false">
      <c r="A1832" s="30" t="s">
        <v>225</v>
      </c>
      <c r="B1832" s="30" t="s">
        <v>226</v>
      </c>
      <c r="C1832" s="21" t="n">
        <f aca="false">IF(A1832="","",IFERROR(VLOOKUP(A1832,'Recert Status'!$A$8:$C$400,3,FALSE()),""))</f>
        <v>46387</v>
      </c>
      <c r="D1832" s="31" t="s">
        <v>811</v>
      </c>
      <c r="E1832" s="30" t="s">
        <v>363</v>
      </c>
      <c r="F1832" s="32" t="n">
        <v>1</v>
      </c>
      <c r="G1832" s="33" t="n">
        <v>45783</v>
      </c>
      <c r="H1832" s="33" t="n">
        <v>45783</v>
      </c>
      <c r="I1832" s="31" t="s">
        <v>812</v>
      </c>
      <c r="J1832" s="30" t="s">
        <v>363</v>
      </c>
      <c r="K1832" s="31" t="s">
        <v>813</v>
      </c>
      <c r="L1832" s="32" t="n">
        <v>1</v>
      </c>
      <c r="M1832" s="29" t="s">
        <v>366</v>
      </c>
      <c r="N1832" s="31" t="s">
        <v>367</v>
      </c>
      <c r="O1832" s="32" t="n">
        <v>1</v>
      </c>
      <c r="P1832" s="15" t="n">
        <f aca="false">IF(A1832="","",IF(O1832&lt;&gt;"",O1832,IF(L1832&lt;&gt;"",L1832,F1832)))</f>
        <v>1</v>
      </c>
    </row>
    <row r="1833" customFormat="false" ht="15" hidden="false" customHeight="true" outlineLevel="0" collapsed="false">
      <c r="A1833" s="26" t="s">
        <v>225</v>
      </c>
      <c r="B1833" s="26" t="s">
        <v>226</v>
      </c>
      <c r="C1833" s="14" t="n">
        <f aca="false">IF(A1833="","",IFERROR(VLOOKUP(A1833,'Recert Status'!$A$8:$C$400,3,FALSE()),""))</f>
        <v>46387</v>
      </c>
      <c r="D1833" s="18" t="s">
        <v>946</v>
      </c>
      <c r="E1833" s="26" t="s">
        <v>363</v>
      </c>
      <c r="F1833" s="27" t="n">
        <v>1</v>
      </c>
      <c r="G1833" s="28" t="n">
        <v>45867</v>
      </c>
      <c r="H1833" s="28" t="n">
        <v>45867</v>
      </c>
      <c r="I1833" s="18" t="s">
        <v>947</v>
      </c>
      <c r="J1833" s="26" t="s">
        <v>363</v>
      </c>
      <c r="K1833" s="18" t="s">
        <v>370</v>
      </c>
      <c r="L1833" s="27" t="n">
        <v>1</v>
      </c>
      <c r="M1833" s="29" t="s">
        <v>366</v>
      </c>
      <c r="N1833" s="18" t="s">
        <v>367</v>
      </c>
      <c r="O1833" s="27" t="n">
        <v>1</v>
      </c>
      <c r="P1833" s="15" t="n">
        <f aca="false">IF(A1833="","",IF(O1833&lt;&gt;"",O1833,IF(L1833&lt;&gt;"",L1833,F1833)))</f>
        <v>1</v>
      </c>
    </row>
    <row r="1834" customFormat="false" ht="15" hidden="false" customHeight="true" outlineLevel="0" collapsed="false">
      <c r="A1834" s="30" t="s">
        <v>225</v>
      </c>
      <c r="B1834" s="30" t="s">
        <v>226</v>
      </c>
      <c r="C1834" s="21" t="n">
        <f aca="false">IF(A1834="","",IFERROR(VLOOKUP(A1834,'Recert Status'!$A$8:$C$400,3,FALSE()),""))</f>
        <v>46387</v>
      </c>
      <c r="D1834" s="31" t="s">
        <v>1281</v>
      </c>
      <c r="E1834" s="30" t="s">
        <v>363</v>
      </c>
      <c r="F1834" s="32" t="n">
        <v>1</v>
      </c>
      <c r="G1834" s="33" t="n">
        <v>45912</v>
      </c>
      <c r="H1834" s="33" t="n">
        <v>45912</v>
      </c>
      <c r="I1834" s="31" t="s">
        <v>1282</v>
      </c>
      <c r="J1834" s="30" t="s">
        <v>363</v>
      </c>
      <c r="K1834" s="31" t="s">
        <v>813</v>
      </c>
      <c r="L1834" s="32" t="n">
        <v>1</v>
      </c>
      <c r="M1834" s="29" t="s">
        <v>366</v>
      </c>
      <c r="N1834" s="31" t="s">
        <v>367</v>
      </c>
      <c r="O1834" s="32" t="n">
        <v>1</v>
      </c>
      <c r="P1834" s="15" t="n">
        <f aca="false">IF(A1834="","",IF(O1834&lt;&gt;"",O1834,IF(L1834&lt;&gt;"",L1834,F1834)))</f>
        <v>1</v>
      </c>
    </row>
    <row r="1835" customFormat="false" ht="15" hidden="false" customHeight="true" outlineLevel="0" collapsed="false">
      <c r="A1835" s="26" t="s">
        <v>225</v>
      </c>
      <c r="B1835" s="26" t="s">
        <v>226</v>
      </c>
      <c r="C1835" s="14" t="n">
        <f aca="false">IF(A1835="","",IFERROR(VLOOKUP(A1835,'Recert Status'!$A$8:$C$400,3,FALSE()),""))</f>
        <v>46387</v>
      </c>
      <c r="D1835" s="18" t="s">
        <v>1174</v>
      </c>
      <c r="E1835" s="26" t="s">
        <v>542</v>
      </c>
      <c r="F1835" s="27" t="n">
        <v>1</v>
      </c>
      <c r="G1835" s="28" t="n">
        <v>45783</v>
      </c>
      <c r="H1835" s="28" t="n">
        <v>45783</v>
      </c>
      <c r="I1835" s="18" t="s">
        <v>1175</v>
      </c>
      <c r="J1835" s="26" t="s">
        <v>542</v>
      </c>
      <c r="K1835" s="18" t="s">
        <v>422</v>
      </c>
      <c r="L1835" s="27" t="n">
        <v>1</v>
      </c>
      <c r="M1835" s="40" t="s">
        <v>423</v>
      </c>
      <c r="N1835" s="18" t="s">
        <v>424</v>
      </c>
      <c r="O1835" s="27" t="n">
        <v>1</v>
      </c>
      <c r="P1835" s="15" t="n">
        <f aca="false">IF(A1835="","",IF(O1835&lt;&gt;"",O1835,IF(L1835&lt;&gt;"",L1835,F1835)))</f>
        <v>1</v>
      </c>
    </row>
    <row r="1836" customFormat="false" ht="15" hidden="false" customHeight="true" outlineLevel="0" collapsed="false">
      <c r="A1836" s="30" t="s">
        <v>225</v>
      </c>
      <c r="B1836" s="30" t="s">
        <v>226</v>
      </c>
      <c r="C1836" s="21" t="n">
        <f aca="false">IF(A1836="","",IFERROR(VLOOKUP(A1836,'Recert Status'!$A$8:$C$400,3,FALSE()),""))</f>
        <v>46387</v>
      </c>
      <c r="D1836" s="31" t="s">
        <v>865</v>
      </c>
      <c r="E1836" s="30" t="s">
        <v>542</v>
      </c>
      <c r="F1836" s="32" t="n">
        <v>1</v>
      </c>
      <c r="G1836" s="33" t="n">
        <v>46056</v>
      </c>
      <c r="H1836" s="33" t="n">
        <v>46056</v>
      </c>
      <c r="I1836" s="31" t="s">
        <v>866</v>
      </c>
      <c r="J1836" s="30" t="s">
        <v>542</v>
      </c>
      <c r="K1836" s="31" t="s">
        <v>422</v>
      </c>
      <c r="L1836" s="32" t="n">
        <v>1</v>
      </c>
      <c r="M1836" s="40" t="s">
        <v>423</v>
      </c>
      <c r="N1836" s="31" t="s">
        <v>424</v>
      </c>
      <c r="O1836" s="32" t="n">
        <v>1</v>
      </c>
      <c r="P1836" s="15" t="n">
        <f aca="false">IF(A1836="","",IF(O1836&lt;&gt;"",O1836,IF(L1836&lt;&gt;"",L1836,F1836)))</f>
        <v>1</v>
      </c>
    </row>
    <row r="1837" customFormat="false" ht="15" hidden="false" customHeight="true" outlineLevel="0" collapsed="false">
      <c r="A1837" s="26" t="s">
        <v>225</v>
      </c>
      <c r="B1837" s="26" t="s">
        <v>226</v>
      </c>
      <c r="C1837" s="14" t="n">
        <f aca="false">IF(A1837="","",IFERROR(VLOOKUP(A1837,'Recert Status'!$A$8:$C$400,3,FALSE()),""))</f>
        <v>46387</v>
      </c>
      <c r="D1837" s="18" t="s">
        <v>1283</v>
      </c>
      <c r="E1837" s="26" t="s">
        <v>426</v>
      </c>
      <c r="F1837" s="27" t="n">
        <v>1</v>
      </c>
      <c r="G1837" s="28" t="n">
        <v>45912</v>
      </c>
      <c r="H1837" s="28" t="n">
        <v>45912</v>
      </c>
      <c r="I1837" s="18" t="s">
        <v>1284</v>
      </c>
      <c r="J1837" s="26" t="s">
        <v>426</v>
      </c>
      <c r="K1837" s="18" t="s">
        <v>526</v>
      </c>
      <c r="L1837" s="27" t="n">
        <v>1</v>
      </c>
      <c r="M1837" s="41" t="s">
        <v>429</v>
      </c>
      <c r="N1837" s="18" t="s">
        <v>430</v>
      </c>
      <c r="O1837" s="27" t="n">
        <v>1</v>
      </c>
      <c r="P1837" s="15" t="n">
        <f aca="false">IF(A1837="","",IF(O1837&lt;&gt;"",O1837,IF(L1837&lt;&gt;"",L1837,F1837)))</f>
        <v>1</v>
      </c>
    </row>
    <row r="1838" customFormat="false" ht="15" hidden="false" customHeight="true" outlineLevel="0" collapsed="false">
      <c r="A1838" s="30" t="s">
        <v>225</v>
      </c>
      <c r="B1838" s="30" t="s">
        <v>226</v>
      </c>
      <c r="C1838" s="21" t="n">
        <f aca="false">IF(A1838="","",IFERROR(VLOOKUP(A1838,'Recert Status'!$A$8:$C$400,3,FALSE()),""))</f>
        <v>46387</v>
      </c>
      <c r="D1838" s="31" t="s">
        <v>1024</v>
      </c>
      <c r="E1838" s="30" t="n">
        <v>57433</v>
      </c>
      <c r="F1838" s="32" t="n">
        <v>2</v>
      </c>
      <c r="G1838" s="33" t="n">
        <v>45960</v>
      </c>
      <c r="H1838" s="33" t="n">
        <v>45960</v>
      </c>
      <c r="I1838" s="31" t="s">
        <v>1025</v>
      </c>
      <c r="J1838" s="30" t="s">
        <v>421</v>
      </c>
      <c r="K1838" s="31" t="s">
        <v>428</v>
      </c>
      <c r="L1838" s="32" t="n">
        <v>2</v>
      </c>
      <c r="M1838" s="41" t="s">
        <v>429</v>
      </c>
      <c r="N1838" s="31" t="s">
        <v>430</v>
      </c>
      <c r="O1838" s="32" t="n">
        <v>2</v>
      </c>
      <c r="P1838" s="15" t="n">
        <f aca="false">IF(A1838="","",IF(O1838&lt;&gt;"",O1838,IF(L1838&lt;&gt;"",L1838,F1838)))</f>
        <v>2</v>
      </c>
    </row>
    <row r="1839" customFormat="false" ht="15" hidden="false" customHeight="true" outlineLevel="0" collapsed="false">
      <c r="A1839" s="26" t="s">
        <v>225</v>
      </c>
      <c r="B1839" s="26" t="s">
        <v>226</v>
      </c>
      <c r="C1839" s="14" t="n">
        <f aca="false">IF(A1839="","",IFERROR(VLOOKUP(A1839,'Recert Status'!$A$8:$C$400,3,FALSE()),""))</f>
        <v>46387</v>
      </c>
      <c r="D1839" s="18" t="s">
        <v>1481</v>
      </c>
      <c r="E1839" s="26" t="s">
        <v>372</v>
      </c>
      <c r="F1839" s="27" t="n">
        <v>1</v>
      </c>
      <c r="G1839" s="28" t="n">
        <v>46152</v>
      </c>
      <c r="H1839" s="28" t="n">
        <v>46152</v>
      </c>
      <c r="I1839" s="18" t="s">
        <v>1482</v>
      </c>
      <c r="J1839" s="26" t="s">
        <v>372</v>
      </c>
      <c r="K1839" s="18" t="s">
        <v>766</v>
      </c>
      <c r="L1839" s="27" t="n">
        <v>1</v>
      </c>
      <c r="M1839" s="34" t="s">
        <v>375</v>
      </c>
      <c r="N1839" s="18" t="s">
        <v>514</v>
      </c>
      <c r="O1839" s="27" t="n">
        <v>1</v>
      </c>
      <c r="P1839" s="15" t="n">
        <f aca="false">IF(A1839="","",IF(O1839&lt;&gt;"",O1839,IF(L1839&lt;&gt;"",L1839,F1839)))</f>
        <v>1</v>
      </c>
    </row>
    <row r="1840" customFormat="false" ht="15" hidden="false" customHeight="true" outlineLevel="0" collapsed="false">
      <c r="A1840" s="30" t="s">
        <v>225</v>
      </c>
      <c r="B1840" s="30" t="s">
        <v>226</v>
      </c>
      <c r="C1840" s="21" t="n">
        <f aca="false">IF(A1840="","",IFERROR(VLOOKUP(A1840,'Recert Status'!$A$8:$C$400,3,FALSE()),""))</f>
        <v>46387</v>
      </c>
      <c r="D1840" s="31" t="s">
        <v>953</v>
      </c>
      <c r="E1840" s="30" t="n">
        <v>29668</v>
      </c>
      <c r="F1840" s="32" t="n">
        <v>1</v>
      </c>
      <c r="G1840" s="33" t="n">
        <v>45867</v>
      </c>
      <c r="H1840" s="33" t="n">
        <v>45867</v>
      </c>
      <c r="I1840" s="31" t="s">
        <v>954</v>
      </c>
      <c r="J1840" s="30" t="s">
        <v>511</v>
      </c>
      <c r="K1840" s="31" t="s">
        <v>509</v>
      </c>
      <c r="L1840" s="32" t="n">
        <v>1</v>
      </c>
      <c r="M1840" s="35" t="s">
        <v>386</v>
      </c>
      <c r="N1840" s="31" t="s">
        <v>387</v>
      </c>
      <c r="O1840" s="32" t="n">
        <v>1</v>
      </c>
      <c r="P1840" s="15" t="n">
        <f aca="false">IF(A1840="","",IF(O1840&lt;&gt;"",O1840,IF(L1840&lt;&gt;"",L1840,F1840)))</f>
        <v>1</v>
      </c>
    </row>
    <row r="1841" customFormat="false" ht="15" hidden="false" customHeight="true" outlineLevel="0" collapsed="false">
      <c r="A1841" s="26" t="s">
        <v>225</v>
      </c>
      <c r="B1841" s="26" t="s">
        <v>226</v>
      </c>
      <c r="C1841" s="14" t="n">
        <f aca="false">IF(A1841="","",IFERROR(VLOOKUP(A1841,'Recert Status'!$A$8:$C$400,3,FALSE()),""))</f>
        <v>46387</v>
      </c>
      <c r="D1841" s="18" t="s">
        <v>682</v>
      </c>
      <c r="E1841" s="26" t="n">
        <v>29675</v>
      </c>
      <c r="F1841" s="27" t="n">
        <v>1</v>
      </c>
      <c r="G1841" s="28" t="n">
        <v>45987</v>
      </c>
      <c r="H1841" s="28" t="n">
        <v>45987</v>
      </c>
      <c r="I1841" s="18" t="s">
        <v>683</v>
      </c>
      <c r="J1841" s="26" t="s">
        <v>406</v>
      </c>
      <c r="K1841" s="18" t="s">
        <v>446</v>
      </c>
      <c r="L1841" s="27" t="n">
        <v>1</v>
      </c>
      <c r="M1841" s="35" t="s">
        <v>386</v>
      </c>
      <c r="N1841" s="18" t="s">
        <v>387</v>
      </c>
      <c r="O1841" s="27" t="n">
        <v>1</v>
      </c>
      <c r="P1841" s="15" t="n">
        <f aca="false">IF(A1841="","",IF(O1841&lt;&gt;"",O1841,IF(L1841&lt;&gt;"",L1841,F1841)))</f>
        <v>1</v>
      </c>
    </row>
    <row r="1842" customFormat="false" ht="15" hidden="false" customHeight="true" outlineLevel="0" collapsed="false">
      <c r="A1842" s="30" t="s">
        <v>225</v>
      </c>
      <c r="B1842" s="30" t="s">
        <v>226</v>
      </c>
      <c r="C1842" s="21" t="n">
        <f aca="false">IF(A1842="","",IFERROR(VLOOKUP(A1842,'Recert Status'!$A$8:$C$400,3,FALSE()),""))</f>
        <v>46387</v>
      </c>
      <c r="D1842" s="31" t="s">
        <v>387</v>
      </c>
      <c r="E1842" s="30" t="s">
        <v>389</v>
      </c>
      <c r="F1842" s="32" t="n">
        <v>1</v>
      </c>
      <c r="G1842" s="33" t="n">
        <v>46233</v>
      </c>
      <c r="H1842" s="33" t="n">
        <v>46233</v>
      </c>
      <c r="I1842" s="31" t="s">
        <v>1032</v>
      </c>
      <c r="J1842" s="30" t="s">
        <v>389</v>
      </c>
      <c r="K1842" s="31" t="s">
        <v>468</v>
      </c>
      <c r="L1842" s="32" t="n">
        <v>1</v>
      </c>
      <c r="M1842" s="35" t="s">
        <v>386</v>
      </c>
      <c r="N1842" s="31" t="s">
        <v>387</v>
      </c>
      <c r="O1842" s="32" t="n">
        <v>1</v>
      </c>
      <c r="P1842" s="15" t="n">
        <f aca="false">IF(A1842="","",IF(O1842&lt;&gt;"",O1842,IF(L1842&lt;&gt;"",L1842,F1842)))</f>
        <v>1</v>
      </c>
    </row>
    <row r="1843" customFormat="false" ht="15" hidden="false" customHeight="true" outlineLevel="0" collapsed="false">
      <c r="A1843" s="26" t="s">
        <v>225</v>
      </c>
      <c r="B1843" s="26" t="s">
        <v>226</v>
      </c>
      <c r="C1843" s="14" t="n">
        <f aca="false">IF(A1843="","",IFERROR(VLOOKUP(A1843,'Recert Status'!$A$8:$C$400,3,FALSE()),""))</f>
        <v>46387</v>
      </c>
      <c r="D1843" s="18" t="s">
        <v>1043</v>
      </c>
      <c r="E1843" s="26" t="s">
        <v>452</v>
      </c>
      <c r="F1843" s="27" t="n">
        <v>1</v>
      </c>
      <c r="G1843" s="28" t="n">
        <v>46152</v>
      </c>
      <c r="H1843" s="28" t="n">
        <v>46152</v>
      </c>
      <c r="I1843" s="18" t="s">
        <v>1483</v>
      </c>
      <c r="J1843" s="26" t="s">
        <v>452</v>
      </c>
      <c r="K1843" s="18" t="s">
        <v>385</v>
      </c>
      <c r="L1843" s="27" t="n">
        <v>1</v>
      </c>
      <c r="M1843" s="36" t="s">
        <v>396</v>
      </c>
      <c r="N1843" s="18" t="s">
        <v>397</v>
      </c>
      <c r="O1843" s="27" t="n">
        <v>1</v>
      </c>
      <c r="P1843" s="15" t="n">
        <f aca="false">IF(A1843="","",IF(O1843&lt;&gt;"",O1843,IF(L1843&lt;&gt;"",L1843,F1843)))</f>
        <v>1</v>
      </c>
    </row>
    <row r="1844" customFormat="false" ht="15" hidden="false" customHeight="true" outlineLevel="0" collapsed="false">
      <c r="A1844" s="30" t="s">
        <v>225</v>
      </c>
      <c r="B1844" s="30" t="s">
        <v>226</v>
      </c>
      <c r="C1844" s="21" t="n">
        <f aca="false">IF(A1844="","",IFERROR(VLOOKUP(A1844,'Recert Status'!$A$8:$C$400,3,FALSE()),""))</f>
        <v>46387</v>
      </c>
      <c r="D1844" s="31" t="s">
        <v>397</v>
      </c>
      <c r="E1844" s="30" t="s">
        <v>452</v>
      </c>
      <c r="F1844" s="32" t="n">
        <v>1</v>
      </c>
      <c r="G1844" s="33" t="n">
        <v>46245</v>
      </c>
      <c r="H1844" s="33" t="n">
        <v>46245</v>
      </c>
      <c r="I1844" s="31" t="s">
        <v>605</v>
      </c>
      <c r="J1844" s="30" t="s">
        <v>452</v>
      </c>
      <c r="K1844" s="31" t="s">
        <v>385</v>
      </c>
      <c r="L1844" s="32" t="n">
        <v>1</v>
      </c>
      <c r="M1844" s="36" t="s">
        <v>396</v>
      </c>
      <c r="N1844" s="31" t="s">
        <v>397</v>
      </c>
      <c r="O1844" s="32" t="n">
        <v>1</v>
      </c>
      <c r="P1844" s="15" t="n">
        <f aca="false">IF(A1844="","",IF(O1844&lt;&gt;"",O1844,IF(L1844&lt;&gt;"",L1844,F1844)))</f>
        <v>1</v>
      </c>
    </row>
    <row r="1845" customFormat="false" ht="15" hidden="false" customHeight="true" outlineLevel="0" collapsed="false">
      <c r="A1845" s="26" t="s">
        <v>225</v>
      </c>
      <c r="B1845" s="26" t="s">
        <v>226</v>
      </c>
      <c r="C1845" s="14" t="n">
        <f aca="false">IF(A1845="","",IFERROR(VLOOKUP(A1845,'Recert Status'!$A$8:$C$400,3,FALSE()),""))</f>
        <v>46387</v>
      </c>
      <c r="D1845" s="18" t="s">
        <v>1191</v>
      </c>
      <c r="E1845" s="26" t="s">
        <v>416</v>
      </c>
      <c r="F1845" s="27" t="n">
        <v>1</v>
      </c>
      <c r="G1845" s="28" t="n">
        <v>45825</v>
      </c>
      <c r="H1845" s="28" t="n">
        <v>45825</v>
      </c>
      <c r="I1845" s="18" t="s">
        <v>1192</v>
      </c>
      <c r="J1845" s="26" t="s">
        <v>416</v>
      </c>
      <c r="K1845" s="18" t="s">
        <v>456</v>
      </c>
      <c r="L1845" s="27" t="n">
        <v>1</v>
      </c>
      <c r="M1845" s="39" t="s">
        <v>413</v>
      </c>
      <c r="N1845" s="18" t="s">
        <v>414</v>
      </c>
      <c r="O1845" s="27" t="n">
        <v>1</v>
      </c>
      <c r="P1845" s="15" t="n">
        <f aca="false">IF(A1845="","",IF(O1845&lt;&gt;"",O1845,IF(L1845&lt;&gt;"",L1845,F1845)))</f>
        <v>1</v>
      </c>
    </row>
    <row r="1846" customFormat="false" ht="15" hidden="false" customHeight="true" outlineLevel="0" collapsed="false">
      <c r="A1846" s="30" t="s">
        <v>225</v>
      </c>
      <c r="B1846" s="30" t="s">
        <v>226</v>
      </c>
      <c r="C1846" s="21" t="n">
        <f aca="false">IF(A1846="","",IFERROR(VLOOKUP(A1846,'Recert Status'!$A$8:$C$400,3,FALSE()),""))</f>
        <v>46387</v>
      </c>
      <c r="D1846" s="31" t="s">
        <v>582</v>
      </c>
      <c r="E1846" s="30" t="s">
        <v>416</v>
      </c>
      <c r="F1846" s="32" t="n">
        <v>2</v>
      </c>
      <c r="G1846" s="33" t="n">
        <v>45861</v>
      </c>
      <c r="H1846" s="33" t="n">
        <v>45861</v>
      </c>
      <c r="I1846" s="31" t="s">
        <v>583</v>
      </c>
      <c r="J1846" s="30" t="s">
        <v>416</v>
      </c>
      <c r="K1846" s="31" t="s">
        <v>418</v>
      </c>
      <c r="L1846" s="32" t="n">
        <v>2</v>
      </c>
      <c r="M1846" s="39" t="s">
        <v>413</v>
      </c>
      <c r="N1846" s="31" t="s">
        <v>414</v>
      </c>
      <c r="O1846" s="32" t="n">
        <v>2</v>
      </c>
      <c r="P1846" s="15" t="n">
        <f aca="false">IF(A1846="","",IF(O1846&lt;&gt;"",O1846,IF(L1846&lt;&gt;"",L1846,F1846)))</f>
        <v>2</v>
      </c>
    </row>
    <row r="1847" customFormat="false" ht="15" hidden="false" customHeight="true" outlineLevel="0" collapsed="false">
      <c r="A1847" s="26" t="s">
        <v>225</v>
      </c>
      <c r="B1847" s="26" t="s">
        <v>226</v>
      </c>
      <c r="C1847" s="14" t="n">
        <f aca="false">IF(A1847="","",IFERROR(VLOOKUP(A1847,'Recert Status'!$A$8:$C$400,3,FALSE()),""))</f>
        <v>46387</v>
      </c>
      <c r="D1847" s="18" t="s">
        <v>457</v>
      </c>
      <c r="E1847" s="26" t="s">
        <v>416</v>
      </c>
      <c r="F1847" s="27" t="n">
        <v>1</v>
      </c>
      <c r="G1847" s="28" t="n">
        <v>45897</v>
      </c>
      <c r="H1847" s="28" t="n">
        <v>45897</v>
      </c>
      <c r="I1847" s="18" t="s">
        <v>1193</v>
      </c>
      <c r="J1847" s="26" t="s">
        <v>416</v>
      </c>
      <c r="K1847" s="18" t="s">
        <v>485</v>
      </c>
      <c r="L1847" s="27" t="n">
        <v>1</v>
      </c>
      <c r="M1847" s="39" t="s">
        <v>413</v>
      </c>
      <c r="N1847" s="18" t="s">
        <v>414</v>
      </c>
      <c r="O1847" s="27" t="n">
        <v>1</v>
      </c>
      <c r="P1847" s="15" t="n">
        <f aca="false">IF(A1847="","",IF(O1847&lt;&gt;"",O1847,IF(L1847&lt;&gt;"",L1847,F1847)))</f>
        <v>1</v>
      </c>
    </row>
    <row r="1848" customFormat="false" ht="15" hidden="false" customHeight="true" outlineLevel="0" collapsed="false">
      <c r="A1848" s="30" t="s">
        <v>225</v>
      </c>
      <c r="B1848" s="30" t="s">
        <v>226</v>
      </c>
      <c r="C1848" s="21" t="n">
        <f aca="false">IF(A1848="","",IFERROR(VLOOKUP(A1848,'Recert Status'!$A$8:$C$400,3,FALSE()),""))</f>
        <v>46387</v>
      </c>
      <c r="D1848" s="31" t="s">
        <v>959</v>
      </c>
      <c r="E1848" s="30" t="s">
        <v>416</v>
      </c>
      <c r="F1848" s="32" t="n">
        <v>1</v>
      </c>
      <c r="G1848" s="33" t="n">
        <v>45927</v>
      </c>
      <c r="H1848" s="33" t="n">
        <v>45927</v>
      </c>
      <c r="I1848" s="31" t="s">
        <v>1194</v>
      </c>
      <c r="J1848" s="30" t="s">
        <v>416</v>
      </c>
      <c r="K1848" s="31" t="s">
        <v>456</v>
      </c>
      <c r="L1848" s="32" t="n">
        <v>1</v>
      </c>
      <c r="M1848" s="39" t="s">
        <v>413</v>
      </c>
      <c r="N1848" s="31" t="s">
        <v>414</v>
      </c>
      <c r="O1848" s="32" t="n">
        <v>1</v>
      </c>
      <c r="P1848" s="15" t="n">
        <f aca="false">IF(A1848="","",IF(O1848&lt;&gt;"",O1848,IF(L1848&lt;&gt;"",L1848,F1848)))</f>
        <v>1</v>
      </c>
    </row>
    <row r="1849" customFormat="false" ht="15" hidden="false" customHeight="true" outlineLevel="0" collapsed="false">
      <c r="A1849" s="26" t="s">
        <v>225</v>
      </c>
      <c r="B1849" s="26" t="s">
        <v>226</v>
      </c>
      <c r="C1849" s="14" t="n">
        <f aca="false">IF(A1849="","",IFERROR(VLOOKUP(A1849,'Recert Status'!$A$8:$C$400,3,FALSE()),""))</f>
        <v>46387</v>
      </c>
      <c r="D1849" s="18" t="s">
        <v>488</v>
      </c>
      <c r="E1849" s="26" t="s">
        <v>416</v>
      </c>
      <c r="F1849" s="27" t="n">
        <v>1</v>
      </c>
      <c r="G1849" s="28" t="n">
        <v>46125</v>
      </c>
      <c r="H1849" s="28" t="n">
        <v>46125</v>
      </c>
      <c r="I1849" s="18" t="s">
        <v>608</v>
      </c>
      <c r="J1849" s="26" t="s">
        <v>416</v>
      </c>
      <c r="K1849" s="18" t="s">
        <v>490</v>
      </c>
      <c r="L1849" s="27" t="n">
        <v>1</v>
      </c>
      <c r="M1849" s="39" t="s">
        <v>413</v>
      </c>
      <c r="N1849" s="18" t="s">
        <v>414</v>
      </c>
      <c r="O1849" s="27" t="n">
        <v>1</v>
      </c>
      <c r="P1849" s="15" t="n">
        <f aca="false">IF(A1849="","",IF(O1849&lt;&gt;"",O1849,IF(L1849&lt;&gt;"",L1849,F1849)))</f>
        <v>1</v>
      </c>
    </row>
    <row r="1850" customFormat="false" ht="15" hidden="false" customHeight="true" outlineLevel="0" collapsed="false">
      <c r="A1850" s="30" t="s">
        <v>225</v>
      </c>
      <c r="B1850" s="30" t="s">
        <v>226</v>
      </c>
      <c r="C1850" s="21" t="n">
        <f aca="false">IF(A1850="","",IFERROR(VLOOKUP(A1850,'Recert Status'!$A$8:$C$400,3,FALSE()),""))</f>
        <v>46387</v>
      </c>
      <c r="D1850" s="31" t="s">
        <v>414</v>
      </c>
      <c r="E1850" s="30" t="s">
        <v>416</v>
      </c>
      <c r="F1850" s="32" t="n">
        <v>2</v>
      </c>
      <c r="G1850" s="33" t="n">
        <v>46218</v>
      </c>
      <c r="H1850" s="33" t="n">
        <v>46218</v>
      </c>
      <c r="I1850" s="31" t="s">
        <v>535</v>
      </c>
      <c r="J1850" s="30" t="s">
        <v>416</v>
      </c>
      <c r="K1850" s="31" t="s">
        <v>418</v>
      </c>
      <c r="L1850" s="32" t="n">
        <v>2</v>
      </c>
      <c r="M1850" s="39" t="s">
        <v>413</v>
      </c>
      <c r="N1850" s="31" t="s">
        <v>414</v>
      </c>
      <c r="O1850" s="32" t="n">
        <v>2</v>
      </c>
      <c r="P1850" s="15" t="n">
        <f aca="false">IF(A1850="","",IF(O1850&lt;&gt;"",O1850,IF(L1850&lt;&gt;"",L1850,F1850)))</f>
        <v>2</v>
      </c>
    </row>
    <row r="1851" customFormat="false" ht="15" hidden="false" customHeight="true" outlineLevel="0" collapsed="false">
      <c r="A1851" s="26" t="s">
        <v>227</v>
      </c>
      <c r="B1851" s="26" t="s">
        <v>228</v>
      </c>
      <c r="C1851" s="14" t="n">
        <f aca="false">IF(A1851="","",IFERROR(VLOOKUP(A1851,'Recert Status'!$A$8:$C$400,3,FALSE()),""))</f>
        <v>46752</v>
      </c>
      <c r="D1851" s="18" t="s">
        <v>524</v>
      </c>
      <c r="E1851" s="26" t="s">
        <v>426</v>
      </c>
      <c r="F1851" s="27" t="n">
        <v>0.5</v>
      </c>
      <c r="G1851" s="28" t="n">
        <v>45881</v>
      </c>
      <c r="H1851" s="28" t="n">
        <v>45881</v>
      </c>
      <c r="I1851" s="18" t="s">
        <v>525</v>
      </c>
      <c r="J1851" s="26" t="s">
        <v>426</v>
      </c>
      <c r="K1851" s="18" t="s">
        <v>526</v>
      </c>
      <c r="L1851" s="27" t="n">
        <v>0.5</v>
      </c>
      <c r="M1851" s="41" t="s">
        <v>429</v>
      </c>
      <c r="N1851" s="18" t="s">
        <v>430</v>
      </c>
      <c r="O1851" s="27" t="n">
        <v>0.5</v>
      </c>
      <c r="P1851" s="15" t="n">
        <f aca="false">IF(A1851="","",IF(O1851&lt;&gt;"",O1851,IF(L1851&lt;&gt;"",L1851,F1851)))</f>
        <v>0.5</v>
      </c>
    </row>
    <row r="1852" customFormat="false" ht="15" hidden="false" customHeight="true" outlineLevel="0" collapsed="false">
      <c r="A1852" s="30" t="s">
        <v>227</v>
      </c>
      <c r="B1852" s="30" t="s">
        <v>228</v>
      </c>
      <c r="C1852" s="21" t="n">
        <f aca="false">IF(A1852="","",IFERROR(VLOOKUP(A1852,'Recert Status'!$A$8:$C$400,3,FALSE()),""))</f>
        <v>46752</v>
      </c>
      <c r="D1852" s="31" t="s">
        <v>888</v>
      </c>
      <c r="E1852" s="30" t="s">
        <v>426</v>
      </c>
      <c r="F1852" s="32" t="n">
        <v>1</v>
      </c>
      <c r="G1852" s="33" t="n">
        <v>46001</v>
      </c>
      <c r="H1852" s="33" t="n">
        <v>46001</v>
      </c>
      <c r="I1852" s="31" t="s">
        <v>889</v>
      </c>
      <c r="J1852" s="30" t="s">
        <v>426</v>
      </c>
      <c r="K1852" s="31" t="s">
        <v>428</v>
      </c>
      <c r="L1852" s="32" t="n">
        <v>1</v>
      </c>
      <c r="M1852" s="41" t="s">
        <v>429</v>
      </c>
      <c r="N1852" s="31" t="s">
        <v>430</v>
      </c>
      <c r="O1852" s="32" t="n">
        <v>1</v>
      </c>
      <c r="P1852" s="15" t="n">
        <f aca="false">IF(A1852="","",IF(O1852&lt;&gt;"",O1852,IF(L1852&lt;&gt;"",L1852,F1852)))</f>
        <v>1</v>
      </c>
    </row>
    <row r="1853" customFormat="false" ht="15" hidden="false" customHeight="true" outlineLevel="0" collapsed="false">
      <c r="A1853" s="26" t="s">
        <v>227</v>
      </c>
      <c r="B1853" s="26" t="s">
        <v>228</v>
      </c>
      <c r="C1853" s="14" t="n">
        <f aca="false">IF(A1853="","",IFERROR(VLOOKUP(A1853,'Recert Status'!$A$8:$C$400,3,FALSE()),""))</f>
        <v>46752</v>
      </c>
      <c r="D1853" s="18" t="s">
        <v>1484</v>
      </c>
      <c r="E1853" s="26" t="s">
        <v>389</v>
      </c>
      <c r="F1853" s="27" t="n">
        <v>1</v>
      </c>
      <c r="G1853" s="28" t="n">
        <v>46001</v>
      </c>
      <c r="H1853" s="28" t="n">
        <v>46001</v>
      </c>
      <c r="I1853" s="18" t="s">
        <v>1485</v>
      </c>
      <c r="J1853" s="26" t="s">
        <v>389</v>
      </c>
      <c r="K1853" s="18" t="s">
        <v>451</v>
      </c>
      <c r="L1853" s="27" t="n">
        <v>1</v>
      </c>
      <c r="M1853" s="35" t="s">
        <v>386</v>
      </c>
      <c r="N1853" s="18" t="s">
        <v>387</v>
      </c>
      <c r="O1853" s="27" t="n">
        <v>1</v>
      </c>
      <c r="P1853" s="15" t="n">
        <f aca="false">IF(A1853="","",IF(O1853&lt;&gt;"",O1853,IF(L1853&lt;&gt;"",L1853,F1853)))</f>
        <v>1</v>
      </c>
    </row>
    <row r="1854" customFormat="false" ht="15" hidden="false" customHeight="true" outlineLevel="0" collapsed="false">
      <c r="A1854" s="30" t="s">
        <v>227</v>
      </c>
      <c r="B1854" s="30" t="s">
        <v>228</v>
      </c>
      <c r="C1854" s="21" t="n">
        <f aca="false">IF(A1854="","",IFERROR(VLOOKUP(A1854,'Recert Status'!$A$8:$C$400,3,FALSE()),""))</f>
        <v>46752</v>
      </c>
      <c r="D1854" s="31" t="s">
        <v>387</v>
      </c>
      <c r="E1854" s="30" t="s">
        <v>389</v>
      </c>
      <c r="F1854" s="32" t="n">
        <v>1</v>
      </c>
      <c r="G1854" s="33" t="n">
        <v>46274</v>
      </c>
      <c r="H1854" s="33" t="n">
        <v>46274</v>
      </c>
      <c r="I1854" s="31" t="s">
        <v>530</v>
      </c>
      <c r="J1854" s="30" t="s">
        <v>389</v>
      </c>
      <c r="K1854" s="31" t="s">
        <v>451</v>
      </c>
      <c r="L1854" s="32" t="n">
        <v>1</v>
      </c>
      <c r="M1854" s="35" t="s">
        <v>386</v>
      </c>
      <c r="N1854" s="31" t="s">
        <v>387</v>
      </c>
      <c r="O1854" s="32" t="n">
        <v>1</v>
      </c>
      <c r="P1854" s="15" t="n">
        <f aca="false">IF(A1854="","",IF(O1854&lt;&gt;"",O1854,IF(L1854&lt;&gt;"",L1854,F1854)))</f>
        <v>1</v>
      </c>
    </row>
    <row r="1855" customFormat="false" ht="15" hidden="false" customHeight="true" outlineLevel="0" collapsed="false">
      <c r="A1855" s="26" t="s">
        <v>227</v>
      </c>
      <c r="B1855" s="26" t="s">
        <v>228</v>
      </c>
      <c r="C1855" s="14" t="n">
        <f aca="false">IF(A1855="","",IFERROR(VLOOKUP(A1855,'Recert Status'!$A$8:$C$400,3,FALSE()),""))</f>
        <v>46752</v>
      </c>
      <c r="D1855" s="18" t="s">
        <v>531</v>
      </c>
      <c r="E1855" s="26" t="s">
        <v>452</v>
      </c>
      <c r="F1855" s="27" t="n">
        <v>1</v>
      </c>
      <c r="G1855" s="28" t="n">
        <v>45983</v>
      </c>
      <c r="H1855" s="28" t="n">
        <v>45983</v>
      </c>
      <c r="I1855" s="18" t="s">
        <v>532</v>
      </c>
      <c r="J1855" s="26" t="s">
        <v>452</v>
      </c>
      <c r="K1855" s="18" t="s">
        <v>385</v>
      </c>
      <c r="L1855" s="27" t="n">
        <v>1</v>
      </c>
      <c r="M1855" s="36" t="s">
        <v>396</v>
      </c>
      <c r="N1855" s="18" t="s">
        <v>397</v>
      </c>
      <c r="O1855" s="27" t="n">
        <v>1</v>
      </c>
      <c r="P1855" s="15" t="n">
        <f aca="false">IF(A1855="","",IF(O1855&lt;&gt;"",O1855,IF(L1855&lt;&gt;"",L1855,F1855)))</f>
        <v>1</v>
      </c>
    </row>
    <row r="1856" customFormat="false" ht="15" hidden="false" customHeight="true" outlineLevel="0" collapsed="false">
      <c r="A1856" s="30" t="s">
        <v>227</v>
      </c>
      <c r="B1856" s="30" t="s">
        <v>228</v>
      </c>
      <c r="C1856" s="21" t="n">
        <f aca="false">IF(A1856="","",IFERROR(VLOOKUP(A1856,'Recert Status'!$A$8:$C$400,3,FALSE()),""))</f>
        <v>46752</v>
      </c>
      <c r="D1856" s="31" t="s">
        <v>397</v>
      </c>
      <c r="E1856" s="30" t="s">
        <v>452</v>
      </c>
      <c r="F1856" s="32" t="n">
        <v>1</v>
      </c>
      <c r="G1856" s="33" t="n">
        <v>46244</v>
      </c>
      <c r="H1856" s="33" t="n">
        <v>46244</v>
      </c>
      <c r="I1856" s="31" t="s">
        <v>577</v>
      </c>
      <c r="J1856" s="30" t="s">
        <v>452</v>
      </c>
      <c r="K1856" s="31" t="s">
        <v>385</v>
      </c>
      <c r="L1856" s="32" t="n">
        <v>1</v>
      </c>
      <c r="M1856" s="36" t="s">
        <v>396</v>
      </c>
      <c r="N1856" s="31" t="s">
        <v>397</v>
      </c>
      <c r="O1856" s="32" t="n">
        <v>1</v>
      </c>
      <c r="P1856" s="15" t="n">
        <f aca="false">IF(A1856="","",IF(O1856&lt;&gt;"",O1856,IF(L1856&lt;&gt;"",L1856,F1856)))</f>
        <v>1</v>
      </c>
    </row>
    <row r="1857" customFormat="false" ht="15" hidden="false" customHeight="true" outlineLevel="0" collapsed="false">
      <c r="A1857" s="26" t="s">
        <v>227</v>
      </c>
      <c r="B1857" s="26" t="s">
        <v>228</v>
      </c>
      <c r="C1857" s="14" t="n">
        <f aca="false">IF(A1857="","",IFERROR(VLOOKUP(A1857,'Recert Status'!$A$8:$C$400,3,FALSE()),""))</f>
        <v>46752</v>
      </c>
      <c r="D1857" s="18" t="s">
        <v>959</v>
      </c>
      <c r="E1857" s="26" t="s">
        <v>416</v>
      </c>
      <c r="F1857" s="27" t="n">
        <v>1</v>
      </c>
      <c r="G1857" s="28" t="n">
        <v>45825</v>
      </c>
      <c r="H1857" s="28" t="n">
        <v>45825</v>
      </c>
      <c r="I1857" s="18" t="s">
        <v>1210</v>
      </c>
      <c r="J1857" s="26" t="s">
        <v>416</v>
      </c>
      <c r="K1857" s="18" t="s">
        <v>456</v>
      </c>
      <c r="L1857" s="27" t="n">
        <v>1</v>
      </c>
      <c r="M1857" s="39" t="s">
        <v>413</v>
      </c>
      <c r="N1857" s="18" t="s">
        <v>414</v>
      </c>
      <c r="O1857" s="27" t="n">
        <v>1</v>
      </c>
      <c r="P1857" s="15" t="n">
        <f aca="false">IF(A1857="","",IF(O1857&lt;&gt;"",O1857,IF(L1857&lt;&gt;"",L1857,F1857)))</f>
        <v>1</v>
      </c>
    </row>
    <row r="1858" customFormat="false" ht="15" hidden="false" customHeight="true" outlineLevel="0" collapsed="false">
      <c r="A1858" s="30" t="s">
        <v>227</v>
      </c>
      <c r="B1858" s="30" t="s">
        <v>228</v>
      </c>
      <c r="C1858" s="21" t="n">
        <f aca="false">IF(A1858="","",IFERROR(VLOOKUP(A1858,'Recert Status'!$A$8:$C$400,3,FALSE()),""))</f>
        <v>46752</v>
      </c>
      <c r="D1858" s="31" t="s">
        <v>457</v>
      </c>
      <c r="E1858" s="30" t="s">
        <v>416</v>
      </c>
      <c r="F1858" s="32" t="n">
        <v>2</v>
      </c>
      <c r="G1858" s="33" t="n">
        <v>45860</v>
      </c>
      <c r="H1858" s="33" t="n">
        <v>45860</v>
      </c>
      <c r="I1858" s="31" t="s">
        <v>533</v>
      </c>
      <c r="J1858" s="30" t="s">
        <v>416</v>
      </c>
      <c r="K1858" s="31" t="s">
        <v>523</v>
      </c>
      <c r="L1858" s="32" t="n">
        <v>2</v>
      </c>
      <c r="M1858" s="39" t="s">
        <v>413</v>
      </c>
      <c r="N1858" s="31" t="s">
        <v>414</v>
      </c>
      <c r="O1858" s="32" t="n">
        <v>2</v>
      </c>
      <c r="P1858" s="15" t="n">
        <f aca="false">IF(A1858="","",IF(O1858&lt;&gt;"",O1858,IF(L1858&lt;&gt;"",L1858,F1858)))</f>
        <v>2</v>
      </c>
    </row>
    <row r="1859" customFormat="false" ht="15" hidden="false" customHeight="true" outlineLevel="0" collapsed="false">
      <c r="A1859" s="26" t="s">
        <v>227</v>
      </c>
      <c r="B1859" s="26" t="s">
        <v>228</v>
      </c>
      <c r="C1859" s="14" t="n">
        <f aca="false">IF(A1859="","",IFERROR(VLOOKUP(A1859,'Recert Status'!$A$8:$C$400,3,FALSE()),""))</f>
        <v>46752</v>
      </c>
      <c r="D1859" s="18" t="s">
        <v>488</v>
      </c>
      <c r="E1859" s="26" t="s">
        <v>416</v>
      </c>
      <c r="F1859" s="27" t="n">
        <v>1</v>
      </c>
      <c r="G1859" s="28" t="n">
        <v>46127</v>
      </c>
      <c r="H1859" s="28" t="n">
        <v>46127</v>
      </c>
      <c r="I1859" s="18" t="s">
        <v>534</v>
      </c>
      <c r="J1859" s="26" t="s">
        <v>416</v>
      </c>
      <c r="K1859" s="18" t="s">
        <v>490</v>
      </c>
      <c r="L1859" s="27" t="n">
        <v>1</v>
      </c>
      <c r="M1859" s="39" t="s">
        <v>413</v>
      </c>
      <c r="N1859" s="18" t="s">
        <v>414</v>
      </c>
      <c r="O1859" s="27" t="n">
        <v>1</v>
      </c>
      <c r="P1859" s="15" t="n">
        <f aca="false">IF(A1859="","",IF(O1859&lt;&gt;"",O1859,IF(L1859&lt;&gt;"",L1859,F1859)))</f>
        <v>1</v>
      </c>
    </row>
    <row r="1860" customFormat="false" ht="15" hidden="false" customHeight="true" outlineLevel="0" collapsed="false">
      <c r="A1860" s="30" t="s">
        <v>227</v>
      </c>
      <c r="B1860" s="30" t="s">
        <v>228</v>
      </c>
      <c r="C1860" s="21" t="n">
        <f aca="false">IF(A1860="","",IFERROR(VLOOKUP(A1860,'Recert Status'!$A$8:$C$400,3,FALSE()),""))</f>
        <v>46752</v>
      </c>
      <c r="D1860" s="31" t="s">
        <v>414</v>
      </c>
      <c r="E1860" s="30" t="s">
        <v>416</v>
      </c>
      <c r="F1860" s="32" t="n">
        <v>2</v>
      </c>
      <c r="G1860" s="33" t="n">
        <v>46217</v>
      </c>
      <c r="H1860" s="33" t="n">
        <v>46217</v>
      </c>
      <c r="I1860" s="31" t="s">
        <v>460</v>
      </c>
      <c r="J1860" s="30" t="s">
        <v>416</v>
      </c>
      <c r="K1860" s="31" t="s">
        <v>418</v>
      </c>
      <c r="L1860" s="32" t="n">
        <v>2</v>
      </c>
      <c r="M1860" s="39" t="s">
        <v>413</v>
      </c>
      <c r="N1860" s="31" t="s">
        <v>414</v>
      </c>
      <c r="O1860" s="32" t="n">
        <v>2</v>
      </c>
      <c r="P1860" s="15" t="n">
        <f aca="false">IF(A1860="","",IF(O1860&lt;&gt;"",O1860,IF(L1860&lt;&gt;"",L1860,F1860)))</f>
        <v>2</v>
      </c>
    </row>
    <row r="1861" customFormat="false" ht="15" hidden="false" customHeight="true" outlineLevel="0" collapsed="false">
      <c r="A1861" s="26" t="s">
        <v>229</v>
      </c>
      <c r="B1861" s="26" t="s">
        <v>230</v>
      </c>
      <c r="C1861" s="14" t="n">
        <f aca="false">IF(A1861="","",IFERROR(VLOOKUP(A1861,'Recert Status'!$A$8:$C$400,3,FALSE()),""))</f>
        <v>46752</v>
      </c>
      <c r="D1861" s="18" t="s">
        <v>449</v>
      </c>
      <c r="E1861" s="26" t="s">
        <v>363</v>
      </c>
      <c r="F1861" s="27" t="n">
        <v>1</v>
      </c>
      <c r="G1861" s="28" t="n">
        <v>45813</v>
      </c>
      <c r="H1861" s="28" t="n">
        <v>45813</v>
      </c>
      <c r="I1861" s="18" t="s">
        <v>826</v>
      </c>
      <c r="J1861" s="26" t="s">
        <v>363</v>
      </c>
      <c r="K1861" s="18" t="s">
        <v>365</v>
      </c>
      <c r="L1861" s="27" t="n">
        <v>1</v>
      </c>
      <c r="M1861" s="29" t="s">
        <v>366</v>
      </c>
      <c r="N1861" s="18" t="s">
        <v>367</v>
      </c>
      <c r="O1861" s="27" t="n">
        <v>1</v>
      </c>
      <c r="P1861" s="15" t="n">
        <f aca="false">IF(A1861="","",IF(O1861&lt;&gt;"",O1861,IF(L1861&lt;&gt;"",L1861,F1861)))</f>
        <v>1</v>
      </c>
    </row>
    <row r="1862" customFormat="false" ht="15" hidden="false" customHeight="true" outlineLevel="0" collapsed="false">
      <c r="A1862" s="30" t="s">
        <v>229</v>
      </c>
      <c r="B1862" s="30" t="s">
        <v>230</v>
      </c>
      <c r="C1862" s="21" t="n">
        <f aca="false">IF(A1862="","",IFERROR(VLOOKUP(A1862,'Recert Status'!$A$8:$C$400,3,FALSE()),""))</f>
        <v>46752</v>
      </c>
      <c r="D1862" s="31" t="s">
        <v>1125</v>
      </c>
      <c r="E1862" s="30" t="s">
        <v>542</v>
      </c>
      <c r="F1862" s="32" t="n">
        <v>0.5</v>
      </c>
      <c r="G1862" s="33" t="n">
        <v>45745</v>
      </c>
      <c r="H1862" s="33" t="n">
        <v>45745</v>
      </c>
      <c r="I1862" s="31" t="s">
        <v>1126</v>
      </c>
      <c r="J1862" s="30" t="s">
        <v>542</v>
      </c>
      <c r="K1862" s="31" t="s">
        <v>422</v>
      </c>
      <c r="L1862" s="32" t="n">
        <v>0.5</v>
      </c>
      <c r="M1862" s="40" t="s">
        <v>423</v>
      </c>
      <c r="N1862" s="31" t="s">
        <v>424</v>
      </c>
      <c r="O1862" s="32" t="n">
        <v>0.5</v>
      </c>
      <c r="P1862" s="15" t="n">
        <f aca="false">IF(A1862="","",IF(O1862&lt;&gt;"",O1862,IF(L1862&lt;&gt;"",L1862,F1862)))</f>
        <v>0.5</v>
      </c>
    </row>
    <row r="1863" customFormat="false" ht="15" hidden="false" customHeight="true" outlineLevel="0" collapsed="false">
      <c r="A1863" s="26" t="s">
        <v>229</v>
      </c>
      <c r="B1863" s="26" t="s">
        <v>230</v>
      </c>
      <c r="C1863" s="14" t="n">
        <f aca="false">IF(A1863="","",IFERROR(VLOOKUP(A1863,'Recert Status'!$A$8:$C$400,3,FALSE()),""))</f>
        <v>46752</v>
      </c>
      <c r="D1863" s="18" t="s">
        <v>584</v>
      </c>
      <c r="E1863" s="26" t="s">
        <v>542</v>
      </c>
      <c r="F1863" s="27" t="n">
        <v>3</v>
      </c>
      <c r="G1863" s="28" t="n">
        <v>45892</v>
      </c>
      <c r="H1863" s="28" t="n">
        <v>45892</v>
      </c>
      <c r="I1863" s="18" t="s">
        <v>585</v>
      </c>
      <c r="J1863" s="26" t="s">
        <v>542</v>
      </c>
      <c r="K1863" s="18" t="s">
        <v>586</v>
      </c>
      <c r="L1863" s="27" t="n">
        <v>3</v>
      </c>
      <c r="M1863" s="40" t="s">
        <v>423</v>
      </c>
      <c r="N1863" s="18" t="s">
        <v>424</v>
      </c>
      <c r="O1863" s="27" t="n">
        <v>3</v>
      </c>
      <c r="P1863" s="15" t="n">
        <f aca="false">IF(A1863="","",IF(O1863&lt;&gt;"",O1863,IF(L1863&lt;&gt;"",L1863,F1863)))</f>
        <v>3</v>
      </c>
    </row>
    <row r="1864" customFormat="false" ht="15" hidden="false" customHeight="true" outlineLevel="0" collapsed="false">
      <c r="A1864" s="30" t="s">
        <v>229</v>
      </c>
      <c r="B1864" s="30" t="s">
        <v>230</v>
      </c>
      <c r="C1864" s="21" t="n">
        <f aca="false">IF(A1864="","",IFERROR(VLOOKUP(A1864,'Recert Status'!$A$8:$C$400,3,FALSE()),""))</f>
        <v>46752</v>
      </c>
      <c r="D1864" s="31" t="s">
        <v>762</v>
      </c>
      <c r="E1864" s="30" t="s">
        <v>426</v>
      </c>
      <c r="F1864" s="32" t="n">
        <v>1</v>
      </c>
      <c r="G1864" s="33" t="n">
        <v>46015</v>
      </c>
      <c r="H1864" s="33" t="n">
        <v>46015</v>
      </c>
      <c r="I1864" s="31" t="s">
        <v>763</v>
      </c>
      <c r="J1864" s="30" t="s">
        <v>426</v>
      </c>
      <c r="K1864" s="31" t="s">
        <v>428</v>
      </c>
      <c r="L1864" s="32" t="n">
        <v>1</v>
      </c>
      <c r="M1864" s="41" t="s">
        <v>429</v>
      </c>
      <c r="N1864" s="31" t="s">
        <v>430</v>
      </c>
      <c r="O1864" s="32" t="n">
        <v>1</v>
      </c>
      <c r="P1864" s="15" t="n">
        <f aca="false">IF(A1864="","",IF(O1864&lt;&gt;"",O1864,IF(L1864&lt;&gt;"",L1864,F1864)))</f>
        <v>1</v>
      </c>
    </row>
    <row r="1865" customFormat="false" ht="15" hidden="false" customHeight="true" outlineLevel="0" collapsed="false">
      <c r="A1865" s="26" t="s">
        <v>229</v>
      </c>
      <c r="B1865" s="26" t="s">
        <v>230</v>
      </c>
      <c r="C1865" s="14" t="n">
        <f aca="false">IF(A1865="","",IFERROR(VLOOKUP(A1865,'Recert Status'!$A$8:$C$400,3,FALSE()),""))</f>
        <v>46752</v>
      </c>
      <c r="D1865" s="18" t="s">
        <v>1486</v>
      </c>
      <c r="E1865" s="26" t="s">
        <v>426</v>
      </c>
      <c r="F1865" s="27" t="n">
        <v>1</v>
      </c>
      <c r="G1865" s="28" t="n">
        <v>46178</v>
      </c>
      <c r="H1865" s="28" t="n">
        <v>46178</v>
      </c>
      <c r="I1865" s="18" t="s">
        <v>1487</v>
      </c>
      <c r="J1865" s="26" t="s">
        <v>426</v>
      </c>
      <c r="K1865" s="18" t="s">
        <v>526</v>
      </c>
      <c r="L1865" s="27" t="n">
        <v>1</v>
      </c>
      <c r="M1865" s="41" t="s">
        <v>429</v>
      </c>
      <c r="N1865" s="18" t="s">
        <v>430</v>
      </c>
      <c r="O1865" s="27" t="n">
        <v>1</v>
      </c>
      <c r="P1865" s="15" t="n">
        <f aca="false">IF(A1865="","",IF(O1865&lt;&gt;"",O1865,IF(L1865&lt;&gt;"",L1865,F1865)))</f>
        <v>1</v>
      </c>
    </row>
    <row r="1866" customFormat="false" ht="15" hidden="false" customHeight="true" outlineLevel="0" collapsed="false">
      <c r="A1866" s="30" t="s">
        <v>229</v>
      </c>
      <c r="B1866" s="30" t="s">
        <v>230</v>
      </c>
      <c r="C1866" s="21" t="n">
        <f aca="false">IF(A1866="","",IFERROR(VLOOKUP(A1866,'Recert Status'!$A$8:$C$400,3,FALSE()),""))</f>
        <v>46752</v>
      </c>
      <c r="D1866" s="31" t="s">
        <v>1488</v>
      </c>
      <c r="E1866" s="30" t="s">
        <v>426</v>
      </c>
      <c r="F1866" s="32" t="n">
        <v>2</v>
      </c>
      <c r="G1866" s="33" t="n">
        <v>46183</v>
      </c>
      <c r="H1866" s="33" t="n">
        <v>46183</v>
      </c>
      <c r="I1866" s="31" t="s">
        <v>1489</v>
      </c>
      <c r="J1866" s="30" t="s">
        <v>426</v>
      </c>
      <c r="K1866" s="31" t="s">
        <v>428</v>
      </c>
      <c r="L1866" s="32" t="n">
        <v>1</v>
      </c>
      <c r="M1866" s="41" t="s">
        <v>429</v>
      </c>
      <c r="N1866" s="31" t="s">
        <v>430</v>
      </c>
      <c r="O1866" s="32" t="n">
        <v>1</v>
      </c>
      <c r="P1866" s="15" t="n">
        <f aca="false">IF(A1866="","",IF(O1866&lt;&gt;"",O1866,IF(L1866&lt;&gt;"",L1866,F1866)))</f>
        <v>1</v>
      </c>
    </row>
    <row r="1867" customFormat="false" ht="15" hidden="false" customHeight="true" outlineLevel="0" collapsed="false">
      <c r="A1867" s="26" t="s">
        <v>229</v>
      </c>
      <c r="B1867" s="26" t="s">
        <v>230</v>
      </c>
      <c r="C1867" s="14" t="n">
        <f aca="false">IF(A1867="","",IFERROR(VLOOKUP(A1867,'Recert Status'!$A$8:$C$400,3,FALSE()),""))</f>
        <v>46752</v>
      </c>
      <c r="D1867" s="18" t="s">
        <v>1490</v>
      </c>
      <c r="E1867" s="26" t="n">
        <v>29668</v>
      </c>
      <c r="F1867" s="27" t="n">
        <v>1</v>
      </c>
      <c r="G1867" s="28" t="n">
        <v>45802</v>
      </c>
      <c r="H1867" s="28" t="n">
        <v>45802</v>
      </c>
      <c r="I1867" s="18" t="s">
        <v>1491</v>
      </c>
      <c r="J1867" s="26" t="s">
        <v>511</v>
      </c>
      <c r="K1867" s="18" t="s">
        <v>509</v>
      </c>
      <c r="L1867" s="27" t="n">
        <v>1</v>
      </c>
      <c r="M1867" s="35" t="s">
        <v>386</v>
      </c>
      <c r="N1867" s="18" t="s">
        <v>387</v>
      </c>
      <c r="O1867" s="27" t="n">
        <v>1</v>
      </c>
      <c r="P1867" s="15" t="n">
        <f aca="false">IF(A1867="","",IF(O1867&lt;&gt;"",O1867,IF(L1867&lt;&gt;"",L1867,F1867)))</f>
        <v>1</v>
      </c>
    </row>
    <row r="1868" customFormat="false" ht="15" hidden="false" customHeight="true" outlineLevel="0" collapsed="false">
      <c r="A1868" s="30" t="s">
        <v>229</v>
      </c>
      <c r="B1868" s="30" t="s">
        <v>230</v>
      </c>
      <c r="C1868" s="21" t="n">
        <f aca="false">IF(A1868="","",IFERROR(VLOOKUP(A1868,'Recert Status'!$A$8:$C$400,3,FALSE()),""))</f>
        <v>46752</v>
      </c>
      <c r="D1868" s="31" t="s">
        <v>449</v>
      </c>
      <c r="E1868" s="30" t="s">
        <v>389</v>
      </c>
      <c r="F1868" s="32" t="n">
        <v>1</v>
      </c>
      <c r="G1868" s="33" t="n">
        <v>45813</v>
      </c>
      <c r="H1868" s="33" t="n">
        <v>45813</v>
      </c>
      <c r="I1868" s="31" t="s">
        <v>844</v>
      </c>
      <c r="J1868" s="30" t="s">
        <v>389</v>
      </c>
      <c r="K1868" s="31" t="s">
        <v>845</v>
      </c>
      <c r="L1868" s="32" t="n">
        <v>1</v>
      </c>
      <c r="M1868" s="35" t="s">
        <v>386</v>
      </c>
      <c r="N1868" s="31" t="s">
        <v>387</v>
      </c>
      <c r="O1868" s="32" t="n">
        <v>1</v>
      </c>
      <c r="P1868" s="15" t="n">
        <f aca="false">IF(A1868="","",IF(O1868&lt;&gt;"",O1868,IF(L1868&lt;&gt;"",L1868,F1868)))</f>
        <v>1</v>
      </c>
    </row>
    <row r="1869" customFormat="false" ht="15" hidden="false" customHeight="true" outlineLevel="0" collapsed="false">
      <c r="A1869" s="26" t="s">
        <v>229</v>
      </c>
      <c r="B1869" s="26" t="s">
        <v>230</v>
      </c>
      <c r="C1869" s="14" t="n">
        <f aca="false">IF(A1869="","",IFERROR(VLOOKUP(A1869,'Recert Status'!$A$8:$C$400,3,FALSE()),""))</f>
        <v>46752</v>
      </c>
      <c r="D1869" s="18" t="s">
        <v>1289</v>
      </c>
      <c r="E1869" s="26" t="n">
        <v>29675</v>
      </c>
      <c r="F1869" s="27" t="n">
        <v>4</v>
      </c>
      <c r="G1869" s="28" t="n">
        <v>45986</v>
      </c>
      <c r="H1869" s="28" t="n">
        <v>45986</v>
      </c>
      <c r="I1869" s="18" t="s">
        <v>1074</v>
      </c>
      <c r="J1869" s="26" t="s">
        <v>406</v>
      </c>
      <c r="K1869" s="18" t="s">
        <v>446</v>
      </c>
      <c r="L1869" s="27" t="n">
        <v>1</v>
      </c>
      <c r="M1869" s="35" t="s">
        <v>386</v>
      </c>
      <c r="N1869" s="18" t="s">
        <v>387</v>
      </c>
      <c r="O1869" s="27" t="n">
        <v>1</v>
      </c>
      <c r="P1869" s="15" t="n">
        <f aca="false">IF(A1869="","",IF(O1869&lt;&gt;"",O1869,IF(L1869&lt;&gt;"",L1869,F1869)))</f>
        <v>1</v>
      </c>
    </row>
    <row r="1870" customFormat="false" ht="15" hidden="false" customHeight="true" outlineLevel="0" collapsed="false">
      <c r="A1870" s="30" t="s">
        <v>229</v>
      </c>
      <c r="B1870" s="30" t="s">
        <v>230</v>
      </c>
      <c r="C1870" s="21" t="n">
        <f aca="false">IF(A1870="","",IFERROR(VLOOKUP(A1870,'Recert Status'!$A$8:$C$400,3,FALSE()),""))</f>
        <v>46752</v>
      </c>
      <c r="D1870" s="31" t="s">
        <v>591</v>
      </c>
      <c r="E1870" s="30" t="s">
        <v>389</v>
      </c>
      <c r="F1870" s="32" t="n">
        <v>1</v>
      </c>
      <c r="G1870" s="33" t="n">
        <v>45994</v>
      </c>
      <c r="H1870" s="33" t="n">
        <v>45994</v>
      </c>
      <c r="I1870" s="31" t="s">
        <v>770</v>
      </c>
      <c r="J1870" s="30" t="s">
        <v>389</v>
      </c>
      <c r="K1870" s="31" t="s">
        <v>451</v>
      </c>
      <c r="L1870" s="32" t="n">
        <v>1</v>
      </c>
      <c r="M1870" s="35" t="s">
        <v>386</v>
      </c>
      <c r="N1870" s="31" t="s">
        <v>387</v>
      </c>
      <c r="O1870" s="32" t="n">
        <v>1</v>
      </c>
      <c r="P1870" s="15" t="n">
        <f aca="false">IF(A1870="","",IF(O1870&lt;&gt;"",O1870,IF(L1870&lt;&gt;"",L1870,F1870)))</f>
        <v>1</v>
      </c>
    </row>
    <row r="1871" customFormat="false" ht="15" hidden="false" customHeight="true" outlineLevel="0" collapsed="false">
      <c r="A1871" s="26" t="s">
        <v>229</v>
      </c>
      <c r="B1871" s="26" t="s">
        <v>230</v>
      </c>
      <c r="C1871" s="14" t="n">
        <f aca="false">IF(A1871="","",IFERROR(VLOOKUP(A1871,'Recert Status'!$A$8:$C$400,3,FALSE()),""))</f>
        <v>46752</v>
      </c>
      <c r="D1871" s="18" t="s">
        <v>474</v>
      </c>
      <c r="E1871" s="26" t="s">
        <v>389</v>
      </c>
      <c r="F1871" s="27" t="n">
        <v>1</v>
      </c>
      <c r="G1871" s="28" t="n">
        <v>46204</v>
      </c>
      <c r="H1871" s="28" t="n">
        <v>46204</v>
      </c>
      <c r="I1871" s="18" t="s">
        <v>475</v>
      </c>
      <c r="J1871" s="26" t="s">
        <v>389</v>
      </c>
      <c r="K1871" s="18" t="s">
        <v>476</v>
      </c>
      <c r="L1871" s="27" t="n">
        <v>1</v>
      </c>
      <c r="M1871" s="35" t="s">
        <v>386</v>
      </c>
      <c r="N1871" s="18" t="s">
        <v>387</v>
      </c>
      <c r="O1871" s="27" t="n">
        <v>1</v>
      </c>
      <c r="P1871" s="15" t="n">
        <f aca="false">IF(A1871="","",IF(O1871&lt;&gt;"",O1871,IF(L1871&lt;&gt;"",L1871,F1871)))</f>
        <v>1</v>
      </c>
    </row>
    <row r="1872" customFormat="false" ht="15" hidden="false" customHeight="true" outlineLevel="0" collapsed="false">
      <c r="A1872" s="30" t="s">
        <v>229</v>
      </c>
      <c r="B1872" s="30" t="s">
        <v>230</v>
      </c>
      <c r="C1872" s="21" t="n">
        <f aca="false">IF(A1872="","",IFERROR(VLOOKUP(A1872,'Recert Status'!$A$8:$C$400,3,FALSE()),""))</f>
        <v>46752</v>
      </c>
      <c r="D1872" s="31" t="s">
        <v>397</v>
      </c>
      <c r="E1872" s="30" t="s">
        <v>452</v>
      </c>
      <c r="F1872" s="32" t="n">
        <v>1</v>
      </c>
      <c r="G1872" s="33" t="n">
        <v>46246</v>
      </c>
      <c r="H1872" s="33" t="n">
        <v>46246</v>
      </c>
      <c r="I1872" s="31" t="s">
        <v>1078</v>
      </c>
      <c r="J1872" s="30" t="s">
        <v>452</v>
      </c>
      <c r="K1872" s="31" t="s">
        <v>385</v>
      </c>
      <c r="L1872" s="32" t="n">
        <v>1</v>
      </c>
      <c r="M1872" s="36" t="s">
        <v>396</v>
      </c>
      <c r="N1872" s="31" t="s">
        <v>397</v>
      </c>
      <c r="O1872" s="32" t="n">
        <v>1</v>
      </c>
      <c r="P1872" s="15" t="n">
        <f aca="false">IF(A1872="","",IF(O1872&lt;&gt;"",O1872,IF(L1872&lt;&gt;"",L1872,F1872)))</f>
        <v>1</v>
      </c>
    </row>
    <row r="1873" customFormat="false" ht="15" hidden="false" customHeight="true" outlineLevel="0" collapsed="false">
      <c r="A1873" s="26" t="s">
        <v>229</v>
      </c>
      <c r="B1873" s="26" t="s">
        <v>230</v>
      </c>
      <c r="C1873" s="14" t="n">
        <f aca="false">IF(A1873="","",IFERROR(VLOOKUP(A1873,'Recert Status'!$A$8:$C$400,3,FALSE()),""))</f>
        <v>46752</v>
      </c>
      <c r="D1873" s="18" t="s">
        <v>397</v>
      </c>
      <c r="E1873" s="26" t="s">
        <v>452</v>
      </c>
      <c r="F1873" s="27" t="n">
        <v>1</v>
      </c>
      <c r="G1873" s="28" t="n">
        <v>46246</v>
      </c>
      <c r="H1873" s="28" t="n">
        <v>46246</v>
      </c>
      <c r="I1873" s="18" t="s">
        <v>478</v>
      </c>
      <c r="J1873" s="26" t="s">
        <v>452</v>
      </c>
      <c r="K1873" s="18" t="s">
        <v>385</v>
      </c>
      <c r="L1873" s="27" t="n">
        <v>1</v>
      </c>
      <c r="M1873" s="36" t="s">
        <v>396</v>
      </c>
      <c r="N1873" s="18" t="s">
        <v>397</v>
      </c>
      <c r="O1873" s="27" t="n">
        <v>1</v>
      </c>
      <c r="P1873" s="15" t="n">
        <f aca="false">IF(A1873="","",IF(O1873&lt;&gt;"",O1873,IF(L1873&lt;&gt;"",L1873,F1873)))</f>
        <v>1</v>
      </c>
    </row>
    <row r="1874" customFormat="false" ht="15" hidden="false" customHeight="true" outlineLevel="0" collapsed="false">
      <c r="A1874" s="30" t="s">
        <v>229</v>
      </c>
      <c r="B1874" s="30" t="s">
        <v>230</v>
      </c>
      <c r="C1874" s="21" t="n">
        <f aca="false">IF(A1874="","",IFERROR(VLOOKUP(A1874,'Recert Status'!$A$8:$C$400,3,FALSE()),""))</f>
        <v>46752</v>
      </c>
      <c r="D1874" s="31" t="s">
        <v>1492</v>
      </c>
      <c r="E1874" s="30" t="s">
        <v>399</v>
      </c>
      <c r="F1874" s="32" t="n">
        <v>1</v>
      </c>
      <c r="G1874" s="33" t="n">
        <v>46178</v>
      </c>
      <c r="H1874" s="33" t="n">
        <v>46178</v>
      </c>
      <c r="I1874" s="31" t="s">
        <v>1493</v>
      </c>
      <c r="J1874" s="30" t="s">
        <v>399</v>
      </c>
      <c r="K1874" s="31" t="s">
        <v>401</v>
      </c>
      <c r="L1874" s="32" t="n">
        <v>1</v>
      </c>
      <c r="M1874" s="37" t="s">
        <v>402</v>
      </c>
      <c r="N1874" s="31" t="s">
        <v>403</v>
      </c>
      <c r="O1874" s="32" t="n">
        <v>1</v>
      </c>
      <c r="P1874" s="15" t="n">
        <f aca="false">IF(A1874="","",IF(O1874&lt;&gt;"",O1874,IF(L1874&lt;&gt;"",L1874,F1874)))</f>
        <v>1</v>
      </c>
    </row>
    <row r="1875" customFormat="false" ht="15" hidden="false" customHeight="true" outlineLevel="0" collapsed="false">
      <c r="A1875" s="26" t="s">
        <v>229</v>
      </c>
      <c r="B1875" s="26" t="s">
        <v>230</v>
      </c>
      <c r="C1875" s="14" t="n">
        <f aca="false">IF(A1875="","",IFERROR(VLOOKUP(A1875,'Recert Status'!$A$8:$C$400,3,FALSE()),""))</f>
        <v>46752</v>
      </c>
      <c r="D1875" s="18" t="s">
        <v>457</v>
      </c>
      <c r="E1875" s="26" t="s">
        <v>416</v>
      </c>
      <c r="F1875" s="27" t="n">
        <v>2</v>
      </c>
      <c r="G1875" s="28" t="n">
        <v>45859</v>
      </c>
      <c r="H1875" s="28" t="n">
        <v>45859</v>
      </c>
      <c r="I1875" s="18" t="s">
        <v>780</v>
      </c>
      <c r="J1875" s="26" t="s">
        <v>416</v>
      </c>
      <c r="K1875" s="18" t="s">
        <v>781</v>
      </c>
      <c r="L1875" s="27" t="n">
        <v>2</v>
      </c>
      <c r="M1875" s="39" t="s">
        <v>413</v>
      </c>
      <c r="N1875" s="18" t="s">
        <v>414</v>
      </c>
      <c r="O1875" s="27" t="n">
        <v>2</v>
      </c>
      <c r="P1875" s="15" t="n">
        <f aca="false">IF(A1875="","",IF(O1875&lt;&gt;"",O1875,IF(L1875&lt;&gt;"",L1875,F1875)))</f>
        <v>2</v>
      </c>
    </row>
    <row r="1876" customFormat="false" ht="15" hidden="false" customHeight="true" outlineLevel="0" collapsed="false">
      <c r="A1876" s="30" t="s">
        <v>229</v>
      </c>
      <c r="B1876" s="30" t="s">
        <v>230</v>
      </c>
      <c r="C1876" s="21" t="n">
        <f aca="false">IF(A1876="","",IFERROR(VLOOKUP(A1876,'Recert Status'!$A$8:$C$400,3,FALSE()),""))</f>
        <v>46752</v>
      </c>
      <c r="D1876" s="31" t="s">
        <v>414</v>
      </c>
      <c r="E1876" s="30" t="s">
        <v>416</v>
      </c>
      <c r="F1876" s="32" t="n">
        <v>2</v>
      </c>
      <c r="G1876" s="33" t="n">
        <v>46219</v>
      </c>
      <c r="H1876" s="33" t="n">
        <v>46219</v>
      </c>
      <c r="I1876" s="31" t="s">
        <v>567</v>
      </c>
      <c r="J1876" s="30" t="s">
        <v>416</v>
      </c>
      <c r="K1876" s="31" t="s">
        <v>418</v>
      </c>
      <c r="L1876" s="32" t="n">
        <v>2</v>
      </c>
      <c r="M1876" s="39" t="s">
        <v>413</v>
      </c>
      <c r="N1876" s="31" t="s">
        <v>414</v>
      </c>
      <c r="O1876" s="32" t="n">
        <v>2</v>
      </c>
      <c r="P1876" s="15" t="n">
        <f aca="false">IF(A1876="","",IF(O1876&lt;&gt;"",O1876,IF(L1876&lt;&gt;"",L1876,F1876)))</f>
        <v>2</v>
      </c>
    </row>
    <row r="1877" customFormat="false" ht="15" hidden="false" customHeight="true" outlineLevel="0" collapsed="false">
      <c r="A1877" s="26" t="s">
        <v>231</v>
      </c>
      <c r="B1877" s="26" t="s">
        <v>232</v>
      </c>
      <c r="C1877" s="14" t="n">
        <f aca="false">IF(A1877="","",IFERROR(VLOOKUP(A1877,'Recert Status'!$A$8:$C$400,3,FALSE()),""))</f>
        <v>46387</v>
      </c>
      <c r="D1877" s="18" t="s">
        <v>876</v>
      </c>
      <c r="E1877" s="26" t="s">
        <v>363</v>
      </c>
      <c r="F1877" s="27" t="n">
        <v>0.75</v>
      </c>
      <c r="G1877" s="28" t="n">
        <v>45929</v>
      </c>
      <c r="H1877" s="28" t="n">
        <v>45929</v>
      </c>
      <c r="I1877" s="18" t="s">
        <v>1254</v>
      </c>
      <c r="J1877" s="26" t="s">
        <v>363</v>
      </c>
      <c r="K1877" s="18" t="s">
        <v>370</v>
      </c>
      <c r="L1877" s="27" t="n">
        <v>0.75</v>
      </c>
      <c r="M1877" s="29" t="s">
        <v>366</v>
      </c>
      <c r="N1877" s="18" t="s">
        <v>367</v>
      </c>
      <c r="O1877" s="27" t="n">
        <v>0.75</v>
      </c>
      <c r="P1877" s="15" t="n">
        <f aca="false">IF(A1877="","",IF(O1877&lt;&gt;"",O1877,IF(L1877&lt;&gt;"",L1877,F1877)))</f>
        <v>0.75</v>
      </c>
    </row>
    <row r="1878" customFormat="false" ht="15" hidden="false" customHeight="true" outlineLevel="0" collapsed="false">
      <c r="A1878" s="30" t="s">
        <v>231</v>
      </c>
      <c r="B1878" s="30" t="s">
        <v>232</v>
      </c>
      <c r="C1878" s="21" t="n">
        <f aca="false">IF(A1878="","",IFERROR(VLOOKUP(A1878,'Recert Status'!$A$8:$C$400,3,FALSE()),""))</f>
        <v>46387</v>
      </c>
      <c r="D1878" s="31" t="s">
        <v>1255</v>
      </c>
      <c r="E1878" s="30" t="n">
        <v>57404</v>
      </c>
      <c r="F1878" s="32" t="n">
        <v>3</v>
      </c>
      <c r="G1878" s="33" t="n">
        <v>45971</v>
      </c>
      <c r="H1878" s="33" t="n">
        <v>45971</v>
      </c>
      <c r="I1878" s="31" t="s">
        <v>1256</v>
      </c>
      <c r="J1878" s="30" t="s">
        <v>728</v>
      </c>
      <c r="K1878" s="31" t="s">
        <v>882</v>
      </c>
      <c r="L1878" s="32" t="n">
        <v>3</v>
      </c>
      <c r="M1878" s="29" t="s">
        <v>366</v>
      </c>
      <c r="N1878" s="31" t="s">
        <v>367</v>
      </c>
      <c r="O1878" s="32" t="n">
        <v>3</v>
      </c>
      <c r="P1878" s="15" t="n">
        <f aca="false">IF(A1878="","",IF(O1878&lt;&gt;"",O1878,IF(L1878&lt;&gt;"",L1878,F1878)))</f>
        <v>3</v>
      </c>
    </row>
    <row r="1879" customFormat="false" ht="15" hidden="false" customHeight="true" outlineLevel="0" collapsed="false">
      <c r="A1879" s="26" t="s">
        <v>231</v>
      </c>
      <c r="B1879" s="26" t="s">
        <v>232</v>
      </c>
      <c r="C1879" s="14" t="n">
        <f aca="false">IF(A1879="","",IFERROR(VLOOKUP(A1879,'Recert Status'!$A$8:$C$400,3,FALSE()),""))</f>
        <v>46387</v>
      </c>
      <c r="D1879" s="18" t="s">
        <v>785</v>
      </c>
      <c r="E1879" s="26" t="s">
        <v>363</v>
      </c>
      <c r="F1879" s="27" t="n">
        <v>4</v>
      </c>
      <c r="G1879" s="28" t="n">
        <v>46076</v>
      </c>
      <c r="H1879" s="28" t="n">
        <v>46076</v>
      </c>
      <c r="I1879" s="18" t="s">
        <v>786</v>
      </c>
      <c r="J1879" s="26" t="s">
        <v>363</v>
      </c>
      <c r="K1879" s="18" t="s">
        <v>630</v>
      </c>
      <c r="L1879" s="27" t="n">
        <v>4</v>
      </c>
      <c r="M1879" s="29" t="s">
        <v>366</v>
      </c>
      <c r="N1879" s="18" t="s">
        <v>367</v>
      </c>
      <c r="O1879" s="27" t="n">
        <v>4</v>
      </c>
      <c r="P1879" s="15" t="n">
        <f aca="false">IF(A1879="","",IF(O1879&lt;&gt;"",O1879,IF(L1879&lt;&gt;"",L1879,F1879)))</f>
        <v>4</v>
      </c>
    </row>
    <row r="1880" customFormat="false" ht="15" hidden="false" customHeight="true" outlineLevel="0" collapsed="false">
      <c r="A1880" s="30" t="s">
        <v>231</v>
      </c>
      <c r="B1880" s="30" t="s">
        <v>232</v>
      </c>
      <c r="C1880" s="21" t="n">
        <f aca="false">IF(A1880="","",IFERROR(VLOOKUP(A1880,'Recert Status'!$A$8:$C$400,3,FALSE()),""))</f>
        <v>46387</v>
      </c>
      <c r="D1880" s="31" t="s">
        <v>425</v>
      </c>
      <c r="E1880" s="30" t="s">
        <v>426</v>
      </c>
      <c r="F1880" s="32" t="n">
        <v>2</v>
      </c>
      <c r="G1880" s="33" t="n">
        <v>45929</v>
      </c>
      <c r="H1880" s="33" t="n">
        <v>45929</v>
      </c>
      <c r="I1880" s="31" t="s">
        <v>427</v>
      </c>
      <c r="J1880" s="30" t="s">
        <v>426</v>
      </c>
      <c r="K1880" s="31" t="s">
        <v>428</v>
      </c>
      <c r="L1880" s="32" t="n">
        <v>2</v>
      </c>
      <c r="M1880" s="41" t="s">
        <v>429</v>
      </c>
      <c r="N1880" s="31" t="s">
        <v>430</v>
      </c>
      <c r="O1880" s="32" t="n">
        <v>2</v>
      </c>
      <c r="P1880" s="15" t="n">
        <f aca="false">IF(A1880="","",IF(O1880&lt;&gt;"",O1880,IF(L1880&lt;&gt;"",L1880,F1880)))</f>
        <v>2</v>
      </c>
    </row>
    <row r="1881" customFormat="false" ht="15" hidden="false" customHeight="true" outlineLevel="0" collapsed="false">
      <c r="A1881" s="26" t="s">
        <v>231</v>
      </c>
      <c r="B1881" s="26" t="s">
        <v>232</v>
      </c>
      <c r="C1881" s="14" t="n">
        <f aca="false">IF(A1881="","",IFERROR(VLOOKUP(A1881,'Recert Status'!$A$8:$C$400,3,FALSE()),""))</f>
        <v>46387</v>
      </c>
      <c r="D1881" s="18" t="s">
        <v>548</v>
      </c>
      <c r="E1881" s="26" t="s">
        <v>426</v>
      </c>
      <c r="F1881" s="27" t="n">
        <v>2</v>
      </c>
      <c r="G1881" s="28" t="n">
        <v>45972</v>
      </c>
      <c r="H1881" s="28" t="n">
        <v>45972</v>
      </c>
      <c r="I1881" s="18" t="s">
        <v>1259</v>
      </c>
      <c r="J1881" s="26" t="s">
        <v>426</v>
      </c>
      <c r="K1881" s="18" t="s">
        <v>428</v>
      </c>
      <c r="L1881" s="27" t="n">
        <v>2</v>
      </c>
      <c r="M1881" s="41" t="s">
        <v>429</v>
      </c>
      <c r="N1881" s="18" t="s">
        <v>430</v>
      </c>
      <c r="O1881" s="27" t="n">
        <v>2</v>
      </c>
      <c r="P1881" s="15" t="n">
        <f aca="false">IF(A1881="","",IF(O1881&lt;&gt;"",O1881,IF(L1881&lt;&gt;"",L1881,F1881)))</f>
        <v>2</v>
      </c>
    </row>
    <row r="1882" customFormat="false" ht="15" hidden="false" customHeight="true" outlineLevel="0" collapsed="false">
      <c r="A1882" s="30" t="s">
        <v>231</v>
      </c>
      <c r="B1882" s="30" t="s">
        <v>232</v>
      </c>
      <c r="C1882" s="21" t="n">
        <f aca="false">IF(A1882="","",IFERROR(VLOOKUP(A1882,'Recert Status'!$A$8:$C$400,3,FALSE()),""))</f>
        <v>46387</v>
      </c>
      <c r="D1882" s="31" t="s">
        <v>430</v>
      </c>
      <c r="E1882" s="30" t="s">
        <v>426</v>
      </c>
      <c r="F1882" s="32" t="n">
        <v>0.5</v>
      </c>
      <c r="G1882" s="33" t="n">
        <v>46274</v>
      </c>
      <c r="H1882" s="33" t="n">
        <v>46274</v>
      </c>
      <c r="I1882" s="31" t="s">
        <v>1494</v>
      </c>
      <c r="J1882" s="30" t="s">
        <v>426</v>
      </c>
      <c r="K1882" s="31" t="s">
        <v>428</v>
      </c>
      <c r="L1882" s="32" t="n">
        <v>0.5</v>
      </c>
      <c r="M1882" s="41" t="s">
        <v>429</v>
      </c>
      <c r="N1882" s="31" t="s">
        <v>430</v>
      </c>
      <c r="O1882" s="32" t="n">
        <v>0.5</v>
      </c>
      <c r="P1882" s="15" t="n">
        <f aca="false">IF(A1882="","",IF(O1882&lt;&gt;"",O1882,IF(L1882&lt;&gt;"",L1882,F1882)))</f>
        <v>0.5</v>
      </c>
    </row>
    <row r="1883" customFormat="false" ht="15" hidden="false" customHeight="true" outlineLevel="0" collapsed="false">
      <c r="A1883" s="26" t="s">
        <v>231</v>
      </c>
      <c r="B1883" s="26" t="s">
        <v>232</v>
      </c>
      <c r="C1883" s="14" t="n">
        <f aca="false">IF(A1883="","",IFERROR(VLOOKUP(A1883,'Recert Status'!$A$8:$C$400,3,FALSE()),""))</f>
        <v>46387</v>
      </c>
      <c r="D1883" s="18" t="s">
        <v>377</v>
      </c>
      <c r="E1883" s="26" t="s">
        <v>372</v>
      </c>
      <c r="F1883" s="27" t="n">
        <v>1</v>
      </c>
      <c r="G1883" s="28" t="n">
        <v>45677</v>
      </c>
      <c r="H1883" s="28" t="n">
        <v>45677</v>
      </c>
      <c r="I1883" s="18" t="s">
        <v>1495</v>
      </c>
      <c r="J1883" s="26" t="s">
        <v>372</v>
      </c>
      <c r="K1883" s="18" t="s">
        <v>374</v>
      </c>
      <c r="L1883" s="27" t="n">
        <v>1</v>
      </c>
      <c r="M1883" s="34" t="s">
        <v>375</v>
      </c>
      <c r="N1883" s="18" t="s">
        <v>376</v>
      </c>
      <c r="O1883" s="27" t="n">
        <v>1</v>
      </c>
      <c r="P1883" s="15" t="n">
        <f aca="false">IF(A1883="","",IF(O1883&lt;&gt;"",O1883,IF(L1883&lt;&gt;"",L1883,F1883)))</f>
        <v>1</v>
      </c>
    </row>
    <row r="1884" customFormat="false" ht="15" hidden="false" customHeight="true" outlineLevel="0" collapsed="false">
      <c r="A1884" s="30" t="s">
        <v>231</v>
      </c>
      <c r="B1884" s="30" t="s">
        <v>232</v>
      </c>
      <c r="C1884" s="21" t="n">
        <f aca="false">IF(A1884="","",IFERROR(VLOOKUP(A1884,'Recert Status'!$A$8:$C$400,3,FALSE()),""))</f>
        <v>46387</v>
      </c>
      <c r="D1884" s="31" t="s">
        <v>732</v>
      </c>
      <c r="E1884" s="30" t="s">
        <v>372</v>
      </c>
      <c r="F1884" s="32" t="n">
        <v>1</v>
      </c>
      <c r="G1884" s="33" t="n">
        <v>45755</v>
      </c>
      <c r="H1884" s="33" t="n">
        <v>45755</v>
      </c>
      <c r="I1884" s="31" t="s">
        <v>1496</v>
      </c>
      <c r="J1884" s="30" t="s">
        <v>372</v>
      </c>
      <c r="K1884" s="31" t="s">
        <v>374</v>
      </c>
      <c r="L1884" s="32" t="n">
        <v>1</v>
      </c>
      <c r="M1884" s="34" t="s">
        <v>375</v>
      </c>
      <c r="N1884" s="31" t="s">
        <v>376</v>
      </c>
      <c r="O1884" s="32" t="n">
        <v>1</v>
      </c>
      <c r="P1884" s="15" t="n">
        <f aca="false">IF(A1884="","",IF(O1884&lt;&gt;"",O1884,IF(L1884&lt;&gt;"",L1884,F1884)))</f>
        <v>1</v>
      </c>
    </row>
    <row r="1885" customFormat="false" ht="15" hidden="false" customHeight="true" outlineLevel="0" collapsed="false">
      <c r="A1885" s="26" t="s">
        <v>231</v>
      </c>
      <c r="B1885" s="26" t="s">
        <v>232</v>
      </c>
      <c r="C1885" s="14" t="n">
        <f aca="false">IF(A1885="","",IFERROR(VLOOKUP(A1885,'Recert Status'!$A$8:$C$400,3,FALSE()),""))</f>
        <v>46387</v>
      </c>
      <c r="D1885" s="18" t="s">
        <v>1260</v>
      </c>
      <c r="E1885" s="26" t="n">
        <v>29668</v>
      </c>
      <c r="F1885" s="27" t="n">
        <v>0.5</v>
      </c>
      <c r="G1885" s="28" t="n">
        <v>45680</v>
      </c>
      <c r="H1885" s="28" t="n">
        <v>45680</v>
      </c>
      <c r="I1885" s="18" t="s">
        <v>1261</v>
      </c>
      <c r="J1885" s="26" t="s">
        <v>511</v>
      </c>
      <c r="K1885" s="18" t="s">
        <v>509</v>
      </c>
      <c r="L1885" s="27" t="n">
        <v>0.5</v>
      </c>
      <c r="M1885" s="35" t="s">
        <v>386</v>
      </c>
      <c r="N1885" s="18" t="s">
        <v>387</v>
      </c>
      <c r="O1885" s="27" t="n">
        <v>0.5</v>
      </c>
      <c r="P1885" s="15" t="n">
        <f aca="false">IF(A1885="","",IF(O1885&lt;&gt;"",O1885,IF(L1885&lt;&gt;"",L1885,F1885)))</f>
        <v>0.5</v>
      </c>
    </row>
    <row r="1886" customFormat="false" ht="15" hidden="false" customHeight="true" outlineLevel="0" collapsed="false">
      <c r="A1886" s="30" t="s">
        <v>231</v>
      </c>
      <c r="B1886" s="30" t="s">
        <v>232</v>
      </c>
      <c r="C1886" s="21" t="n">
        <f aca="false">IF(A1886="","",IFERROR(VLOOKUP(A1886,'Recert Status'!$A$8:$C$400,3,FALSE()),""))</f>
        <v>46387</v>
      </c>
      <c r="D1886" s="31" t="s">
        <v>437</v>
      </c>
      <c r="E1886" s="30" t="n">
        <v>29743</v>
      </c>
      <c r="F1886" s="32" t="n">
        <v>1</v>
      </c>
      <c r="G1886" s="33" t="n">
        <v>45833</v>
      </c>
      <c r="H1886" s="33" t="n">
        <v>45833</v>
      </c>
      <c r="I1886" s="31" t="s">
        <v>438</v>
      </c>
      <c r="J1886" s="30" t="s">
        <v>439</v>
      </c>
      <c r="K1886" s="31" t="s">
        <v>440</v>
      </c>
      <c r="L1886" s="32" t="n">
        <v>1</v>
      </c>
      <c r="M1886" s="35" t="s">
        <v>386</v>
      </c>
      <c r="N1886" s="31" t="s">
        <v>387</v>
      </c>
      <c r="O1886" s="32" t="n">
        <v>1</v>
      </c>
      <c r="P1886" s="15" t="n">
        <f aca="false">IF(A1886="","",IF(O1886&lt;&gt;"",O1886,IF(L1886&lt;&gt;"",L1886,F1886)))</f>
        <v>1</v>
      </c>
    </row>
    <row r="1887" customFormat="false" ht="15" hidden="false" customHeight="true" outlineLevel="0" collapsed="false">
      <c r="A1887" s="26" t="s">
        <v>231</v>
      </c>
      <c r="B1887" s="26" t="s">
        <v>232</v>
      </c>
      <c r="C1887" s="14" t="n">
        <f aca="false">IF(A1887="","",IFERROR(VLOOKUP(A1887,'Recert Status'!$A$8:$C$400,3,FALSE()),""))</f>
        <v>46387</v>
      </c>
      <c r="D1887" s="18" t="s">
        <v>441</v>
      </c>
      <c r="E1887" s="26" t="n">
        <v>29743</v>
      </c>
      <c r="F1887" s="27" t="n">
        <v>1</v>
      </c>
      <c r="G1887" s="28" t="n">
        <v>45833</v>
      </c>
      <c r="H1887" s="28" t="n">
        <v>45833</v>
      </c>
      <c r="I1887" s="18" t="s">
        <v>442</v>
      </c>
      <c r="J1887" s="26" t="s">
        <v>439</v>
      </c>
      <c r="K1887" s="18" t="s">
        <v>443</v>
      </c>
      <c r="L1887" s="27" t="n">
        <v>1</v>
      </c>
      <c r="M1887" s="35" t="s">
        <v>386</v>
      </c>
      <c r="N1887" s="18" t="s">
        <v>387</v>
      </c>
      <c r="O1887" s="27" t="n">
        <v>1</v>
      </c>
      <c r="P1887" s="15" t="n">
        <f aca="false">IF(A1887="","",IF(O1887&lt;&gt;"",O1887,IF(L1887&lt;&gt;"",L1887,F1887)))</f>
        <v>1</v>
      </c>
    </row>
    <row r="1888" customFormat="false" ht="15" hidden="false" customHeight="true" outlineLevel="0" collapsed="false">
      <c r="A1888" s="30" t="s">
        <v>231</v>
      </c>
      <c r="B1888" s="30" t="s">
        <v>232</v>
      </c>
      <c r="C1888" s="21" t="n">
        <f aca="false">IF(A1888="","",IFERROR(VLOOKUP(A1888,'Recert Status'!$A$8:$C$400,3,FALSE()),""))</f>
        <v>46387</v>
      </c>
      <c r="D1888" s="31" t="s">
        <v>705</v>
      </c>
      <c r="E1888" s="30" t="n">
        <v>29769</v>
      </c>
      <c r="F1888" s="32" t="n">
        <v>2</v>
      </c>
      <c r="G1888" s="33" t="n">
        <v>45896</v>
      </c>
      <c r="H1888" s="33" t="n">
        <v>45896</v>
      </c>
      <c r="I1888" s="31" t="s">
        <v>706</v>
      </c>
      <c r="J1888" s="30" t="s">
        <v>517</v>
      </c>
      <c r="K1888" s="31" t="s">
        <v>707</v>
      </c>
      <c r="L1888" s="32" t="n">
        <v>2</v>
      </c>
      <c r="M1888" s="35" t="s">
        <v>386</v>
      </c>
      <c r="N1888" s="31" t="s">
        <v>387</v>
      </c>
      <c r="O1888" s="32" t="n">
        <v>2</v>
      </c>
      <c r="P1888" s="15" t="n">
        <f aca="false">IF(A1888="","",IF(O1888&lt;&gt;"",O1888,IF(L1888&lt;&gt;"",L1888,F1888)))</f>
        <v>2</v>
      </c>
    </row>
    <row r="1889" customFormat="false" ht="15" hidden="false" customHeight="true" outlineLevel="0" collapsed="false">
      <c r="A1889" s="26" t="s">
        <v>231</v>
      </c>
      <c r="B1889" s="26" t="s">
        <v>232</v>
      </c>
      <c r="C1889" s="14" t="n">
        <f aca="false">IF(A1889="","",IFERROR(VLOOKUP(A1889,'Recert Status'!$A$8:$C$400,3,FALSE()),""))</f>
        <v>46387</v>
      </c>
      <c r="D1889" s="18" t="s">
        <v>1263</v>
      </c>
      <c r="E1889" s="26" t="s">
        <v>389</v>
      </c>
      <c r="F1889" s="27" t="n">
        <v>3</v>
      </c>
      <c r="G1889" s="28" t="n">
        <v>45972</v>
      </c>
      <c r="H1889" s="28" t="n">
        <v>45972</v>
      </c>
      <c r="I1889" s="18" t="s">
        <v>1264</v>
      </c>
      <c r="J1889" s="26" t="s">
        <v>389</v>
      </c>
      <c r="K1889" s="18" t="s">
        <v>446</v>
      </c>
      <c r="L1889" s="27" t="n">
        <v>3</v>
      </c>
      <c r="M1889" s="35" t="s">
        <v>386</v>
      </c>
      <c r="N1889" s="18" t="s">
        <v>387</v>
      </c>
      <c r="O1889" s="27" t="n">
        <v>3</v>
      </c>
      <c r="P1889" s="15" t="n">
        <f aca="false">IF(A1889="","",IF(O1889&lt;&gt;"",O1889,IF(L1889&lt;&gt;"",L1889,F1889)))</f>
        <v>3</v>
      </c>
    </row>
    <row r="1890" customFormat="false" ht="15" hidden="false" customHeight="true" outlineLevel="0" collapsed="false">
      <c r="A1890" s="30" t="s">
        <v>231</v>
      </c>
      <c r="B1890" s="30" t="s">
        <v>232</v>
      </c>
      <c r="C1890" s="21" t="n">
        <f aca="false">IF(A1890="","",IFERROR(VLOOKUP(A1890,'Recert Status'!$A$8:$C$400,3,FALSE()),""))</f>
        <v>46387</v>
      </c>
      <c r="D1890" s="31" t="s">
        <v>794</v>
      </c>
      <c r="E1890" s="30" t="s">
        <v>389</v>
      </c>
      <c r="F1890" s="32" t="n">
        <v>2</v>
      </c>
      <c r="G1890" s="33" t="n">
        <v>46079</v>
      </c>
      <c r="H1890" s="33" t="n">
        <v>46079</v>
      </c>
      <c r="I1890" s="31" t="s">
        <v>795</v>
      </c>
      <c r="J1890" s="30" t="s">
        <v>389</v>
      </c>
      <c r="K1890" s="31" t="s">
        <v>446</v>
      </c>
      <c r="L1890" s="32" t="n">
        <v>2</v>
      </c>
      <c r="M1890" s="35" t="s">
        <v>386</v>
      </c>
      <c r="N1890" s="31" t="s">
        <v>387</v>
      </c>
      <c r="O1890" s="32" t="n">
        <v>2</v>
      </c>
      <c r="P1890" s="15" t="n">
        <f aca="false">IF(A1890="","",IF(O1890&lt;&gt;"",O1890,IF(L1890&lt;&gt;"",L1890,F1890)))</f>
        <v>2</v>
      </c>
    </row>
    <row r="1891" customFormat="false" ht="15" hidden="false" customHeight="true" outlineLevel="0" collapsed="false">
      <c r="A1891" s="26" t="s">
        <v>231</v>
      </c>
      <c r="B1891" s="26" t="s">
        <v>232</v>
      </c>
      <c r="C1891" s="14" t="n">
        <f aca="false">IF(A1891="","",IFERROR(VLOOKUP(A1891,'Recert Status'!$A$8:$C$400,3,FALSE()),""))</f>
        <v>46387</v>
      </c>
      <c r="D1891" s="18" t="s">
        <v>397</v>
      </c>
      <c r="E1891" s="26" t="s">
        <v>452</v>
      </c>
      <c r="F1891" s="27" t="n">
        <v>1</v>
      </c>
      <c r="G1891" s="28" t="n">
        <v>46244</v>
      </c>
      <c r="H1891" s="28" t="n">
        <v>46244</v>
      </c>
      <c r="I1891" s="18" t="s">
        <v>577</v>
      </c>
      <c r="J1891" s="26" t="s">
        <v>452</v>
      </c>
      <c r="K1891" s="18" t="s">
        <v>385</v>
      </c>
      <c r="L1891" s="27" t="n">
        <v>1</v>
      </c>
      <c r="M1891" s="36" t="s">
        <v>396</v>
      </c>
      <c r="N1891" s="18" t="s">
        <v>397</v>
      </c>
      <c r="O1891" s="27" t="n">
        <v>1</v>
      </c>
      <c r="P1891" s="15" t="n">
        <f aca="false">IF(A1891="","",IF(O1891&lt;&gt;"",O1891,IF(L1891&lt;&gt;"",L1891,F1891)))</f>
        <v>1</v>
      </c>
    </row>
    <row r="1892" customFormat="false" ht="15" hidden="false" customHeight="true" outlineLevel="0" collapsed="false">
      <c r="A1892" s="30" t="s">
        <v>231</v>
      </c>
      <c r="B1892" s="30" t="s">
        <v>232</v>
      </c>
      <c r="C1892" s="21" t="n">
        <f aca="false">IF(A1892="","",IFERROR(VLOOKUP(A1892,'Recert Status'!$A$8:$C$400,3,FALSE()),""))</f>
        <v>46387</v>
      </c>
      <c r="D1892" s="31" t="s">
        <v>870</v>
      </c>
      <c r="E1892" s="30" t="s">
        <v>399</v>
      </c>
      <c r="F1892" s="32" t="n">
        <v>1</v>
      </c>
      <c r="G1892" s="33" t="n">
        <v>45677</v>
      </c>
      <c r="H1892" s="33" t="n">
        <v>45677</v>
      </c>
      <c r="I1892" s="31" t="s">
        <v>1497</v>
      </c>
      <c r="J1892" s="30" t="s">
        <v>399</v>
      </c>
      <c r="K1892" s="31" t="s">
        <v>401</v>
      </c>
      <c r="L1892" s="32" t="n">
        <v>1</v>
      </c>
      <c r="M1892" s="37" t="s">
        <v>402</v>
      </c>
      <c r="N1892" s="31" t="s">
        <v>403</v>
      </c>
      <c r="O1892" s="32" t="n">
        <v>1</v>
      </c>
      <c r="P1892" s="15" t="n">
        <f aca="false">IF(A1892="","",IF(O1892&lt;&gt;"",O1892,IF(L1892&lt;&gt;"",L1892,F1892)))</f>
        <v>1</v>
      </c>
    </row>
    <row r="1893" customFormat="false" ht="15" hidden="false" customHeight="true" outlineLevel="0" collapsed="false">
      <c r="A1893" s="26" t="s">
        <v>231</v>
      </c>
      <c r="B1893" s="26" t="s">
        <v>232</v>
      </c>
      <c r="C1893" s="14" t="n">
        <f aca="false">IF(A1893="","",IFERROR(VLOOKUP(A1893,'Recert Status'!$A$8:$C$400,3,FALSE()),""))</f>
        <v>46387</v>
      </c>
      <c r="D1893" s="18" t="s">
        <v>454</v>
      </c>
      <c r="E1893" s="26" t="s">
        <v>416</v>
      </c>
      <c r="F1893" s="27" t="n">
        <v>1</v>
      </c>
      <c r="G1893" s="28" t="n">
        <v>45824</v>
      </c>
      <c r="H1893" s="28" t="n">
        <v>45824</v>
      </c>
      <c r="I1893" s="18" t="s">
        <v>455</v>
      </c>
      <c r="J1893" s="26" t="s">
        <v>416</v>
      </c>
      <c r="K1893" s="18" t="s">
        <v>456</v>
      </c>
      <c r="L1893" s="27" t="n">
        <v>1</v>
      </c>
      <c r="M1893" s="39" t="s">
        <v>413</v>
      </c>
      <c r="N1893" s="18" t="s">
        <v>414</v>
      </c>
      <c r="O1893" s="27" t="n">
        <v>1</v>
      </c>
      <c r="P1893" s="15" t="n">
        <f aca="false">IF(A1893="","",IF(O1893&lt;&gt;"",O1893,IF(L1893&lt;&gt;"",L1893,F1893)))</f>
        <v>1</v>
      </c>
    </row>
    <row r="1894" customFormat="false" ht="15" hidden="false" customHeight="true" outlineLevel="0" collapsed="false">
      <c r="A1894" s="30" t="s">
        <v>231</v>
      </c>
      <c r="B1894" s="30" t="s">
        <v>232</v>
      </c>
      <c r="C1894" s="21" t="n">
        <f aca="false">IF(A1894="","",IFERROR(VLOOKUP(A1894,'Recert Status'!$A$8:$C$400,3,FALSE()),""))</f>
        <v>46387</v>
      </c>
      <c r="D1894" s="31" t="s">
        <v>454</v>
      </c>
      <c r="E1894" s="30" t="s">
        <v>416</v>
      </c>
      <c r="F1894" s="32" t="n">
        <v>1</v>
      </c>
      <c r="G1894" s="33" t="n">
        <v>45824</v>
      </c>
      <c r="H1894" s="33" t="n">
        <v>45824</v>
      </c>
      <c r="I1894" s="31" t="s">
        <v>455</v>
      </c>
      <c r="J1894" s="30" t="s">
        <v>416</v>
      </c>
      <c r="K1894" s="31" t="s">
        <v>456</v>
      </c>
      <c r="L1894" s="32" t="n">
        <v>1</v>
      </c>
      <c r="M1894" s="39" t="s">
        <v>413</v>
      </c>
      <c r="N1894" s="31" t="s">
        <v>414</v>
      </c>
      <c r="O1894" s="32" t="n">
        <v>1</v>
      </c>
      <c r="P1894" s="15" t="n">
        <f aca="false">IF(A1894="","",IF(O1894&lt;&gt;"",O1894,IF(L1894&lt;&gt;"",L1894,F1894)))</f>
        <v>1</v>
      </c>
    </row>
    <row r="1895" customFormat="false" ht="15" hidden="false" customHeight="true" outlineLevel="0" collapsed="false">
      <c r="A1895" s="26" t="s">
        <v>231</v>
      </c>
      <c r="B1895" s="26" t="s">
        <v>232</v>
      </c>
      <c r="C1895" s="14" t="n">
        <f aca="false">IF(A1895="","",IFERROR(VLOOKUP(A1895,'Recert Status'!$A$8:$C$400,3,FALSE()),""))</f>
        <v>46387</v>
      </c>
      <c r="D1895" s="18" t="s">
        <v>457</v>
      </c>
      <c r="E1895" s="26" t="s">
        <v>416</v>
      </c>
      <c r="F1895" s="27" t="n">
        <v>2</v>
      </c>
      <c r="G1895" s="28" t="n">
        <v>45860</v>
      </c>
      <c r="H1895" s="28" t="n">
        <v>45860</v>
      </c>
      <c r="I1895" s="18" t="s">
        <v>720</v>
      </c>
      <c r="J1895" s="26" t="s">
        <v>416</v>
      </c>
      <c r="K1895" s="18" t="s">
        <v>459</v>
      </c>
      <c r="L1895" s="27" t="n">
        <v>2</v>
      </c>
      <c r="M1895" s="39" t="s">
        <v>413</v>
      </c>
      <c r="N1895" s="18" t="s">
        <v>414</v>
      </c>
      <c r="O1895" s="27" t="n">
        <v>2</v>
      </c>
      <c r="P1895" s="15" t="n">
        <f aca="false">IF(A1895="","",IF(O1895&lt;&gt;"",O1895,IF(L1895&lt;&gt;"",L1895,F1895)))</f>
        <v>2</v>
      </c>
    </row>
    <row r="1896" customFormat="false" ht="15" hidden="false" customHeight="true" outlineLevel="0" collapsed="false">
      <c r="A1896" s="30" t="s">
        <v>231</v>
      </c>
      <c r="B1896" s="30" t="s">
        <v>232</v>
      </c>
      <c r="C1896" s="21" t="n">
        <f aca="false">IF(A1896="","",IFERROR(VLOOKUP(A1896,'Recert Status'!$A$8:$C$400,3,FALSE()),""))</f>
        <v>46387</v>
      </c>
      <c r="D1896" s="31" t="s">
        <v>1439</v>
      </c>
      <c r="E1896" s="30" t="s">
        <v>416</v>
      </c>
      <c r="F1896" s="32" t="n">
        <v>4</v>
      </c>
      <c r="G1896" s="33" t="n">
        <v>46085</v>
      </c>
      <c r="H1896" s="33" t="n">
        <v>46085</v>
      </c>
      <c r="I1896" s="31" t="s">
        <v>1440</v>
      </c>
      <c r="J1896" s="30" t="s">
        <v>416</v>
      </c>
      <c r="K1896" s="31" t="s">
        <v>1441</v>
      </c>
      <c r="L1896" s="32" t="n">
        <v>4</v>
      </c>
      <c r="M1896" s="39" t="s">
        <v>413</v>
      </c>
      <c r="N1896" s="31" t="s">
        <v>414</v>
      </c>
      <c r="O1896" s="32" t="n">
        <v>4</v>
      </c>
      <c r="P1896" s="15" t="n">
        <f aca="false">IF(A1896="","",IF(O1896&lt;&gt;"",O1896,IF(L1896&lt;&gt;"",L1896,F1896)))</f>
        <v>4</v>
      </c>
    </row>
    <row r="1897" customFormat="false" ht="15" hidden="false" customHeight="true" outlineLevel="0" collapsed="false">
      <c r="A1897" s="26" t="s">
        <v>231</v>
      </c>
      <c r="B1897" s="26" t="s">
        <v>232</v>
      </c>
      <c r="C1897" s="14" t="n">
        <f aca="false">IF(A1897="","",IFERROR(VLOOKUP(A1897,'Recert Status'!$A$8:$C$400,3,FALSE()),""))</f>
        <v>46387</v>
      </c>
      <c r="D1897" s="18" t="s">
        <v>488</v>
      </c>
      <c r="E1897" s="26" t="s">
        <v>416</v>
      </c>
      <c r="F1897" s="27" t="n">
        <v>1</v>
      </c>
      <c r="G1897" s="28" t="n">
        <v>46127</v>
      </c>
      <c r="H1897" s="28" t="n">
        <v>46127</v>
      </c>
      <c r="I1897" s="18" t="s">
        <v>534</v>
      </c>
      <c r="J1897" s="26" t="s">
        <v>416</v>
      </c>
      <c r="K1897" s="18" t="s">
        <v>490</v>
      </c>
      <c r="L1897" s="27" t="n">
        <v>1</v>
      </c>
      <c r="M1897" s="39" t="s">
        <v>413</v>
      </c>
      <c r="N1897" s="18" t="s">
        <v>414</v>
      </c>
      <c r="O1897" s="27" t="n">
        <v>1</v>
      </c>
      <c r="P1897" s="15" t="n">
        <f aca="false">IF(A1897="","",IF(O1897&lt;&gt;"",O1897,IF(L1897&lt;&gt;"",L1897,F1897)))</f>
        <v>1</v>
      </c>
    </row>
    <row r="1898" customFormat="false" ht="15" hidden="false" customHeight="true" outlineLevel="0" collapsed="false">
      <c r="A1898" s="30" t="s">
        <v>231</v>
      </c>
      <c r="B1898" s="30" t="s">
        <v>232</v>
      </c>
      <c r="C1898" s="21" t="n">
        <f aca="false">IF(A1898="","",IFERROR(VLOOKUP(A1898,'Recert Status'!$A$8:$C$400,3,FALSE()),""))</f>
        <v>46387</v>
      </c>
      <c r="D1898" s="31" t="s">
        <v>414</v>
      </c>
      <c r="E1898" s="30" t="s">
        <v>416</v>
      </c>
      <c r="F1898" s="32" t="n">
        <v>2</v>
      </c>
      <c r="G1898" s="33" t="n">
        <v>46217</v>
      </c>
      <c r="H1898" s="33" t="n">
        <v>46217</v>
      </c>
      <c r="I1898" s="31" t="s">
        <v>460</v>
      </c>
      <c r="J1898" s="30" t="s">
        <v>416</v>
      </c>
      <c r="K1898" s="31" t="s">
        <v>418</v>
      </c>
      <c r="L1898" s="32" t="n">
        <v>2</v>
      </c>
      <c r="M1898" s="39" t="s">
        <v>413</v>
      </c>
      <c r="N1898" s="31" t="s">
        <v>414</v>
      </c>
      <c r="O1898" s="32" t="n">
        <v>2</v>
      </c>
      <c r="P1898" s="15" t="n">
        <f aca="false">IF(A1898="","",IF(O1898&lt;&gt;"",O1898,IF(L1898&lt;&gt;"",L1898,F1898)))</f>
        <v>2</v>
      </c>
    </row>
    <row r="1899" customFormat="false" ht="15" hidden="false" customHeight="true" outlineLevel="0" collapsed="false">
      <c r="A1899" s="26" t="s">
        <v>233</v>
      </c>
      <c r="B1899" s="26" t="s">
        <v>234</v>
      </c>
      <c r="C1899" s="14" t="n">
        <f aca="false">IF(A1899="","",IFERROR(VLOOKUP(A1899,'Recert Status'!$A$8:$C$400,3,FALSE()),""))</f>
        <v>46752</v>
      </c>
      <c r="D1899" s="18" t="s">
        <v>880</v>
      </c>
      <c r="E1899" s="26" t="s">
        <v>363</v>
      </c>
      <c r="F1899" s="27" t="n">
        <v>1</v>
      </c>
      <c r="G1899" s="28" t="n">
        <v>45944</v>
      </c>
      <c r="H1899" s="28" t="n">
        <v>45944</v>
      </c>
      <c r="I1899" s="18" t="s">
        <v>1498</v>
      </c>
      <c r="J1899" s="26" t="s">
        <v>363</v>
      </c>
      <c r="K1899" s="18" t="s">
        <v>370</v>
      </c>
      <c r="L1899" s="27" t="n">
        <v>1</v>
      </c>
      <c r="M1899" s="29" t="s">
        <v>366</v>
      </c>
      <c r="N1899" s="18" t="s">
        <v>367</v>
      </c>
      <c r="O1899" s="27" t="n">
        <v>1</v>
      </c>
      <c r="P1899" s="15" t="n">
        <f aca="false">IF(A1899="","",IF(O1899&lt;&gt;"",O1899,IF(L1899&lt;&gt;"",L1899,F1899)))</f>
        <v>1</v>
      </c>
    </row>
    <row r="1900" customFormat="false" ht="15" hidden="false" customHeight="true" outlineLevel="0" collapsed="false">
      <c r="A1900" s="30" t="s">
        <v>233</v>
      </c>
      <c r="B1900" s="30" t="s">
        <v>234</v>
      </c>
      <c r="C1900" s="21" t="n">
        <f aca="false">IF(A1900="","",IFERROR(VLOOKUP(A1900,'Recert Status'!$A$8:$C$400,3,FALSE()),""))</f>
        <v>46752</v>
      </c>
      <c r="D1900" s="31" t="s">
        <v>1499</v>
      </c>
      <c r="E1900" s="30" t="n">
        <v>57404</v>
      </c>
      <c r="F1900" s="32" t="n">
        <v>1</v>
      </c>
      <c r="G1900" s="33" t="n">
        <v>45944</v>
      </c>
      <c r="H1900" s="33" t="n">
        <v>45944</v>
      </c>
      <c r="I1900" s="31" t="s">
        <v>1500</v>
      </c>
      <c r="J1900" s="30" t="s">
        <v>728</v>
      </c>
      <c r="K1900" s="31" t="s">
        <v>370</v>
      </c>
      <c r="L1900" s="32" t="n">
        <v>1</v>
      </c>
      <c r="M1900" s="29" t="s">
        <v>366</v>
      </c>
      <c r="N1900" s="31" t="s">
        <v>367</v>
      </c>
      <c r="O1900" s="32" t="n">
        <v>1</v>
      </c>
      <c r="P1900" s="15" t="n">
        <f aca="false">IF(A1900="","",IF(O1900&lt;&gt;"",O1900,IF(L1900&lt;&gt;"",L1900,F1900)))</f>
        <v>1</v>
      </c>
    </row>
    <row r="1901" customFormat="false" ht="15" hidden="false" customHeight="true" outlineLevel="0" collapsed="false">
      <c r="A1901" s="26" t="s">
        <v>233</v>
      </c>
      <c r="B1901" s="26" t="s">
        <v>234</v>
      </c>
      <c r="C1901" s="14" t="n">
        <f aca="false">IF(A1901="","",IFERROR(VLOOKUP(A1901,'Recert Status'!$A$8:$C$400,3,FALSE()),""))</f>
        <v>46752</v>
      </c>
      <c r="D1901" s="18" t="s">
        <v>1501</v>
      </c>
      <c r="E1901" s="26" t="n">
        <v>57404</v>
      </c>
      <c r="F1901" s="27" t="n">
        <v>0.5</v>
      </c>
      <c r="G1901" s="28" t="n">
        <v>45944</v>
      </c>
      <c r="H1901" s="28" t="n">
        <v>45944</v>
      </c>
      <c r="I1901" s="18" t="s">
        <v>1502</v>
      </c>
      <c r="J1901" s="26" t="s">
        <v>728</v>
      </c>
      <c r="K1901" s="18" t="s">
        <v>370</v>
      </c>
      <c r="L1901" s="27" t="n">
        <v>0.5</v>
      </c>
      <c r="M1901" s="29" t="s">
        <v>366</v>
      </c>
      <c r="N1901" s="18" t="s">
        <v>367</v>
      </c>
      <c r="O1901" s="27" t="n">
        <v>0.5</v>
      </c>
      <c r="P1901" s="15" t="n">
        <f aca="false">IF(A1901="","",IF(O1901&lt;&gt;"",O1901,IF(L1901&lt;&gt;"",L1901,F1901)))</f>
        <v>0.5</v>
      </c>
    </row>
    <row r="1902" customFormat="false" ht="15" hidden="false" customHeight="true" outlineLevel="0" collapsed="false">
      <c r="A1902" s="30" t="s">
        <v>233</v>
      </c>
      <c r="B1902" s="30" t="s">
        <v>234</v>
      </c>
      <c r="C1902" s="21" t="n">
        <f aca="false">IF(A1902="","",IFERROR(VLOOKUP(A1902,'Recert Status'!$A$8:$C$400,3,FALSE()),""))</f>
        <v>46752</v>
      </c>
      <c r="D1902" s="31" t="s">
        <v>1503</v>
      </c>
      <c r="E1902" s="30" t="n">
        <v>57408</v>
      </c>
      <c r="F1902" s="32" t="n">
        <v>0.5</v>
      </c>
      <c r="G1902" s="33" t="n">
        <v>45944</v>
      </c>
      <c r="H1902" s="33" t="n">
        <v>45944</v>
      </c>
      <c r="I1902" s="31" t="s">
        <v>1504</v>
      </c>
      <c r="J1902" s="30" t="s">
        <v>1068</v>
      </c>
      <c r="K1902" s="31" t="s">
        <v>422</v>
      </c>
      <c r="L1902" s="32" t="n">
        <v>0.5</v>
      </c>
      <c r="M1902" s="41" t="s">
        <v>429</v>
      </c>
      <c r="N1902" s="31" t="s">
        <v>430</v>
      </c>
      <c r="O1902" s="32" t="n">
        <v>0.5</v>
      </c>
      <c r="P1902" s="15" t="n">
        <f aca="false">IF(A1902="","",IF(O1902&lt;&gt;"",O1902,IF(L1902&lt;&gt;"",L1902,F1902)))</f>
        <v>0.5</v>
      </c>
    </row>
    <row r="1903" customFormat="false" ht="15" hidden="false" customHeight="true" outlineLevel="0" collapsed="false">
      <c r="A1903" s="26" t="s">
        <v>233</v>
      </c>
      <c r="B1903" s="26" t="s">
        <v>234</v>
      </c>
      <c r="C1903" s="14" t="n">
        <f aca="false">IF(A1903="","",IFERROR(VLOOKUP(A1903,'Recert Status'!$A$8:$C$400,3,FALSE()),""))</f>
        <v>46752</v>
      </c>
      <c r="D1903" s="18" t="s">
        <v>1069</v>
      </c>
      <c r="E1903" s="26" t="n">
        <v>29671</v>
      </c>
      <c r="F1903" s="27" t="n">
        <v>1</v>
      </c>
      <c r="G1903" s="28" t="n">
        <v>45945</v>
      </c>
      <c r="H1903" s="28" t="n">
        <v>45945</v>
      </c>
      <c r="I1903" s="18" t="s">
        <v>1505</v>
      </c>
      <c r="J1903" s="26" t="s">
        <v>1506</v>
      </c>
      <c r="K1903" s="18" t="s">
        <v>1507</v>
      </c>
      <c r="L1903" s="27" t="n">
        <v>1</v>
      </c>
      <c r="M1903" s="41" t="s">
        <v>429</v>
      </c>
      <c r="N1903" s="18" t="s">
        <v>430</v>
      </c>
      <c r="O1903" s="27" t="n">
        <v>1</v>
      </c>
      <c r="P1903" s="15" t="n">
        <f aca="false">IF(A1903="","",IF(O1903&lt;&gt;"",O1903,IF(L1903&lt;&gt;"",L1903,F1903)))</f>
        <v>1</v>
      </c>
    </row>
    <row r="1904" customFormat="false" ht="15" hidden="false" customHeight="true" outlineLevel="0" collapsed="false">
      <c r="A1904" s="30" t="s">
        <v>233</v>
      </c>
      <c r="B1904" s="30" t="s">
        <v>234</v>
      </c>
      <c r="C1904" s="21" t="n">
        <f aca="false">IF(A1904="","",IFERROR(VLOOKUP(A1904,'Recert Status'!$A$8:$C$400,3,FALSE()),""))</f>
        <v>46752</v>
      </c>
      <c r="D1904" s="31" t="s">
        <v>1310</v>
      </c>
      <c r="E1904" s="30" t="s">
        <v>426</v>
      </c>
      <c r="F1904" s="32" t="n">
        <v>1</v>
      </c>
      <c r="G1904" s="33" t="n">
        <v>45945</v>
      </c>
      <c r="H1904" s="33" t="n">
        <v>45945</v>
      </c>
      <c r="I1904" s="31" t="s">
        <v>1508</v>
      </c>
      <c r="J1904" s="30" t="s">
        <v>426</v>
      </c>
      <c r="K1904" s="31" t="s">
        <v>428</v>
      </c>
      <c r="L1904" s="32" t="n">
        <v>1</v>
      </c>
      <c r="M1904" s="41" t="s">
        <v>429</v>
      </c>
      <c r="N1904" s="31" t="s">
        <v>430</v>
      </c>
      <c r="O1904" s="32" t="n">
        <v>1</v>
      </c>
      <c r="P1904" s="15" t="n">
        <f aca="false">IF(A1904="","",IF(O1904&lt;&gt;"",O1904,IF(L1904&lt;&gt;"",L1904,F1904)))</f>
        <v>1</v>
      </c>
    </row>
    <row r="1905" customFormat="false" ht="15" hidden="false" customHeight="true" outlineLevel="0" collapsed="false">
      <c r="A1905" s="26" t="s">
        <v>233</v>
      </c>
      <c r="B1905" s="26" t="s">
        <v>234</v>
      </c>
      <c r="C1905" s="14" t="n">
        <f aca="false">IF(A1905="","",IFERROR(VLOOKUP(A1905,'Recert Status'!$A$8:$C$400,3,FALSE()),""))</f>
        <v>46752</v>
      </c>
      <c r="D1905" s="18" t="s">
        <v>1310</v>
      </c>
      <c r="E1905" s="26" t="s">
        <v>389</v>
      </c>
      <c r="F1905" s="27" t="n">
        <v>1</v>
      </c>
      <c r="G1905" s="28" t="n">
        <v>45945</v>
      </c>
      <c r="H1905" s="28" t="n">
        <v>45945</v>
      </c>
      <c r="I1905" s="18" t="s">
        <v>1509</v>
      </c>
      <c r="J1905" s="26" t="s">
        <v>389</v>
      </c>
      <c r="K1905" s="18" t="s">
        <v>428</v>
      </c>
      <c r="L1905" s="27" t="n">
        <v>1</v>
      </c>
      <c r="M1905" s="41" t="s">
        <v>429</v>
      </c>
      <c r="N1905" s="18" t="s">
        <v>430</v>
      </c>
      <c r="O1905" s="27" t="n">
        <v>1</v>
      </c>
      <c r="P1905" s="15" t="n">
        <f aca="false">IF(A1905="","",IF(O1905&lt;&gt;"",O1905,IF(L1905&lt;&gt;"",L1905,F1905)))</f>
        <v>1</v>
      </c>
    </row>
    <row r="1906" customFormat="false" ht="15" hidden="false" customHeight="true" outlineLevel="0" collapsed="false">
      <c r="A1906" s="30" t="s">
        <v>233</v>
      </c>
      <c r="B1906" s="30" t="s">
        <v>234</v>
      </c>
      <c r="C1906" s="21" t="n">
        <f aca="false">IF(A1906="","",IFERROR(VLOOKUP(A1906,'Recert Status'!$A$8:$C$400,3,FALSE()),""))</f>
        <v>46752</v>
      </c>
      <c r="D1906" s="31" t="s">
        <v>1510</v>
      </c>
      <c r="E1906" s="30" t="n">
        <v>57408</v>
      </c>
      <c r="F1906" s="32" t="n">
        <v>0.5</v>
      </c>
      <c r="G1906" s="33" t="n">
        <v>45945</v>
      </c>
      <c r="H1906" s="33" t="n">
        <v>45945</v>
      </c>
      <c r="I1906" s="31" t="s">
        <v>1511</v>
      </c>
      <c r="J1906" s="30" t="s">
        <v>1068</v>
      </c>
      <c r="K1906" s="31" t="s">
        <v>428</v>
      </c>
      <c r="L1906" s="32" t="n">
        <v>0.5</v>
      </c>
      <c r="M1906" s="41" t="s">
        <v>429</v>
      </c>
      <c r="N1906" s="31" t="s">
        <v>430</v>
      </c>
      <c r="O1906" s="32" t="n">
        <v>0.5</v>
      </c>
      <c r="P1906" s="15" t="n">
        <f aca="false">IF(A1906="","",IF(O1906&lt;&gt;"",O1906,IF(L1906&lt;&gt;"",L1906,F1906)))</f>
        <v>0.5</v>
      </c>
    </row>
    <row r="1907" customFormat="false" ht="15" hidden="false" customHeight="true" outlineLevel="0" collapsed="false">
      <c r="A1907" s="26" t="s">
        <v>233</v>
      </c>
      <c r="B1907" s="26" t="s">
        <v>234</v>
      </c>
      <c r="C1907" s="14" t="n">
        <f aca="false">IF(A1907="","",IFERROR(VLOOKUP(A1907,'Recert Status'!$A$8:$C$400,3,FALSE()),""))</f>
        <v>46752</v>
      </c>
      <c r="D1907" s="18" t="s">
        <v>1512</v>
      </c>
      <c r="E1907" s="26" t="s">
        <v>426</v>
      </c>
      <c r="F1907" s="27" t="n">
        <v>0.5</v>
      </c>
      <c r="G1907" s="28" t="n">
        <v>45946</v>
      </c>
      <c r="H1907" s="28" t="n">
        <v>45946</v>
      </c>
      <c r="I1907" s="18" t="s">
        <v>1513</v>
      </c>
      <c r="J1907" s="26" t="s">
        <v>426</v>
      </c>
      <c r="K1907" s="18" t="s">
        <v>428</v>
      </c>
      <c r="L1907" s="27" t="n">
        <v>0.5</v>
      </c>
      <c r="M1907" s="41" t="s">
        <v>429</v>
      </c>
      <c r="N1907" s="18" t="s">
        <v>430</v>
      </c>
      <c r="O1907" s="27" t="n">
        <v>0.5</v>
      </c>
      <c r="P1907" s="15" t="n">
        <f aca="false">IF(A1907="","",IF(O1907&lt;&gt;"",O1907,IF(L1907&lt;&gt;"",L1907,F1907)))</f>
        <v>0.5</v>
      </c>
    </row>
    <row r="1908" customFormat="false" ht="15" hidden="false" customHeight="true" outlineLevel="0" collapsed="false">
      <c r="A1908" s="30" t="s">
        <v>233</v>
      </c>
      <c r="B1908" s="30" t="s">
        <v>234</v>
      </c>
      <c r="C1908" s="21" t="n">
        <f aca="false">IF(A1908="","",IFERROR(VLOOKUP(A1908,'Recert Status'!$A$8:$C$400,3,FALSE()),""))</f>
        <v>46752</v>
      </c>
      <c r="D1908" s="31" t="s">
        <v>1514</v>
      </c>
      <c r="E1908" s="30" t="s">
        <v>426</v>
      </c>
      <c r="F1908" s="32" t="n">
        <v>1</v>
      </c>
      <c r="G1908" s="33" t="n">
        <v>45946</v>
      </c>
      <c r="H1908" s="33" t="n">
        <v>45946</v>
      </c>
      <c r="I1908" s="31" t="s">
        <v>1515</v>
      </c>
      <c r="J1908" s="30" t="s">
        <v>426</v>
      </c>
      <c r="K1908" s="31" t="s">
        <v>428</v>
      </c>
      <c r="L1908" s="32" t="n">
        <v>1</v>
      </c>
      <c r="M1908" s="41" t="s">
        <v>429</v>
      </c>
      <c r="N1908" s="31" t="s">
        <v>430</v>
      </c>
      <c r="O1908" s="32" t="n">
        <v>1</v>
      </c>
      <c r="P1908" s="15" t="n">
        <f aca="false">IF(A1908="","",IF(O1908&lt;&gt;"",O1908,IF(L1908&lt;&gt;"",L1908,F1908)))</f>
        <v>1</v>
      </c>
    </row>
    <row r="1909" customFormat="false" ht="15" hidden="false" customHeight="true" outlineLevel="0" collapsed="false">
      <c r="A1909" s="26" t="s">
        <v>233</v>
      </c>
      <c r="B1909" s="26" t="s">
        <v>234</v>
      </c>
      <c r="C1909" s="14" t="n">
        <f aca="false">IF(A1909="","",IFERROR(VLOOKUP(A1909,'Recert Status'!$A$8:$C$400,3,FALSE()),""))</f>
        <v>46752</v>
      </c>
      <c r="D1909" s="18" t="s">
        <v>1516</v>
      </c>
      <c r="E1909" s="26" t="s">
        <v>426</v>
      </c>
      <c r="F1909" s="27" t="n">
        <v>1</v>
      </c>
      <c r="G1909" s="28" t="n">
        <v>45946</v>
      </c>
      <c r="H1909" s="28" t="n">
        <v>45946</v>
      </c>
      <c r="I1909" s="18" t="s">
        <v>1517</v>
      </c>
      <c r="J1909" s="26" t="s">
        <v>426</v>
      </c>
      <c r="K1909" s="18" t="s">
        <v>428</v>
      </c>
      <c r="L1909" s="27" t="n">
        <v>1</v>
      </c>
      <c r="M1909" s="41" t="s">
        <v>429</v>
      </c>
      <c r="N1909" s="18" t="s">
        <v>430</v>
      </c>
      <c r="O1909" s="27" t="n">
        <v>1</v>
      </c>
      <c r="P1909" s="15" t="n">
        <f aca="false">IF(A1909="","",IF(O1909&lt;&gt;"",O1909,IF(L1909&lt;&gt;"",L1909,F1909)))</f>
        <v>1</v>
      </c>
    </row>
    <row r="1910" customFormat="false" ht="15" hidden="false" customHeight="true" outlineLevel="0" collapsed="false">
      <c r="A1910" s="30" t="s">
        <v>233</v>
      </c>
      <c r="B1910" s="30" t="s">
        <v>234</v>
      </c>
      <c r="C1910" s="21" t="n">
        <f aca="false">IF(A1910="","",IFERROR(VLOOKUP(A1910,'Recert Status'!$A$8:$C$400,3,FALSE()),""))</f>
        <v>46752</v>
      </c>
      <c r="D1910" s="31" t="s">
        <v>880</v>
      </c>
      <c r="E1910" s="30" t="n">
        <v>57404</v>
      </c>
      <c r="F1910" s="32" t="n">
        <v>1</v>
      </c>
      <c r="G1910" s="33" t="n">
        <v>45944</v>
      </c>
      <c r="H1910" s="33" t="n">
        <v>45944</v>
      </c>
      <c r="I1910" s="31" t="s">
        <v>1518</v>
      </c>
      <c r="J1910" s="30" t="s">
        <v>728</v>
      </c>
      <c r="K1910" s="31" t="s">
        <v>370</v>
      </c>
      <c r="L1910" s="32" t="n">
        <v>1</v>
      </c>
      <c r="M1910" s="35" t="s">
        <v>386</v>
      </c>
      <c r="N1910" s="31" t="s">
        <v>387</v>
      </c>
      <c r="O1910" s="32" t="n">
        <v>1</v>
      </c>
      <c r="P1910" s="15" t="n">
        <f aca="false">IF(A1910="","",IF(O1910&lt;&gt;"",O1910,IF(L1910&lt;&gt;"",L1910,F1910)))</f>
        <v>1</v>
      </c>
    </row>
    <row r="1911" customFormat="false" ht="15" hidden="false" customHeight="true" outlineLevel="0" collapsed="false">
      <c r="A1911" s="26" t="s">
        <v>233</v>
      </c>
      <c r="B1911" s="26" t="s">
        <v>234</v>
      </c>
      <c r="C1911" s="14" t="n">
        <f aca="false">IF(A1911="","",IFERROR(VLOOKUP(A1911,'Recert Status'!$A$8:$C$400,3,FALSE()),""))</f>
        <v>46752</v>
      </c>
      <c r="D1911" s="18" t="s">
        <v>1519</v>
      </c>
      <c r="E1911" s="26" t="n">
        <v>57408</v>
      </c>
      <c r="F1911" s="27" t="n">
        <v>1.5</v>
      </c>
      <c r="G1911" s="28" t="n">
        <v>45945</v>
      </c>
      <c r="H1911" s="28" t="n">
        <v>45945</v>
      </c>
      <c r="I1911" s="18" t="s">
        <v>1520</v>
      </c>
      <c r="J1911" s="26" t="s">
        <v>1068</v>
      </c>
      <c r="K1911" s="18" t="s">
        <v>428</v>
      </c>
      <c r="L1911" s="27" t="n">
        <v>1.5</v>
      </c>
      <c r="M1911" s="35" t="s">
        <v>386</v>
      </c>
      <c r="N1911" s="18" t="s">
        <v>387</v>
      </c>
      <c r="O1911" s="27" t="n">
        <v>1.5</v>
      </c>
      <c r="P1911" s="15" t="n">
        <f aca="false">IF(A1911="","",IF(O1911&lt;&gt;"",O1911,IF(L1911&lt;&gt;"",L1911,F1911)))</f>
        <v>1.5</v>
      </c>
    </row>
    <row r="1912" customFormat="false" ht="15" hidden="false" customHeight="true" outlineLevel="0" collapsed="false">
      <c r="A1912" s="30" t="s">
        <v>233</v>
      </c>
      <c r="B1912" s="30" t="s">
        <v>234</v>
      </c>
      <c r="C1912" s="21" t="n">
        <f aca="false">IF(A1912="","",IFERROR(VLOOKUP(A1912,'Recert Status'!$A$8:$C$400,3,FALSE()),""))</f>
        <v>46752</v>
      </c>
      <c r="D1912" s="31" t="s">
        <v>1521</v>
      </c>
      <c r="E1912" s="30" t="n">
        <v>57435</v>
      </c>
      <c r="F1912" s="32" t="n">
        <v>0.5</v>
      </c>
      <c r="G1912" s="33" t="n">
        <v>45950</v>
      </c>
      <c r="H1912" s="33" t="n">
        <v>45950</v>
      </c>
      <c r="I1912" s="31" t="s">
        <v>1522</v>
      </c>
      <c r="J1912" s="30" t="s">
        <v>593</v>
      </c>
      <c r="K1912" s="31" t="s">
        <v>509</v>
      </c>
      <c r="L1912" s="32" t="n">
        <v>0.5</v>
      </c>
      <c r="M1912" s="35" t="s">
        <v>386</v>
      </c>
      <c r="N1912" s="31" t="s">
        <v>387</v>
      </c>
      <c r="O1912" s="32" t="n">
        <v>0.5</v>
      </c>
      <c r="P1912" s="15" t="n">
        <f aca="false">IF(A1912="","",IF(O1912&lt;&gt;"",O1912,IF(L1912&lt;&gt;"",L1912,F1912)))</f>
        <v>0.5</v>
      </c>
    </row>
    <row r="1913" customFormat="false" ht="15" hidden="false" customHeight="true" outlineLevel="0" collapsed="false">
      <c r="A1913" s="26" t="s">
        <v>233</v>
      </c>
      <c r="B1913" s="26" t="s">
        <v>234</v>
      </c>
      <c r="C1913" s="14" t="n">
        <f aca="false">IF(A1913="","",IFERROR(VLOOKUP(A1913,'Recert Status'!$A$8:$C$400,3,FALSE()),""))</f>
        <v>46752</v>
      </c>
      <c r="D1913" s="18" t="s">
        <v>1523</v>
      </c>
      <c r="E1913" s="26" t="s">
        <v>389</v>
      </c>
      <c r="F1913" s="27" t="n">
        <v>0.5</v>
      </c>
      <c r="G1913" s="28" t="n">
        <v>45950</v>
      </c>
      <c r="H1913" s="28" t="n">
        <v>45950</v>
      </c>
      <c r="I1913" s="18" t="s">
        <v>1522</v>
      </c>
      <c r="J1913" s="26" t="s">
        <v>389</v>
      </c>
      <c r="K1913" s="18" t="s">
        <v>735</v>
      </c>
      <c r="L1913" s="27" t="n">
        <v>0.5</v>
      </c>
      <c r="M1913" s="35" t="s">
        <v>386</v>
      </c>
      <c r="N1913" s="18" t="s">
        <v>387</v>
      </c>
      <c r="O1913" s="27" t="n">
        <v>0.5</v>
      </c>
      <c r="P1913" s="15" t="n">
        <f aca="false">IF(A1913="","",IF(O1913&lt;&gt;"",O1913,IF(L1913&lt;&gt;"",L1913,F1913)))</f>
        <v>0.5</v>
      </c>
    </row>
    <row r="1914" customFormat="false" ht="15" hidden="false" customHeight="true" outlineLevel="0" collapsed="false">
      <c r="A1914" s="30" t="s">
        <v>233</v>
      </c>
      <c r="B1914" s="30" t="s">
        <v>234</v>
      </c>
      <c r="C1914" s="21" t="n">
        <f aca="false">IF(A1914="","",IFERROR(VLOOKUP(A1914,'Recert Status'!$A$8:$C$400,3,FALSE()),""))</f>
        <v>46752</v>
      </c>
      <c r="D1914" s="31" t="s">
        <v>1524</v>
      </c>
      <c r="E1914" s="30" t="n">
        <v>57435</v>
      </c>
      <c r="F1914" s="32" t="n">
        <v>2</v>
      </c>
      <c r="G1914" s="33" t="n">
        <v>45950</v>
      </c>
      <c r="H1914" s="33" t="n">
        <v>45950</v>
      </c>
      <c r="I1914" s="31" t="s">
        <v>1522</v>
      </c>
      <c r="J1914" s="30" t="s">
        <v>593</v>
      </c>
      <c r="K1914" s="31" t="s">
        <v>766</v>
      </c>
      <c r="L1914" s="32" t="n">
        <v>2</v>
      </c>
      <c r="M1914" s="35" t="s">
        <v>386</v>
      </c>
      <c r="N1914" s="31" t="s">
        <v>387</v>
      </c>
      <c r="O1914" s="32" t="n">
        <v>2</v>
      </c>
      <c r="P1914" s="15" t="n">
        <f aca="false">IF(A1914="","",IF(O1914&lt;&gt;"",O1914,IF(L1914&lt;&gt;"",L1914,F1914)))</f>
        <v>2</v>
      </c>
    </row>
    <row r="1915" customFormat="false" ht="15" hidden="false" customHeight="true" outlineLevel="0" collapsed="false">
      <c r="A1915" s="26" t="s">
        <v>233</v>
      </c>
      <c r="B1915" s="26" t="s">
        <v>234</v>
      </c>
      <c r="C1915" s="14" t="n">
        <f aca="false">IF(A1915="","",IFERROR(VLOOKUP(A1915,'Recert Status'!$A$8:$C$400,3,FALSE()),""))</f>
        <v>46752</v>
      </c>
      <c r="D1915" s="18" t="s">
        <v>1525</v>
      </c>
      <c r="E1915" s="26" t="s">
        <v>389</v>
      </c>
      <c r="F1915" s="27" t="n">
        <v>1</v>
      </c>
      <c r="G1915" s="28" t="n">
        <v>45951</v>
      </c>
      <c r="H1915" s="28" t="n">
        <v>45951</v>
      </c>
      <c r="I1915" s="18" t="s">
        <v>1522</v>
      </c>
      <c r="J1915" s="26" t="s">
        <v>389</v>
      </c>
      <c r="K1915" s="18" t="s">
        <v>395</v>
      </c>
      <c r="L1915" s="27" t="n">
        <v>1</v>
      </c>
      <c r="M1915" s="35" t="s">
        <v>386</v>
      </c>
      <c r="N1915" s="18" t="s">
        <v>387</v>
      </c>
      <c r="O1915" s="27" t="n">
        <v>1</v>
      </c>
      <c r="P1915" s="15" t="n">
        <f aca="false">IF(A1915="","",IF(O1915&lt;&gt;"",O1915,IF(L1915&lt;&gt;"",L1915,F1915)))</f>
        <v>1</v>
      </c>
    </row>
    <row r="1916" customFormat="false" ht="15" hidden="false" customHeight="true" outlineLevel="0" collapsed="false">
      <c r="A1916" s="30" t="s">
        <v>233</v>
      </c>
      <c r="B1916" s="30" t="s">
        <v>234</v>
      </c>
      <c r="C1916" s="21" t="n">
        <f aca="false">IF(A1916="","",IFERROR(VLOOKUP(A1916,'Recert Status'!$A$8:$C$400,3,FALSE()),""))</f>
        <v>46752</v>
      </c>
      <c r="D1916" s="31" t="s">
        <v>1526</v>
      </c>
      <c r="E1916" s="30" t="s">
        <v>389</v>
      </c>
      <c r="F1916" s="32" t="n">
        <v>1</v>
      </c>
      <c r="G1916" s="33" t="n">
        <v>45951</v>
      </c>
      <c r="H1916" s="33" t="n">
        <v>45951</v>
      </c>
      <c r="I1916" s="31" t="s">
        <v>1522</v>
      </c>
      <c r="J1916" s="30" t="s">
        <v>389</v>
      </c>
      <c r="K1916" s="31" t="s">
        <v>395</v>
      </c>
      <c r="L1916" s="32" t="n">
        <v>1</v>
      </c>
      <c r="M1916" s="35" t="s">
        <v>386</v>
      </c>
      <c r="N1916" s="31" t="s">
        <v>387</v>
      </c>
      <c r="O1916" s="32" t="n">
        <v>1</v>
      </c>
      <c r="P1916" s="15" t="n">
        <f aca="false">IF(A1916="","",IF(O1916&lt;&gt;"",O1916,IF(L1916&lt;&gt;"",L1916,F1916)))</f>
        <v>1</v>
      </c>
    </row>
    <row r="1917" customFormat="false" ht="15" hidden="false" customHeight="true" outlineLevel="0" collapsed="false">
      <c r="A1917" s="26" t="s">
        <v>233</v>
      </c>
      <c r="B1917" s="26" t="s">
        <v>234</v>
      </c>
      <c r="C1917" s="14" t="n">
        <f aca="false">IF(A1917="","",IFERROR(VLOOKUP(A1917,'Recert Status'!$A$8:$C$400,3,FALSE()),""))</f>
        <v>46752</v>
      </c>
      <c r="D1917" s="18" t="s">
        <v>1527</v>
      </c>
      <c r="E1917" s="26" t="s">
        <v>389</v>
      </c>
      <c r="F1917" s="27" t="n">
        <v>1</v>
      </c>
      <c r="G1917" s="28" t="n">
        <v>45951</v>
      </c>
      <c r="H1917" s="28" t="n">
        <v>45951</v>
      </c>
      <c r="I1917" s="18" t="s">
        <v>1522</v>
      </c>
      <c r="J1917" s="26" t="s">
        <v>389</v>
      </c>
      <c r="K1917" s="18" t="s">
        <v>655</v>
      </c>
      <c r="L1917" s="27" t="n">
        <v>1</v>
      </c>
      <c r="M1917" s="35" t="s">
        <v>386</v>
      </c>
      <c r="N1917" s="18" t="s">
        <v>387</v>
      </c>
      <c r="O1917" s="27" t="n">
        <v>1</v>
      </c>
      <c r="P1917" s="15" t="n">
        <f aca="false">IF(A1917="","",IF(O1917&lt;&gt;"",O1917,IF(L1917&lt;&gt;"",L1917,F1917)))</f>
        <v>1</v>
      </c>
    </row>
    <row r="1918" customFormat="false" ht="15" hidden="false" customHeight="true" outlineLevel="0" collapsed="false">
      <c r="A1918" s="30" t="s">
        <v>233</v>
      </c>
      <c r="B1918" s="30" t="s">
        <v>234</v>
      </c>
      <c r="C1918" s="21" t="n">
        <f aca="false">IF(A1918="","",IFERROR(VLOOKUP(A1918,'Recert Status'!$A$8:$C$400,3,FALSE()),""))</f>
        <v>46752</v>
      </c>
      <c r="D1918" s="31" t="s">
        <v>1528</v>
      </c>
      <c r="E1918" s="30" t="s">
        <v>389</v>
      </c>
      <c r="F1918" s="32" t="n">
        <v>1</v>
      </c>
      <c r="G1918" s="33" t="n">
        <v>45952</v>
      </c>
      <c r="H1918" s="33" t="n">
        <v>45952</v>
      </c>
      <c r="I1918" s="31" t="s">
        <v>1522</v>
      </c>
      <c r="J1918" s="30" t="s">
        <v>389</v>
      </c>
      <c r="K1918" s="31" t="s">
        <v>446</v>
      </c>
      <c r="L1918" s="32" t="n">
        <v>1</v>
      </c>
      <c r="M1918" s="35" t="s">
        <v>386</v>
      </c>
      <c r="N1918" s="31" t="s">
        <v>387</v>
      </c>
      <c r="O1918" s="32" t="n">
        <v>1</v>
      </c>
      <c r="P1918" s="15" t="n">
        <f aca="false">IF(A1918="","",IF(O1918&lt;&gt;"",O1918,IF(L1918&lt;&gt;"",L1918,F1918)))</f>
        <v>1</v>
      </c>
    </row>
    <row r="1919" customFormat="false" ht="15" hidden="false" customHeight="true" outlineLevel="0" collapsed="false">
      <c r="A1919" s="26" t="s">
        <v>233</v>
      </c>
      <c r="B1919" s="26" t="s">
        <v>234</v>
      </c>
      <c r="C1919" s="14" t="n">
        <f aca="false">IF(A1919="","",IFERROR(VLOOKUP(A1919,'Recert Status'!$A$8:$C$400,3,FALSE()),""))</f>
        <v>46752</v>
      </c>
      <c r="D1919" s="18" t="s">
        <v>1529</v>
      </c>
      <c r="E1919" s="26" t="s">
        <v>389</v>
      </c>
      <c r="F1919" s="27" t="n">
        <v>0.5</v>
      </c>
      <c r="G1919" s="28" t="n">
        <v>45952</v>
      </c>
      <c r="H1919" s="28" t="n">
        <v>45952</v>
      </c>
      <c r="I1919" s="18" t="s">
        <v>1522</v>
      </c>
      <c r="J1919" s="26" t="s">
        <v>389</v>
      </c>
      <c r="K1919" s="18" t="s">
        <v>735</v>
      </c>
      <c r="L1919" s="27" t="n">
        <v>0.5</v>
      </c>
      <c r="M1919" s="35" t="s">
        <v>386</v>
      </c>
      <c r="N1919" s="18" t="s">
        <v>387</v>
      </c>
      <c r="O1919" s="27" t="n">
        <v>0.5</v>
      </c>
      <c r="P1919" s="15" t="n">
        <f aca="false">IF(A1919="","",IF(O1919&lt;&gt;"",O1919,IF(L1919&lt;&gt;"",L1919,F1919)))</f>
        <v>0.5</v>
      </c>
    </row>
    <row r="1920" customFormat="false" ht="15" hidden="false" customHeight="true" outlineLevel="0" collapsed="false">
      <c r="A1920" s="30" t="s">
        <v>233</v>
      </c>
      <c r="B1920" s="30" t="s">
        <v>234</v>
      </c>
      <c r="C1920" s="21" t="n">
        <f aca="false">IF(A1920="","",IFERROR(VLOOKUP(A1920,'Recert Status'!$A$8:$C$400,3,FALSE()),""))</f>
        <v>46752</v>
      </c>
      <c r="D1920" s="31" t="s">
        <v>1530</v>
      </c>
      <c r="E1920" s="30" t="s">
        <v>389</v>
      </c>
      <c r="F1920" s="32" t="n">
        <v>0.5</v>
      </c>
      <c r="G1920" s="33" t="n">
        <v>45952</v>
      </c>
      <c r="H1920" s="33" t="n">
        <v>45952</v>
      </c>
      <c r="I1920" s="31" t="s">
        <v>1522</v>
      </c>
      <c r="J1920" s="30" t="s">
        <v>389</v>
      </c>
      <c r="K1920" s="31" t="s">
        <v>446</v>
      </c>
      <c r="L1920" s="32" t="n">
        <v>0.5</v>
      </c>
      <c r="M1920" s="35" t="s">
        <v>386</v>
      </c>
      <c r="N1920" s="31" t="s">
        <v>387</v>
      </c>
      <c r="O1920" s="32" t="n">
        <v>0.5</v>
      </c>
      <c r="P1920" s="15" t="n">
        <f aca="false">IF(A1920="","",IF(O1920&lt;&gt;"",O1920,IF(L1920&lt;&gt;"",L1920,F1920)))</f>
        <v>0.5</v>
      </c>
    </row>
    <row r="1921" customFormat="false" ht="15" hidden="false" customHeight="true" outlineLevel="0" collapsed="false">
      <c r="A1921" s="26" t="s">
        <v>233</v>
      </c>
      <c r="B1921" s="26" t="s">
        <v>234</v>
      </c>
      <c r="C1921" s="14" t="n">
        <f aca="false">IF(A1921="","",IFERROR(VLOOKUP(A1921,'Recert Status'!$A$8:$C$400,3,FALSE()),""))</f>
        <v>46752</v>
      </c>
      <c r="D1921" s="18" t="s">
        <v>1531</v>
      </c>
      <c r="E1921" s="26" t="s">
        <v>389</v>
      </c>
      <c r="F1921" s="27" t="n">
        <v>0.5</v>
      </c>
      <c r="G1921" s="28" t="n">
        <v>45952</v>
      </c>
      <c r="H1921" s="28" t="n">
        <v>45952</v>
      </c>
      <c r="I1921" s="18" t="s">
        <v>1522</v>
      </c>
      <c r="J1921" s="26" t="s">
        <v>389</v>
      </c>
      <c r="K1921" s="18" t="s">
        <v>1532</v>
      </c>
      <c r="L1921" s="27" t="n">
        <v>0.5</v>
      </c>
      <c r="M1921" s="35" t="s">
        <v>386</v>
      </c>
      <c r="N1921" s="18" t="s">
        <v>387</v>
      </c>
      <c r="O1921" s="27" t="n">
        <v>0.5</v>
      </c>
      <c r="P1921" s="15" t="n">
        <f aca="false">IF(A1921="","",IF(O1921&lt;&gt;"",O1921,IF(L1921&lt;&gt;"",L1921,F1921)))</f>
        <v>0.5</v>
      </c>
    </row>
    <row r="1922" customFormat="false" ht="15" hidden="false" customHeight="true" outlineLevel="0" collapsed="false">
      <c r="A1922" s="30" t="s">
        <v>233</v>
      </c>
      <c r="B1922" s="30" t="s">
        <v>234</v>
      </c>
      <c r="C1922" s="21" t="n">
        <f aca="false">IF(A1922="","",IFERROR(VLOOKUP(A1922,'Recert Status'!$A$8:$C$400,3,FALSE()),""))</f>
        <v>46752</v>
      </c>
      <c r="D1922" s="31" t="s">
        <v>1533</v>
      </c>
      <c r="E1922" s="30" t="s">
        <v>452</v>
      </c>
      <c r="F1922" s="32" t="n">
        <v>1</v>
      </c>
      <c r="G1922" s="33" t="n">
        <v>45952</v>
      </c>
      <c r="H1922" s="33" t="n">
        <v>45952</v>
      </c>
      <c r="I1922" s="31" t="s">
        <v>1522</v>
      </c>
      <c r="J1922" s="30" t="s">
        <v>452</v>
      </c>
      <c r="K1922" s="31" t="s">
        <v>385</v>
      </c>
      <c r="L1922" s="32" t="n">
        <v>1</v>
      </c>
      <c r="M1922" s="36" t="s">
        <v>396</v>
      </c>
      <c r="N1922" s="31" t="s">
        <v>397</v>
      </c>
      <c r="O1922" s="32" t="n">
        <v>1</v>
      </c>
      <c r="P1922" s="15" t="n">
        <f aca="false">IF(A1922="","",IF(O1922&lt;&gt;"",O1922,IF(L1922&lt;&gt;"",L1922,F1922)))</f>
        <v>1</v>
      </c>
    </row>
    <row r="1923" customFormat="false" ht="15" hidden="false" customHeight="true" outlineLevel="0" collapsed="false">
      <c r="A1923" s="26" t="s">
        <v>233</v>
      </c>
      <c r="B1923" s="26" t="s">
        <v>234</v>
      </c>
      <c r="C1923" s="14" t="n">
        <f aca="false">IF(A1923="","",IFERROR(VLOOKUP(A1923,'Recert Status'!$A$8:$C$400,3,FALSE()),""))</f>
        <v>46752</v>
      </c>
      <c r="D1923" s="18" t="s">
        <v>1534</v>
      </c>
      <c r="E1923" s="26" t="s">
        <v>452</v>
      </c>
      <c r="F1923" s="27" t="n">
        <v>1</v>
      </c>
      <c r="G1923" s="28" t="n">
        <v>45953</v>
      </c>
      <c r="H1923" s="28" t="n">
        <v>45953</v>
      </c>
      <c r="I1923" s="18" t="s">
        <v>1522</v>
      </c>
      <c r="J1923" s="26" t="s">
        <v>452</v>
      </c>
      <c r="K1923" s="18" t="s">
        <v>385</v>
      </c>
      <c r="L1923" s="27" t="n">
        <v>1</v>
      </c>
      <c r="M1923" s="36" t="s">
        <v>396</v>
      </c>
      <c r="N1923" s="18" t="s">
        <v>397</v>
      </c>
      <c r="O1923" s="27" t="n">
        <v>1</v>
      </c>
      <c r="P1923" s="15" t="n">
        <f aca="false">IF(A1923="","",IF(O1923&lt;&gt;"",O1923,IF(L1923&lt;&gt;"",L1923,F1923)))</f>
        <v>1</v>
      </c>
    </row>
    <row r="1924" customFormat="false" ht="15" hidden="false" customHeight="true" outlineLevel="0" collapsed="false">
      <c r="A1924" s="30" t="s">
        <v>233</v>
      </c>
      <c r="B1924" s="30" t="s">
        <v>234</v>
      </c>
      <c r="C1924" s="21" t="n">
        <f aca="false">IF(A1924="","",IFERROR(VLOOKUP(A1924,'Recert Status'!$A$8:$C$400,3,FALSE()),""))</f>
        <v>46752</v>
      </c>
      <c r="D1924" s="31" t="s">
        <v>1535</v>
      </c>
      <c r="E1924" s="30" t="n">
        <v>35513</v>
      </c>
      <c r="F1924" s="32" t="n">
        <v>1</v>
      </c>
      <c r="G1924" s="33" t="n">
        <v>45953</v>
      </c>
      <c r="H1924" s="33" t="n">
        <v>45953</v>
      </c>
      <c r="I1924" s="31" t="s">
        <v>1522</v>
      </c>
      <c r="J1924" s="30" t="s">
        <v>384</v>
      </c>
      <c r="K1924" s="31" t="s">
        <v>385</v>
      </c>
      <c r="L1924" s="32" t="n">
        <v>1</v>
      </c>
      <c r="M1924" s="36" t="s">
        <v>396</v>
      </c>
      <c r="N1924" s="31" t="s">
        <v>397</v>
      </c>
      <c r="O1924" s="32" t="n">
        <v>1</v>
      </c>
      <c r="P1924" s="15" t="n">
        <f aca="false">IF(A1924="","",IF(O1924&lt;&gt;"",O1924,IF(L1924&lt;&gt;"",L1924,F1924)))</f>
        <v>1</v>
      </c>
    </row>
    <row r="1925" customFormat="false" ht="15" hidden="false" customHeight="true" outlineLevel="0" collapsed="false">
      <c r="A1925" s="26" t="s">
        <v>233</v>
      </c>
      <c r="B1925" s="26" t="s">
        <v>234</v>
      </c>
      <c r="C1925" s="14" t="n">
        <f aca="false">IF(A1925="","",IFERROR(VLOOKUP(A1925,'Recert Status'!$A$8:$C$400,3,FALSE()),""))</f>
        <v>46752</v>
      </c>
      <c r="D1925" s="18" t="s">
        <v>1536</v>
      </c>
      <c r="E1925" s="26" t="s">
        <v>452</v>
      </c>
      <c r="F1925" s="27" t="n">
        <v>0.5</v>
      </c>
      <c r="G1925" s="28" t="n">
        <v>45953</v>
      </c>
      <c r="H1925" s="28" t="n">
        <v>45953</v>
      </c>
      <c r="I1925" s="18" t="s">
        <v>1522</v>
      </c>
      <c r="J1925" s="26" t="s">
        <v>452</v>
      </c>
      <c r="K1925" s="18" t="s">
        <v>385</v>
      </c>
      <c r="L1925" s="27" t="n">
        <v>0.5</v>
      </c>
      <c r="M1925" s="36" t="s">
        <v>396</v>
      </c>
      <c r="N1925" s="18" t="s">
        <v>397</v>
      </c>
      <c r="O1925" s="27" t="n">
        <v>0.5</v>
      </c>
      <c r="P1925" s="15" t="n">
        <f aca="false">IF(A1925="","",IF(O1925&lt;&gt;"",O1925,IF(L1925&lt;&gt;"",L1925,F1925)))</f>
        <v>0.5</v>
      </c>
    </row>
    <row r="1926" customFormat="false" ht="15" hidden="false" customHeight="true" outlineLevel="0" collapsed="false">
      <c r="A1926" s="30" t="s">
        <v>233</v>
      </c>
      <c r="B1926" s="30" t="s">
        <v>234</v>
      </c>
      <c r="C1926" s="21" t="n">
        <f aca="false">IF(A1926="","",IFERROR(VLOOKUP(A1926,'Recert Status'!$A$8:$C$400,3,FALSE()),""))</f>
        <v>46752</v>
      </c>
      <c r="D1926" s="31" t="s">
        <v>1537</v>
      </c>
      <c r="E1926" s="30" t="s">
        <v>452</v>
      </c>
      <c r="F1926" s="32" t="n">
        <v>0.5</v>
      </c>
      <c r="G1926" s="33" t="n">
        <v>45953</v>
      </c>
      <c r="H1926" s="33" t="n">
        <v>45953</v>
      </c>
      <c r="I1926" s="31" t="s">
        <v>1522</v>
      </c>
      <c r="J1926" s="30" t="s">
        <v>452</v>
      </c>
      <c r="K1926" s="31" t="s">
        <v>385</v>
      </c>
      <c r="L1926" s="32" t="n">
        <v>0.5</v>
      </c>
      <c r="M1926" s="36" t="s">
        <v>396</v>
      </c>
      <c r="N1926" s="31" t="s">
        <v>397</v>
      </c>
      <c r="O1926" s="32" t="n">
        <v>0.5</v>
      </c>
      <c r="P1926" s="15" t="n">
        <f aca="false">IF(A1926="","",IF(O1926&lt;&gt;"",O1926,IF(L1926&lt;&gt;"",L1926,F1926)))</f>
        <v>0.5</v>
      </c>
    </row>
    <row r="1927" customFormat="false" ht="15" hidden="false" customHeight="true" outlineLevel="0" collapsed="false">
      <c r="A1927" s="26" t="s">
        <v>233</v>
      </c>
      <c r="B1927" s="26" t="s">
        <v>234</v>
      </c>
      <c r="C1927" s="14" t="n">
        <f aca="false">IF(A1927="","",IFERROR(VLOOKUP(A1927,'Recert Status'!$A$8:$C$400,3,FALSE()),""))</f>
        <v>46752</v>
      </c>
      <c r="D1927" s="18" t="s">
        <v>1538</v>
      </c>
      <c r="E1927" s="26" t="s">
        <v>452</v>
      </c>
      <c r="F1927" s="27" t="n">
        <v>0.5</v>
      </c>
      <c r="G1927" s="28" t="n">
        <v>45954</v>
      </c>
      <c r="H1927" s="28" t="n">
        <v>45954</v>
      </c>
      <c r="I1927" s="18" t="s">
        <v>1522</v>
      </c>
      <c r="J1927" s="26" t="s">
        <v>452</v>
      </c>
      <c r="K1927" s="18" t="s">
        <v>385</v>
      </c>
      <c r="L1927" s="27" t="n">
        <v>0.5</v>
      </c>
      <c r="M1927" s="36" t="s">
        <v>396</v>
      </c>
      <c r="N1927" s="18" t="s">
        <v>397</v>
      </c>
      <c r="O1927" s="27" t="n">
        <v>0.5</v>
      </c>
      <c r="P1927" s="15" t="n">
        <f aca="false">IF(A1927="","",IF(O1927&lt;&gt;"",O1927,IF(L1927&lt;&gt;"",L1927,F1927)))</f>
        <v>0.5</v>
      </c>
    </row>
    <row r="1928" customFormat="false" ht="15" hidden="false" customHeight="true" outlineLevel="0" collapsed="false">
      <c r="A1928" s="30" t="s">
        <v>233</v>
      </c>
      <c r="B1928" s="30" t="s">
        <v>234</v>
      </c>
      <c r="C1928" s="21" t="n">
        <f aca="false">IF(A1928="","",IFERROR(VLOOKUP(A1928,'Recert Status'!$A$8:$C$400,3,FALSE()),""))</f>
        <v>46752</v>
      </c>
      <c r="D1928" s="31" t="s">
        <v>1539</v>
      </c>
      <c r="E1928" s="30" t="s">
        <v>452</v>
      </c>
      <c r="F1928" s="32" t="n">
        <v>0.5</v>
      </c>
      <c r="G1928" s="33" t="n">
        <v>45954</v>
      </c>
      <c r="H1928" s="33" t="n">
        <v>45954</v>
      </c>
      <c r="I1928" s="31" t="s">
        <v>1522</v>
      </c>
      <c r="J1928" s="30" t="s">
        <v>452</v>
      </c>
      <c r="K1928" s="31" t="s">
        <v>385</v>
      </c>
      <c r="L1928" s="32" t="n">
        <v>0.5</v>
      </c>
      <c r="M1928" s="36" t="s">
        <v>396</v>
      </c>
      <c r="N1928" s="31" t="s">
        <v>397</v>
      </c>
      <c r="O1928" s="32" t="n">
        <v>0.5</v>
      </c>
      <c r="P1928" s="15" t="n">
        <f aca="false">IF(A1928="","",IF(O1928&lt;&gt;"",O1928,IF(L1928&lt;&gt;"",L1928,F1928)))</f>
        <v>0.5</v>
      </c>
    </row>
    <row r="1929" customFormat="false" ht="15" hidden="false" customHeight="true" outlineLevel="0" collapsed="false">
      <c r="A1929" s="26" t="s">
        <v>233</v>
      </c>
      <c r="B1929" s="26" t="s">
        <v>234</v>
      </c>
      <c r="C1929" s="14" t="n">
        <f aca="false">IF(A1929="","",IFERROR(VLOOKUP(A1929,'Recert Status'!$A$8:$C$400,3,FALSE()),""))</f>
        <v>46752</v>
      </c>
      <c r="D1929" s="18" t="s">
        <v>822</v>
      </c>
      <c r="E1929" s="26" t="s">
        <v>416</v>
      </c>
      <c r="F1929" s="27" t="n">
        <v>2</v>
      </c>
      <c r="G1929" s="28" t="n">
        <v>45861</v>
      </c>
      <c r="H1929" s="28" t="n">
        <v>45861</v>
      </c>
      <c r="I1929" s="18" t="s">
        <v>823</v>
      </c>
      <c r="J1929" s="26" t="s">
        <v>416</v>
      </c>
      <c r="K1929" s="18" t="s">
        <v>523</v>
      </c>
      <c r="L1929" s="27" t="n">
        <v>2</v>
      </c>
      <c r="M1929" s="39" t="s">
        <v>413</v>
      </c>
      <c r="N1929" s="18" t="s">
        <v>414</v>
      </c>
      <c r="O1929" s="27" t="n">
        <v>2</v>
      </c>
      <c r="P1929" s="15" t="n">
        <f aca="false">IF(A1929="","",IF(O1929&lt;&gt;"",O1929,IF(L1929&lt;&gt;"",L1929,F1929)))</f>
        <v>2</v>
      </c>
    </row>
    <row r="1930" customFormat="false" ht="15" hidden="false" customHeight="true" outlineLevel="0" collapsed="false">
      <c r="A1930" s="30" t="s">
        <v>233</v>
      </c>
      <c r="B1930" s="30" t="s">
        <v>234</v>
      </c>
      <c r="C1930" s="21" t="n">
        <f aca="false">IF(A1930="","",IFERROR(VLOOKUP(A1930,'Recert Status'!$A$8:$C$400,3,FALSE()),""))</f>
        <v>46752</v>
      </c>
      <c r="D1930" s="31" t="s">
        <v>1540</v>
      </c>
      <c r="E1930" s="30" t="n">
        <v>57430</v>
      </c>
      <c r="F1930" s="32" t="n">
        <v>0.5</v>
      </c>
      <c r="G1930" s="33" t="n">
        <v>45946</v>
      </c>
      <c r="H1930" s="33" t="n">
        <v>45946</v>
      </c>
      <c r="I1930" s="31" t="s">
        <v>1541</v>
      </c>
      <c r="J1930" s="30" t="s">
        <v>500</v>
      </c>
      <c r="K1930" s="31" t="s">
        <v>501</v>
      </c>
      <c r="L1930" s="32" t="n">
        <v>0.5</v>
      </c>
      <c r="M1930" s="39" t="s">
        <v>413</v>
      </c>
      <c r="N1930" s="31" t="s">
        <v>414</v>
      </c>
      <c r="O1930" s="32" t="n">
        <v>0.5</v>
      </c>
      <c r="P1930" s="15" t="n">
        <f aca="false">IF(A1930="","",IF(O1930&lt;&gt;"",O1930,IF(L1930&lt;&gt;"",L1930,F1930)))</f>
        <v>0.5</v>
      </c>
    </row>
    <row r="1931" customFormat="false" ht="15" hidden="false" customHeight="true" outlineLevel="0" collapsed="false">
      <c r="A1931" s="26" t="s">
        <v>233</v>
      </c>
      <c r="B1931" s="26" t="s">
        <v>234</v>
      </c>
      <c r="C1931" s="14" t="n">
        <f aca="false">IF(A1931="","",IFERROR(VLOOKUP(A1931,'Recert Status'!$A$8:$C$400,3,FALSE()),""))</f>
        <v>46752</v>
      </c>
      <c r="D1931" s="18" t="s">
        <v>1542</v>
      </c>
      <c r="E1931" s="26" t="n">
        <v>57430</v>
      </c>
      <c r="F1931" s="27" t="n">
        <v>1</v>
      </c>
      <c r="G1931" s="28" t="n">
        <v>45946</v>
      </c>
      <c r="H1931" s="28" t="n">
        <v>45946</v>
      </c>
      <c r="I1931" s="18" t="s">
        <v>1543</v>
      </c>
      <c r="J1931" s="26" t="s">
        <v>500</v>
      </c>
      <c r="K1931" s="18" t="s">
        <v>485</v>
      </c>
      <c r="L1931" s="27" t="n">
        <v>1</v>
      </c>
      <c r="M1931" s="39" t="s">
        <v>413</v>
      </c>
      <c r="N1931" s="18" t="s">
        <v>414</v>
      </c>
      <c r="O1931" s="27" t="n">
        <v>1</v>
      </c>
      <c r="P1931" s="15" t="n">
        <f aca="false">IF(A1931="","",IF(O1931&lt;&gt;"",O1931,IF(L1931&lt;&gt;"",L1931,F1931)))</f>
        <v>1</v>
      </c>
    </row>
    <row r="1932" customFormat="false" ht="15" hidden="false" customHeight="true" outlineLevel="0" collapsed="false">
      <c r="A1932" s="30" t="s">
        <v>233</v>
      </c>
      <c r="B1932" s="30" t="s">
        <v>234</v>
      </c>
      <c r="C1932" s="21" t="n">
        <f aca="false">IF(A1932="","",IFERROR(VLOOKUP(A1932,'Recert Status'!$A$8:$C$400,3,FALSE()),""))</f>
        <v>46752</v>
      </c>
      <c r="D1932" s="31" t="s">
        <v>1544</v>
      </c>
      <c r="E1932" s="30" t="s">
        <v>416</v>
      </c>
      <c r="F1932" s="32" t="n">
        <v>0.5</v>
      </c>
      <c r="G1932" s="33" t="n">
        <v>45946</v>
      </c>
      <c r="H1932" s="33" t="n">
        <v>45946</v>
      </c>
      <c r="I1932" s="31" t="s">
        <v>1545</v>
      </c>
      <c r="J1932" s="30" t="s">
        <v>416</v>
      </c>
      <c r="K1932" s="31" t="s">
        <v>418</v>
      </c>
      <c r="L1932" s="32" t="n">
        <v>0.5</v>
      </c>
      <c r="M1932" s="39" t="s">
        <v>413</v>
      </c>
      <c r="N1932" s="31" t="s">
        <v>414</v>
      </c>
      <c r="O1932" s="32" t="n">
        <v>0.5</v>
      </c>
      <c r="P1932" s="15" t="n">
        <f aca="false">IF(A1932="","",IF(O1932&lt;&gt;"",O1932,IF(L1932&lt;&gt;"",L1932,F1932)))</f>
        <v>0.5</v>
      </c>
    </row>
    <row r="1933" customFormat="false" ht="15" hidden="false" customHeight="true" outlineLevel="0" collapsed="false">
      <c r="A1933" s="26" t="s">
        <v>233</v>
      </c>
      <c r="B1933" s="26" t="s">
        <v>234</v>
      </c>
      <c r="C1933" s="14" t="n">
        <f aca="false">IF(A1933="","",IFERROR(VLOOKUP(A1933,'Recert Status'!$A$8:$C$400,3,FALSE()),""))</f>
        <v>46752</v>
      </c>
      <c r="D1933" s="18" t="s">
        <v>1546</v>
      </c>
      <c r="E1933" s="26" t="n">
        <v>57430</v>
      </c>
      <c r="F1933" s="27" t="n">
        <v>1</v>
      </c>
      <c r="G1933" s="28" t="n">
        <v>45946</v>
      </c>
      <c r="H1933" s="28" t="n">
        <v>45946</v>
      </c>
      <c r="I1933" s="18" t="s">
        <v>1547</v>
      </c>
      <c r="J1933" s="26" t="s">
        <v>500</v>
      </c>
      <c r="K1933" s="18" t="s">
        <v>418</v>
      </c>
      <c r="L1933" s="27" t="n">
        <v>1</v>
      </c>
      <c r="M1933" s="39" t="s">
        <v>413</v>
      </c>
      <c r="N1933" s="18" t="s">
        <v>414</v>
      </c>
      <c r="O1933" s="27" t="n">
        <v>1</v>
      </c>
      <c r="P1933" s="15" t="n">
        <f aca="false">IF(A1933="","",IF(O1933&lt;&gt;"",O1933,IF(L1933&lt;&gt;"",L1933,F1933)))</f>
        <v>1</v>
      </c>
    </row>
    <row r="1934" customFormat="false" ht="15" hidden="false" customHeight="true" outlineLevel="0" collapsed="false">
      <c r="A1934" s="30" t="s">
        <v>235</v>
      </c>
      <c r="B1934" s="30" t="s">
        <v>236</v>
      </c>
      <c r="C1934" s="21" t="n">
        <f aca="false">IF(A1934="","",IFERROR(VLOOKUP(A1934,'Recert Status'!$A$8:$C$400,3,FALSE()),""))</f>
        <v>46387</v>
      </c>
      <c r="D1934" s="31" t="s">
        <v>437</v>
      </c>
      <c r="E1934" s="30" t="n">
        <v>29743</v>
      </c>
      <c r="F1934" s="32" t="n">
        <v>1</v>
      </c>
      <c r="G1934" s="33" t="n">
        <v>45833</v>
      </c>
      <c r="H1934" s="33" t="n">
        <v>45833</v>
      </c>
      <c r="I1934" s="31" t="s">
        <v>438</v>
      </c>
      <c r="J1934" s="30" t="s">
        <v>439</v>
      </c>
      <c r="K1934" s="31" t="s">
        <v>440</v>
      </c>
      <c r="L1934" s="32" t="n">
        <v>1</v>
      </c>
      <c r="M1934" s="35" t="s">
        <v>386</v>
      </c>
      <c r="N1934" s="31" t="s">
        <v>387</v>
      </c>
      <c r="O1934" s="32" t="n">
        <v>1</v>
      </c>
      <c r="P1934" s="15" t="n">
        <f aca="false">IF(A1934="","",IF(O1934&lt;&gt;"",O1934,IF(L1934&lt;&gt;"",L1934,F1934)))</f>
        <v>1</v>
      </c>
    </row>
    <row r="1935" customFormat="false" ht="15" hidden="false" customHeight="true" outlineLevel="0" collapsed="false">
      <c r="A1935" s="26" t="s">
        <v>235</v>
      </c>
      <c r="B1935" s="26" t="s">
        <v>236</v>
      </c>
      <c r="C1935" s="14" t="n">
        <f aca="false">IF(A1935="","",IFERROR(VLOOKUP(A1935,'Recert Status'!$A$8:$C$400,3,FALSE()),""))</f>
        <v>46387</v>
      </c>
      <c r="D1935" s="18" t="s">
        <v>441</v>
      </c>
      <c r="E1935" s="26" t="n">
        <v>29743</v>
      </c>
      <c r="F1935" s="27" t="n">
        <v>1</v>
      </c>
      <c r="G1935" s="28" t="n">
        <v>45833</v>
      </c>
      <c r="H1935" s="28" t="n">
        <v>45833</v>
      </c>
      <c r="I1935" s="18" t="s">
        <v>442</v>
      </c>
      <c r="J1935" s="26" t="s">
        <v>439</v>
      </c>
      <c r="K1935" s="18" t="s">
        <v>443</v>
      </c>
      <c r="L1935" s="27" t="n">
        <v>1</v>
      </c>
      <c r="M1935" s="35" t="s">
        <v>386</v>
      </c>
      <c r="N1935" s="18" t="s">
        <v>387</v>
      </c>
      <c r="O1935" s="27" t="n">
        <v>1</v>
      </c>
      <c r="P1935" s="15" t="n">
        <f aca="false">IF(A1935="","",IF(O1935&lt;&gt;"",O1935,IF(L1935&lt;&gt;"",L1935,F1935)))</f>
        <v>1</v>
      </c>
    </row>
    <row r="1936" customFormat="false" ht="15" hidden="false" customHeight="true" outlineLevel="0" collapsed="false">
      <c r="A1936" s="30" t="s">
        <v>235</v>
      </c>
      <c r="B1936" s="30" t="s">
        <v>236</v>
      </c>
      <c r="C1936" s="21" t="n">
        <f aca="false">IF(A1936="","",IFERROR(VLOOKUP(A1936,'Recert Status'!$A$8:$C$400,3,FALSE()),""))</f>
        <v>46387</v>
      </c>
      <c r="D1936" s="31" t="s">
        <v>913</v>
      </c>
      <c r="E1936" s="30" t="s">
        <v>389</v>
      </c>
      <c r="F1936" s="32" t="n">
        <v>1</v>
      </c>
      <c r="G1936" s="33" t="n">
        <v>45971</v>
      </c>
      <c r="H1936" s="33" t="n">
        <v>45971</v>
      </c>
      <c r="I1936" s="31" t="s">
        <v>445</v>
      </c>
      <c r="J1936" s="30" t="s">
        <v>389</v>
      </c>
      <c r="K1936" s="31" t="s">
        <v>446</v>
      </c>
      <c r="L1936" s="32" t="n">
        <v>1</v>
      </c>
      <c r="M1936" s="35" t="s">
        <v>386</v>
      </c>
      <c r="N1936" s="31" t="s">
        <v>387</v>
      </c>
      <c r="O1936" s="32" t="n">
        <v>1</v>
      </c>
      <c r="P1936" s="15" t="n">
        <f aca="false">IF(A1936="","",IF(O1936&lt;&gt;"",O1936,IF(L1936&lt;&gt;"",L1936,F1936)))</f>
        <v>1</v>
      </c>
    </row>
    <row r="1937" customFormat="false" ht="15" hidden="false" customHeight="true" outlineLevel="0" collapsed="false">
      <c r="A1937" s="26" t="s">
        <v>235</v>
      </c>
      <c r="B1937" s="26" t="s">
        <v>236</v>
      </c>
      <c r="C1937" s="14" t="n">
        <f aca="false">IF(A1937="","",IFERROR(VLOOKUP(A1937,'Recert Status'!$A$8:$C$400,3,FALSE()),""))</f>
        <v>46387</v>
      </c>
      <c r="D1937" s="18" t="s">
        <v>914</v>
      </c>
      <c r="E1937" s="26" t="n">
        <v>29675</v>
      </c>
      <c r="F1937" s="27" t="n">
        <v>2</v>
      </c>
      <c r="G1937" s="28" t="n">
        <v>45971</v>
      </c>
      <c r="H1937" s="28" t="n">
        <v>45971</v>
      </c>
      <c r="I1937" s="18" t="s">
        <v>915</v>
      </c>
      <c r="J1937" s="26" t="s">
        <v>406</v>
      </c>
      <c r="K1937" s="18" t="s">
        <v>630</v>
      </c>
      <c r="L1937" s="27" t="n">
        <v>2</v>
      </c>
      <c r="M1937" s="35" t="s">
        <v>386</v>
      </c>
      <c r="N1937" s="18" t="s">
        <v>387</v>
      </c>
      <c r="O1937" s="27" t="n">
        <v>2</v>
      </c>
      <c r="P1937" s="15" t="n">
        <f aca="false">IF(A1937="","",IF(O1937&lt;&gt;"",O1937,IF(L1937&lt;&gt;"",L1937,F1937)))</f>
        <v>2</v>
      </c>
    </row>
    <row r="1938" customFormat="false" ht="15" hidden="false" customHeight="true" outlineLevel="0" collapsed="false">
      <c r="A1938" s="30" t="s">
        <v>235</v>
      </c>
      <c r="B1938" s="30" t="s">
        <v>236</v>
      </c>
      <c r="C1938" s="21" t="n">
        <f aca="false">IF(A1938="","",IFERROR(VLOOKUP(A1938,'Recert Status'!$A$8:$C$400,3,FALSE()),""))</f>
        <v>46387</v>
      </c>
      <c r="D1938" s="31" t="s">
        <v>387</v>
      </c>
      <c r="E1938" s="30" t="s">
        <v>389</v>
      </c>
      <c r="F1938" s="32" t="n">
        <v>1</v>
      </c>
      <c r="G1938" s="33" t="n">
        <v>46235</v>
      </c>
      <c r="H1938" s="33" t="n">
        <v>46235</v>
      </c>
      <c r="I1938" s="31" t="s">
        <v>919</v>
      </c>
      <c r="J1938" s="30" t="s">
        <v>389</v>
      </c>
      <c r="K1938" s="31" t="s">
        <v>451</v>
      </c>
      <c r="L1938" s="32" t="n">
        <v>1</v>
      </c>
      <c r="M1938" s="35" t="s">
        <v>386</v>
      </c>
      <c r="N1938" s="31" t="s">
        <v>387</v>
      </c>
      <c r="O1938" s="32" t="n">
        <v>1</v>
      </c>
      <c r="P1938" s="15" t="n">
        <f aca="false">IF(A1938="","",IF(O1938&lt;&gt;"",O1938,IF(L1938&lt;&gt;"",L1938,F1938)))</f>
        <v>1</v>
      </c>
    </row>
    <row r="1939" customFormat="false" ht="15" hidden="false" customHeight="true" outlineLevel="0" collapsed="false">
      <c r="A1939" s="26" t="s">
        <v>235</v>
      </c>
      <c r="B1939" s="26" t="s">
        <v>236</v>
      </c>
      <c r="C1939" s="14" t="n">
        <f aca="false">IF(A1939="","",IFERROR(VLOOKUP(A1939,'Recert Status'!$A$8:$C$400,3,FALSE()),""))</f>
        <v>46387</v>
      </c>
      <c r="D1939" s="18" t="s">
        <v>397</v>
      </c>
      <c r="E1939" s="26" t="s">
        <v>452</v>
      </c>
      <c r="F1939" s="27" t="n">
        <v>1</v>
      </c>
      <c r="G1939" s="28" t="n">
        <v>46244</v>
      </c>
      <c r="H1939" s="28" t="n">
        <v>46244</v>
      </c>
      <c r="I1939" s="18" t="s">
        <v>577</v>
      </c>
      <c r="J1939" s="26" t="s">
        <v>452</v>
      </c>
      <c r="K1939" s="18" t="s">
        <v>385</v>
      </c>
      <c r="L1939" s="27" t="n">
        <v>1</v>
      </c>
      <c r="M1939" s="36" t="s">
        <v>396</v>
      </c>
      <c r="N1939" s="18" t="s">
        <v>397</v>
      </c>
      <c r="O1939" s="27" t="n">
        <v>1</v>
      </c>
      <c r="P1939" s="15" t="n">
        <f aca="false">IF(A1939="","",IF(O1939&lt;&gt;"",O1939,IF(L1939&lt;&gt;"",L1939,F1939)))</f>
        <v>1</v>
      </c>
    </row>
    <row r="1940" customFormat="false" ht="15" hidden="false" customHeight="true" outlineLevel="0" collapsed="false">
      <c r="A1940" s="30" t="s">
        <v>235</v>
      </c>
      <c r="B1940" s="30" t="s">
        <v>236</v>
      </c>
      <c r="C1940" s="21" t="n">
        <f aca="false">IF(A1940="","",IFERROR(VLOOKUP(A1940,'Recert Status'!$A$8:$C$400,3,FALSE()),""))</f>
        <v>46387</v>
      </c>
      <c r="D1940" s="31" t="s">
        <v>798</v>
      </c>
      <c r="E1940" s="30" t="s">
        <v>416</v>
      </c>
      <c r="F1940" s="32" t="n">
        <v>1</v>
      </c>
      <c r="G1940" s="33" t="n">
        <v>45710</v>
      </c>
      <c r="H1940" s="33" t="n">
        <v>45710</v>
      </c>
      <c r="I1940" s="31" t="s">
        <v>799</v>
      </c>
      <c r="J1940" s="30" t="s">
        <v>416</v>
      </c>
      <c r="K1940" s="31" t="s">
        <v>490</v>
      </c>
      <c r="L1940" s="32" t="n">
        <v>1</v>
      </c>
      <c r="M1940" s="39" t="s">
        <v>413</v>
      </c>
      <c r="N1940" s="31" t="s">
        <v>414</v>
      </c>
      <c r="O1940" s="32" t="n">
        <v>1</v>
      </c>
      <c r="P1940" s="15" t="n">
        <f aca="false">IF(A1940="","",IF(O1940&lt;&gt;"",O1940,IF(L1940&lt;&gt;"",L1940,F1940)))</f>
        <v>1</v>
      </c>
    </row>
    <row r="1941" customFormat="false" ht="15" hidden="false" customHeight="true" outlineLevel="0" collapsed="false">
      <c r="A1941" s="26" t="s">
        <v>235</v>
      </c>
      <c r="B1941" s="26" t="s">
        <v>236</v>
      </c>
      <c r="C1941" s="14" t="n">
        <f aca="false">IF(A1941="","",IFERROR(VLOOKUP(A1941,'Recert Status'!$A$8:$C$400,3,FALSE()),""))</f>
        <v>46387</v>
      </c>
      <c r="D1941" s="18" t="s">
        <v>415</v>
      </c>
      <c r="E1941" s="26" t="s">
        <v>416</v>
      </c>
      <c r="F1941" s="27" t="n">
        <v>2</v>
      </c>
      <c r="G1941" s="28" t="n">
        <v>45860</v>
      </c>
      <c r="H1941" s="28" t="n">
        <v>45860</v>
      </c>
      <c r="I1941" s="18" t="s">
        <v>721</v>
      </c>
      <c r="J1941" s="26" t="s">
        <v>416</v>
      </c>
      <c r="K1941" s="18" t="s">
        <v>418</v>
      </c>
      <c r="L1941" s="27" t="n">
        <v>2</v>
      </c>
      <c r="M1941" s="39" t="s">
        <v>413</v>
      </c>
      <c r="N1941" s="18" t="s">
        <v>414</v>
      </c>
      <c r="O1941" s="27" t="n">
        <v>2</v>
      </c>
      <c r="P1941" s="15" t="n">
        <f aca="false">IF(A1941="","",IF(O1941&lt;&gt;"",O1941,IF(L1941&lt;&gt;"",L1941,F1941)))</f>
        <v>2</v>
      </c>
    </row>
    <row r="1942" customFormat="false" ht="15" hidden="false" customHeight="true" outlineLevel="0" collapsed="false">
      <c r="A1942" s="30" t="s">
        <v>235</v>
      </c>
      <c r="B1942" s="30" t="s">
        <v>236</v>
      </c>
      <c r="C1942" s="21" t="n">
        <f aca="false">IF(A1942="","",IFERROR(VLOOKUP(A1942,'Recert Status'!$A$8:$C$400,3,FALSE()),""))</f>
        <v>46387</v>
      </c>
      <c r="D1942" s="31" t="s">
        <v>488</v>
      </c>
      <c r="E1942" s="30" t="s">
        <v>416</v>
      </c>
      <c r="F1942" s="32" t="n">
        <v>1</v>
      </c>
      <c r="G1942" s="33" t="n">
        <v>46139</v>
      </c>
      <c r="H1942" s="33" t="n">
        <v>46139</v>
      </c>
      <c r="I1942" s="31" t="s">
        <v>610</v>
      </c>
      <c r="J1942" s="30" t="s">
        <v>416</v>
      </c>
      <c r="K1942" s="31" t="s">
        <v>490</v>
      </c>
      <c r="L1942" s="32" t="n">
        <v>1</v>
      </c>
      <c r="M1942" s="39" t="s">
        <v>413</v>
      </c>
      <c r="N1942" s="31" t="s">
        <v>414</v>
      </c>
      <c r="O1942" s="32" t="n">
        <v>1</v>
      </c>
      <c r="P1942" s="15" t="n">
        <f aca="false">IF(A1942="","",IF(O1942&lt;&gt;"",O1942,IF(L1942&lt;&gt;"",L1942,F1942)))</f>
        <v>1</v>
      </c>
    </row>
    <row r="1943" customFormat="false" ht="15" hidden="false" customHeight="true" outlineLevel="0" collapsed="false">
      <c r="A1943" s="26" t="s">
        <v>237</v>
      </c>
      <c r="B1943" s="26" t="s">
        <v>238</v>
      </c>
      <c r="C1943" s="14" t="n">
        <f aca="false">IF(A1943="","",IFERROR(VLOOKUP(A1943,'Recert Status'!$A$8:$C$400,3,FALSE()),""))</f>
        <v>46387</v>
      </c>
      <c r="D1943" s="18" t="s">
        <v>496</v>
      </c>
      <c r="E1943" s="26" t="s">
        <v>542</v>
      </c>
      <c r="F1943" s="27" t="n">
        <v>4</v>
      </c>
      <c r="G1943" s="28" t="n">
        <v>45961</v>
      </c>
      <c r="H1943" s="28" t="n">
        <v>45961</v>
      </c>
      <c r="I1943" s="18" t="s">
        <v>587</v>
      </c>
      <c r="J1943" s="26" t="s">
        <v>542</v>
      </c>
      <c r="K1943" s="18" t="s">
        <v>422</v>
      </c>
      <c r="L1943" s="27" t="n">
        <v>4</v>
      </c>
      <c r="M1943" s="40" t="s">
        <v>423</v>
      </c>
      <c r="N1943" s="18" t="s">
        <v>424</v>
      </c>
      <c r="O1943" s="27" t="n">
        <v>4</v>
      </c>
      <c r="P1943" s="15" t="n">
        <f aca="false">IF(A1943="","",IF(O1943&lt;&gt;"",O1943,IF(L1943&lt;&gt;"",L1943,F1943)))</f>
        <v>4</v>
      </c>
    </row>
    <row r="1944" customFormat="false" ht="15" hidden="false" customHeight="true" outlineLevel="0" collapsed="false">
      <c r="A1944" s="30" t="s">
        <v>237</v>
      </c>
      <c r="B1944" s="30" t="s">
        <v>238</v>
      </c>
      <c r="C1944" s="21" t="n">
        <f aca="false">IF(A1944="","",IFERROR(VLOOKUP(A1944,'Recert Status'!$A$8:$C$400,3,FALSE()),""))</f>
        <v>46387</v>
      </c>
      <c r="D1944" s="31" t="s">
        <v>759</v>
      </c>
      <c r="E1944" s="30" t="s">
        <v>426</v>
      </c>
      <c r="F1944" s="32" t="n">
        <v>9</v>
      </c>
      <c r="G1944" s="33" t="n">
        <v>45955</v>
      </c>
      <c r="H1944" s="33" t="n">
        <v>45955</v>
      </c>
      <c r="I1944" s="31" t="s">
        <v>761</v>
      </c>
      <c r="J1944" s="30" t="s">
        <v>426</v>
      </c>
      <c r="K1944" s="31" t="s">
        <v>526</v>
      </c>
      <c r="L1944" s="32" t="n">
        <v>1</v>
      </c>
      <c r="M1944" s="41" t="s">
        <v>429</v>
      </c>
      <c r="N1944" s="31" t="s">
        <v>430</v>
      </c>
      <c r="O1944" s="32" t="n">
        <v>1</v>
      </c>
      <c r="P1944" s="15" t="n">
        <f aca="false">IF(A1944="","",IF(O1944&lt;&gt;"",O1944,IF(L1944&lt;&gt;"",L1944,F1944)))</f>
        <v>1</v>
      </c>
    </row>
    <row r="1945" customFormat="false" ht="15" hidden="false" customHeight="true" outlineLevel="0" collapsed="false">
      <c r="A1945" s="26" t="s">
        <v>237</v>
      </c>
      <c r="B1945" s="26" t="s">
        <v>238</v>
      </c>
      <c r="C1945" s="14" t="n">
        <f aca="false">IF(A1945="","",IFERROR(VLOOKUP(A1945,'Recert Status'!$A$8:$C$400,3,FALSE()),""))</f>
        <v>46387</v>
      </c>
      <c r="D1945" s="18" t="s">
        <v>800</v>
      </c>
      <c r="E1945" s="26" t="n">
        <v>29740</v>
      </c>
      <c r="F1945" s="27" t="n">
        <v>1</v>
      </c>
      <c r="G1945" s="28" t="n">
        <v>45826</v>
      </c>
      <c r="H1945" s="28" t="n">
        <v>45826</v>
      </c>
      <c r="I1945" s="18" t="s">
        <v>1287</v>
      </c>
      <c r="J1945" s="26" t="s">
        <v>394</v>
      </c>
      <c r="K1945" s="18" t="s">
        <v>1288</v>
      </c>
      <c r="L1945" s="27" t="n">
        <v>1</v>
      </c>
      <c r="M1945" s="35" t="s">
        <v>386</v>
      </c>
      <c r="N1945" s="18" t="s">
        <v>387</v>
      </c>
      <c r="O1945" s="27" t="n">
        <v>1</v>
      </c>
      <c r="P1945" s="15" t="n">
        <f aca="false">IF(A1945="","",IF(O1945&lt;&gt;"",O1945,IF(L1945&lt;&gt;"",L1945,F1945)))</f>
        <v>1</v>
      </c>
    </row>
    <row r="1946" customFormat="false" ht="15" hidden="false" customHeight="true" outlineLevel="0" collapsed="false">
      <c r="A1946" s="30" t="s">
        <v>237</v>
      </c>
      <c r="B1946" s="30" t="s">
        <v>238</v>
      </c>
      <c r="C1946" s="21" t="n">
        <f aca="false">IF(A1946="","",IFERROR(VLOOKUP(A1946,'Recert Status'!$A$8:$C$400,3,FALSE()),""))</f>
        <v>46387</v>
      </c>
      <c r="D1946" s="31" t="s">
        <v>767</v>
      </c>
      <c r="E1946" s="30" t="s">
        <v>389</v>
      </c>
      <c r="F1946" s="32" t="n">
        <v>4</v>
      </c>
      <c r="G1946" s="33" t="n">
        <v>45973</v>
      </c>
      <c r="H1946" s="33" t="n">
        <v>45973</v>
      </c>
      <c r="I1946" s="31" t="s">
        <v>768</v>
      </c>
      <c r="J1946" s="30" t="s">
        <v>389</v>
      </c>
      <c r="K1946" s="31" t="s">
        <v>769</v>
      </c>
      <c r="L1946" s="32" t="n">
        <v>4</v>
      </c>
      <c r="M1946" s="35" t="s">
        <v>386</v>
      </c>
      <c r="N1946" s="31" t="s">
        <v>387</v>
      </c>
      <c r="O1946" s="32" t="n">
        <v>4</v>
      </c>
      <c r="P1946" s="15" t="n">
        <f aca="false">IF(A1946="","",IF(O1946&lt;&gt;"",O1946,IF(L1946&lt;&gt;"",L1946,F1946)))</f>
        <v>4</v>
      </c>
    </row>
    <row r="1947" customFormat="false" ht="15" hidden="false" customHeight="true" outlineLevel="0" collapsed="false">
      <c r="A1947" s="26" t="s">
        <v>237</v>
      </c>
      <c r="B1947" s="26" t="s">
        <v>238</v>
      </c>
      <c r="C1947" s="14" t="n">
        <f aca="false">IF(A1947="","",IFERROR(VLOOKUP(A1947,'Recert Status'!$A$8:$C$400,3,FALSE()),""))</f>
        <v>46387</v>
      </c>
      <c r="D1947" s="18" t="s">
        <v>474</v>
      </c>
      <c r="E1947" s="26" t="s">
        <v>389</v>
      </c>
      <c r="F1947" s="27" t="n">
        <v>1</v>
      </c>
      <c r="G1947" s="28" t="n">
        <v>46204</v>
      </c>
      <c r="H1947" s="28" t="n">
        <v>46204</v>
      </c>
      <c r="I1947" s="18" t="s">
        <v>475</v>
      </c>
      <c r="J1947" s="26" t="s">
        <v>389</v>
      </c>
      <c r="K1947" s="18" t="s">
        <v>476</v>
      </c>
      <c r="L1947" s="27" t="n">
        <v>1</v>
      </c>
      <c r="M1947" s="35" t="s">
        <v>386</v>
      </c>
      <c r="N1947" s="18" t="s">
        <v>387</v>
      </c>
      <c r="O1947" s="27" t="n">
        <v>1</v>
      </c>
      <c r="P1947" s="15" t="n">
        <f aca="false">IF(A1947="","",IF(O1947&lt;&gt;"",O1947,IF(L1947&lt;&gt;"",L1947,F1947)))</f>
        <v>1</v>
      </c>
    </row>
    <row r="1948" customFormat="false" ht="15" hidden="false" customHeight="true" outlineLevel="0" collapsed="false">
      <c r="A1948" s="30" t="s">
        <v>237</v>
      </c>
      <c r="B1948" s="30" t="s">
        <v>238</v>
      </c>
      <c r="C1948" s="21" t="n">
        <f aca="false">IF(A1948="","",IFERROR(VLOOKUP(A1948,'Recert Status'!$A$8:$C$400,3,FALSE()),""))</f>
        <v>46387</v>
      </c>
      <c r="D1948" s="31" t="s">
        <v>662</v>
      </c>
      <c r="E1948" s="30" t="n">
        <v>35513</v>
      </c>
      <c r="F1948" s="32" t="n">
        <v>3</v>
      </c>
      <c r="G1948" s="33" t="n">
        <v>45973</v>
      </c>
      <c r="H1948" s="33" t="n">
        <v>45973</v>
      </c>
      <c r="I1948" s="31" t="s">
        <v>777</v>
      </c>
      <c r="J1948" s="30" t="s">
        <v>384</v>
      </c>
      <c r="K1948" s="31" t="s">
        <v>385</v>
      </c>
      <c r="L1948" s="32" t="n">
        <v>3</v>
      </c>
      <c r="M1948" s="36" t="s">
        <v>396</v>
      </c>
      <c r="N1948" s="31" t="s">
        <v>397</v>
      </c>
      <c r="O1948" s="32" t="n">
        <v>3</v>
      </c>
      <c r="P1948" s="15" t="n">
        <f aca="false">IF(A1948="","",IF(O1948&lt;&gt;"",O1948,IF(L1948&lt;&gt;"",L1948,F1948)))</f>
        <v>3</v>
      </c>
    </row>
    <row r="1949" customFormat="false" ht="15" hidden="false" customHeight="true" outlineLevel="0" collapsed="false">
      <c r="A1949" s="26" t="s">
        <v>237</v>
      </c>
      <c r="B1949" s="26" t="s">
        <v>238</v>
      </c>
      <c r="C1949" s="14" t="n">
        <f aca="false">IF(A1949="","",IFERROR(VLOOKUP(A1949,'Recert Status'!$A$8:$C$400,3,FALSE()),""))</f>
        <v>46387</v>
      </c>
      <c r="D1949" s="18" t="s">
        <v>397</v>
      </c>
      <c r="E1949" s="26" t="s">
        <v>452</v>
      </c>
      <c r="F1949" s="27" t="n">
        <v>1</v>
      </c>
      <c r="G1949" s="28" t="n">
        <v>46246</v>
      </c>
      <c r="H1949" s="28" t="n">
        <v>46246</v>
      </c>
      <c r="I1949" s="18" t="s">
        <v>478</v>
      </c>
      <c r="J1949" s="26" t="s">
        <v>452</v>
      </c>
      <c r="K1949" s="18" t="s">
        <v>385</v>
      </c>
      <c r="L1949" s="27" t="n">
        <v>1</v>
      </c>
      <c r="M1949" s="36" t="s">
        <v>396</v>
      </c>
      <c r="N1949" s="18" t="s">
        <v>397</v>
      </c>
      <c r="O1949" s="27" t="n">
        <v>1</v>
      </c>
      <c r="P1949" s="15" t="n">
        <f aca="false">IF(A1949="","",IF(O1949&lt;&gt;"",O1949,IF(L1949&lt;&gt;"",L1949,F1949)))</f>
        <v>1</v>
      </c>
    </row>
    <row r="1950" customFormat="false" ht="15" hidden="false" customHeight="true" outlineLevel="0" collapsed="false">
      <c r="A1950" s="30" t="s">
        <v>237</v>
      </c>
      <c r="B1950" s="30" t="s">
        <v>238</v>
      </c>
      <c r="C1950" s="21" t="n">
        <f aca="false">IF(A1950="","",IFERROR(VLOOKUP(A1950,'Recert Status'!$A$8:$C$400,3,FALSE()),""))</f>
        <v>46387</v>
      </c>
      <c r="D1950" s="31" t="s">
        <v>719</v>
      </c>
      <c r="E1950" s="30" t="s">
        <v>416</v>
      </c>
      <c r="F1950" s="32" t="n">
        <v>2</v>
      </c>
      <c r="G1950" s="33" t="n">
        <v>45859</v>
      </c>
      <c r="H1950" s="33" t="n">
        <v>45859</v>
      </c>
      <c r="I1950" s="31" t="s">
        <v>486</v>
      </c>
      <c r="J1950" s="30" t="s">
        <v>416</v>
      </c>
      <c r="K1950" s="31" t="s">
        <v>418</v>
      </c>
      <c r="L1950" s="32" t="n">
        <v>2</v>
      </c>
      <c r="M1950" s="39" t="s">
        <v>413</v>
      </c>
      <c r="N1950" s="31" t="s">
        <v>414</v>
      </c>
      <c r="O1950" s="32" t="n">
        <v>2</v>
      </c>
      <c r="P1950" s="15" t="n">
        <f aca="false">IF(A1950="","",IF(O1950&lt;&gt;"",O1950,IF(L1950&lt;&gt;"",L1950,F1950)))</f>
        <v>2</v>
      </c>
    </row>
    <row r="1951" customFormat="false" ht="15" hidden="false" customHeight="true" outlineLevel="0" collapsed="false">
      <c r="A1951" s="26" t="s">
        <v>237</v>
      </c>
      <c r="B1951" s="26" t="s">
        <v>238</v>
      </c>
      <c r="C1951" s="14" t="n">
        <f aca="false">IF(A1951="","",IFERROR(VLOOKUP(A1951,'Recert Status'!$A$8:$C$400,3,FALSE()),""))</f>
        <v>46387</v>
      </c>
      <c r="D1951" s="18" t="s">
        <v>782</v>
      </c>
      <c r="E1951" s="26" t="s">
        <v>416</v>
      </c>
      <c r="F1951" s="27" t="n">
        <v>0.5</v>
      </c>
      <c r="G1951" s="28" t="n">
        <v>45937</v>
      </c>
      <c r="H1951" s="28" t="n">
        <v>45937</v>
      </c>
      <c r="I1951" s="18" t="s">
        <v>783</v>
      </c>
      <c r="J1951" s="26" t="s">
        <v>416</v>
      </c>
      <c r="K1951" s="18" t="s">
        <v>784</v>
      </c>
      <c r="L1951" s="27" t="n">
        <v>0.5</v>
      </c>
      <c r="M1951" s="39" t="s">
        <v>413</v>
      </c>
      <c r="N1951" s="18" t="s">
        <v>414</v>
      </c>
      <c r="O1951" s="27" t="n">
        <v>0.5</v>
      </c>
      <c r="P1951" s="15" t="n">
        <f aca="false">IF(A1951="","",IF(O1951&lt;&gt;"",O1951,IF(L1951&lt;&gt;"",L1951,F1951)))</f>
        <v>0.5</v>
      </c>
    </row>
    <row r="1952" customFormat="false" ht="15" hidden="false" customHeight="true" outlineLevel="0" collapsed="false">
      <c r="A1952" s="30" t="s">
        <v>237</v>
      </c>
      <c r="B1952" s="30" t="s">
        <v>238</v>
      </c>
      <c r="C1952" s="21" t="n">
        <f aca="false">IF(A1952="","",IFERROR(VLOOKUP(A1952,'Recert Status'!$A$8:$C$400,3,FALSE()),""))</f>
        <v>46387</v>
      </c>
      <c r="D1952" s="31" t="s">
        <v>1427</v>
      </c>
      <c r="E1952" s="30" t="s">
        <v>416</v>
      </c>
      <c r="F1952" s="32" t="n">
        <v>1</v>
      </c>
      <c r="G1952" s="33" t="n">
        <v>45949</v>
      </c>
      <c r="H1952" s="33" t="n">
        <v>45949</v>
      </c>
      <c r="I1952" s="31" t="s">
        <v>1428</v>
      </c>
      <c r="J1952" s="30" t="s">
        <v>416</v>
      </c>
      <c r="K1952" s="31" t="s">
        <v>418</v>
      </c>
      <c r="L1952" s="32" t="n">
        <v>1</v>
      </c>
      <c r="M1952" s="39" t="s">
        <v>413</v>
      </c>
      <c r="N1952" s="31" t="s">
        <v>414</v>
      </c>
      <c r="O1952" s="32" t="n">
        <v>1</v>
      </c>
      <c r="P1952" s="15" t="n">
        <f aca="false">IF(A1952="","",IF(O1952&lt;&gt;"",O1952,IF(L1952&lt;&gt;"",L1952,F1952)))</f>
        <v>1</v>
      </c>
    </row>
    <row r="1953" customFormat="false" ht="15" hidden="false" customHeight="true" outlineLevel="0" collapsed="false">
      <c r="A1953" s="26" t="s">
        <v>237</v>
      </c>
      <c r="B1953" s="26" t="s">
        <v>238</v>
      </c>
      <c r="C1953" s="14" t="n">
        <f aca="false">IF(A1953="","",IFERROR(VLOOKUP(A1953,'Recert Status'!$A$8:$C$400,3,FALSE()),""))</f>
        <v>46387</v>
      </c>
      <c r="D1953" s="18" t="s">
        <v>414</v>
      </c>
      <c r="E1953" s="26" t="s">
        <v>416</v>
      </c>
      <c r="F1953" s="27" t="n">
        <v>2</v>
      </c>
      <c r="G1953" s="28" t="n">
        <v>46219</v>
      </c>
      <c r="H1953" s="28" t="n">
        <v>46219</v>
      </c>
      <c r="I1953" s="18" t="s">
        <v>567</v>
      </c>
      <c r="J1953" s="26" t="s">
        <v>416</v>
      </c>
      <c r="K1953" s="18" t="s">
        <v>418</v>
      </c>
      <c r="L1953" s="27" t="n">
        <v>2</v>
      </c>
      <c r="M1953" s="39" t="s">
        <v>413</v>
      </c>
      <c r="N1953" s="18" t="s">
        <v>414</v>
      </c>
      <c r="O1953" s="27" t="n">
        <v>2</v>
      </c>
      <c r="P1953" s="15" t="n">
        <f aca="false">IF(A1953="","",IF(O1953&lt;&gt;"",O1953,IF(L1953&lt;&gt;"",L1953,F1953)))</f>
        <v>2</v>
      </c>
    </row>
    <row r="1954" customFormat="false" ht="15" hidden="false" customHeight="true" outlineLevel="0" collapsed="false">
      <c r="A1954" s="30" t="s">
        <v>239</v>
      </c>
      <c r="B1954" s="30"/>
      <c r="C1954" s="21" t="n">
        <f aca="false">IF(A1954="","",IFERROR(VLOOKUP(A1954,'Recert Status'!$A$8:$C$400,3,FALSE()),""))</f>
        <v>0</v>
      </c>
      <c r="D1954" s="31" t="s">
        <v>824</v>
      </c>
      <c r="E1954" s="30" t="s">
        <v>363</v>
      </c>
      <c r="F1954" s="32" t="n">
        <v>0.5</v>
      </c>
      <c r="G1954" s="33" t="n">
        <v>45810</v>
      </c>
      <c r="H1954" s="33" t="n">
        <v>45810</v>
      </c>
      <c r="I1954" s="31" t="s">
        <v>825</v>
      </c>
      <c r="J1954" s="30" t="s">
        <v>363</v>
      </c>
      <c r="K1954" s="31" t="s">
        <v>370</v>
      </c>
      <c r="L1954" s="32" t="n">
        <v>0.5</v>
      </c>
      <c r="M1954" s="29" t="s">
        <v>366</v>
      </c>
      <c r="N1954" s="31" t="s">
        <v>367</v>
      </c>
      <c r="O1954" s="32" t="n">
        <v>0.5</v>
      </c>
      <c r="P1954" s="15" t="n">
        <f aca="false">IF(A1954="","",IF(O1954&lt;&gt;"",O1954,IF(L1954&lt;&gt;"",L1954,F1954)))</f>
        <v>0.5</v>
      </c>
    </row>
    <row r="1955" customFormat="false" ht="15" hidden="false" customHeight="true" outlineLevel="0" collapsed="false">
      <c r="A1955" s="26" t="s">
        <v>239</v>
      </c>
      <c r="B1955" s="26"/>
      <c r="C1955" s="14" t="n">
        <f aca="false">IF(A1955="","",IFERROR(VLOOKUP(A1955,'Recert Status'!$A$8:$C$400,3,FALSE()),""))</f>
        <v>0</v>
      </c>
      <c r="D1955" s="18" t="s">
        <v>977</v>
      </c>
      <c r="E1955" s="26" t="s">
        <v>426</v>
      </c>
      <c r="F1955" s="27" t="n">
        <v>2</v>
      </c>
      <c r="G1955" s="28" t="n">
        <v>45910</v>
      </c>
      <c r="H1955" s="28" t="n">
        <v>45910</v>
      </c>
      <c r="I1955" s="18" t="s">
        <v>978</v>
      </c>
      <c r="J1955" s="26" t="s">
        <v>426</v>
      </c>
      <c r="K1955" s="18" t="s">
        <v>495</v>
      </c>
      <c r="L1955" s="27" t="n">
        <v>2</v>
      </c>
      <c r="M1955" s="41" t="s">
        <v>429</v>
      </c>
      <c r="N1955" s="18" t="s">
        <v>430</v>
      </c>
      <c r="O1955" s="27" t="n">
        <v>2</v>
      </c>
      <c r="P1955" s="15" t="n">
        <f aca="false">IF(A1955="","",IF(O1955&lt;&gt;"",O1955,IF(L1955&lt;&gt;"",L1955,F1955)))</f>
        <v>2</v>
      </c>
    </row>
    <row r="1956" customFormat="false" ht="15" hidden="false" customHeight="true" outlineLevel="0" collapsed="false">
      <c r="A1956" s="30" t="s">
        <v>239</v>
      </c>
      <c r="B1956" s="30"/>
      <c r="C1956" s="21" t="n">
        <f aca="false">IF(A1956="","",IFERROR(VLOOKUP(A1956,'Recert Status'!$A$8:$C$400,3,FALSE()),""))</f>
        <v>0</v>
      </c>
      <c r="D1956" s="31" t="s">
        <v>430</v>
      </c>
      <c r="E1956" s="30" t="s">
        <v>426</v>
      </c>
      <c r="F1956" s="32" t="n">
        <v>1</v>
      </c>
      <c r="G1956" s="33" t="n">
        <v>46207</v>
      </c>
      <c r="H1956" s="33" t="n">
        <v>46207</v>
      </c>
      <c r="I1956" s="31" t="s">
        <v>1548</v>
      </c>
      <c r="J1956" s="30" t="s">
        <v>426</v>
      </c>
      <c r="K1956" s="31" t="s">
        <v>428</v>
      </c>
      <c r="L1956" s="32" t="n">
        <v>1</v>
      </c>
      <c r="M1956" s="41" t="s">
        <v>429</v>
      </c>
      <c r="N1956" s="31" t="s">
        <v>430</v>
      </c>
      <c r="O1956" s="32" t="n">
        <v>1</v>
      </c>
      <c r="P1956" s="15" t="n">
        <f aca="false">IF(A1956="","",IF(O1956&lt;&gt;"",O1956,IF(L1956&lt;&gt;"",L1956,F1956)))</f>
        <v>1</v>
      </c>
    </row>
    <row r="1957" customFormat="false" ht="15" hidden="false" customHeight="true" outlineLevel="0" collapsed="false">
      <c r="A1957" s="26" t="s">
        <v>239</v>
      </c>
      <c r="B1957" s="26"/>
      <c r="C1957" s="14" t="n">
        <f aca="false">IF(A1957="","",IFERROR(VLOOKUP(A1957,'Recert Status'!$A$8:$C$400,3,FALSE()),""))</f>
        <v>0</v>
      </c>
      <c r="D1957" s="18" t="s">
        <v>1112</v>
      </c>
      <c r="E1957" s="26" t="n">
        <v>29743</v>
      </c>
      <c r="F1957" s="27" t="n">
        <v>1</v>
      </c>
      <c r="G1957" s="28" t="n">
        <v>45764</v>
      </c>
      <c r="H1957" s="28" t="n">
        <v>45764</v>
      </c>
      <c r="I1957" s="18" t="s">
        <v>1113</v>
      </c>
      <c r="J1957" s="26" t="s">
        <v>439</v>
      </c>
      <c r="K1957" s="18" t="s">
        <v>791</v>
      </c>
      <c r="L1957" s="27" t="n">
        <v>1</v>
      </c>
      <c r="M1957" s="35" t="s">
        <v>386</v>
      </c>
      <c r="N1957" s="18" t="s">
        <v>387</v>
      </c>
      <c r="O1957" s="27" t="n">
        <v>1</v>
      </c>
      <c r="P1957" s="15" t="n">
        <f aca="false">IF(A1957="","",IF(O1957&lt;&gt;"",O1957,IF(L1957&lt;&gt;"",L1957,F1957)))</f>
        <v>1</v>
      </c>
    </row>
    <row r="1958" customFormat="false" ht="15" hidden="false" customHeight="true" outlineLevel="0" collapsed="false">
      <c r="A1958" s="30" t="s">
        <v>239</v>
      </c>
      <c r="B1958" s="30"/>
      <c r="C1958" s="21" t="n">
        <f aca="false">IF(A1958="","",IFERROR(VLOOKUP(A1958,'Recert Status'!$A$8:$C$400,3,FALSE()),""))</f>
        <v>0</v>
      </c>
      <c r="D1958" s="31" t="s">
        <v>800</v>
      </c>
      <c r="E1958" s="30" t="s">
        <v>389</v>
      </c>
      <c r="F1958" s="32" t="n">
        <v>0.5</v>
      </c>
      <c r="G1958" s="33" t="n">
        <v>45838</v>
      </c>
      <c r="H1958" s="33" t="n">
        <v>45838</v>
      </c>
      <c r="I1958" s="31" t="s">
        <v>801</v>
      </c>
      <c r="J1958" s="30" t="s">
        <v>389</v>
      </c>
      <c r="K1958" s="31" t="s">
        <v>451</v>
      </c>
      <c r="L1958" s="32" t="n">
        <v>0.5</v>
      </c>
      <c r="M1958" s="35" t="s">
        <v>386</v>
      </c>
      <c r="N1958" s="31" t="s">
        <v>387</v>
      </c>
      <c r="O1958" s="32" t="n">
        <v>0.5</v>
      </c>
      <c r="P1958" s="15" t="n">
        <f aca="false">IF(A1958="","",IF(O1958&lt;&gt;"",O1958,IF(L1958&lt;&gt;"",L1958,F1958)))</f>
        <v>0.5</v>
      </c>
    </row>
    <row r="1959" customFormat="false" ht="15" hidden="false" customHeight="true" outlineLevel="0" collapsed="false">
      <c r="A1959" s="26" t="s">
        <v>239</v>
      </c>
      <c r="B1959" s="26"/>
      <c r="C1959" s="14" t="n">
        <f aca="false">IF(A1959="","",IFERROR(VLOOKUP(A1959,'Recert Status'!$A$8:$C$400,3,FALSE()),""))</f>
        <v>0</v>
      </c>
      <c r="D1959" s="18" t="s">
        <v>474</v>
      </c>
      <c r="E1959" s="26" t="s">
        <v>389</v>
      </c>
      <c r="F1959" s="27" t="n">
        <v>1</v>
      </c>
      <c r="G1959" s="28" t="n">
        <v>46204</v>
      </c>
      <c r="H1959" s="28" t="n">
        <v>46204</v>
      </c>
      <c r="I1959" s="18" t="s">
        <v>475</v>
      </c>
      <c r="J1959" s="26" t="s">
        <v>389</v>
      </c>
      <c r="K1959" s="18" t="s">
        <v>476</v>
      </c>
      <c r="L1959" s="27" t="n">
        <v>1</v>
      </c>
      <c r="M1959" s="35" t="s">
        <v>386</v>
      </c>
      <c r="N1959" s="18" t="s">
        <v>387</v>
      </c>
      <c r="O1959" s="27" t="n">
        <v>1</v>
      </c>
      <c r="P1959" s="15" t="n">
        <f aca="false">IF(A1959="","",IF(O1959&lt;&gt;"",O1959,IF(L1959&lt;&gt;"",L1959,F1959)))</f>
        <v>1</v>
      </c>
    </row>
    <row r="1960" customFormat="false" ht="15" hidden="false" customHeight="true" outlineLevel="0" collapsed="false">
      <c r="A1960" s="30" t="s">
        <v>239</v>
      </c>
      <c r="B1960" s="30"/>
      <c r="C1960" s="21" t="n">
        <f aca="false">IF(A1960="","",IFERROR(VLOOKUP(A1960,'Recert Status'!$A$8:$C$400,3,FALSE()),""))</f>
        <v>0</v>
      </c>
      <c r="D1960" s="31" t="s">
        <v>387</v>
      </c>
      <c r="E1960" s="30" t="s">
        <v>389</v>
      </c>
      <c r="F1960" s="32" t="n">
        <v>1</v>
      </c>
      <c r="G1960" s="33" t="n">
        <v>46207</v>
      </c>
      <c r="H1960" s="33" t="n">
        <v>46207</v>
      </c>
      <c r="I1960" s="31" t="s">
        <v>1549</v>
      </c>
      <c r="J1960" s="30" t="s">
        <v>389</v>
      </c>
      <c r="K1960" s="31" t="s">
        <v>845</v>
      </c>
      <c r="L1960" s="32" t="n">
        <v>1</v>
      </c>
      <c r="M1960" s="35" t="s">
        <v>386</v>
      </c>
      <c r="N1960" s="31" t="s">
        <v>387</v>
      </c>
      <c r="O1960" s="32" t="n">
        <v>1</v>
      </c>
      <c r="P1960" s="15" t="n">
        <f aca="false">IF(A1960="","",IF(O1960&lt;&gt;"",O1960,IF(L1960&lt;&gt;"",L1960,F1960)))</f>
        <v>1</v>
      </c>
    </row>
    <row r="1961" customFormat="false" ht="15" hidden="false" customHeight="true" outlineLevel="0" collapsed="false">
      <c r="A1961" s="26" t="s">
        <v>239</v>
      </c>
      <c r="B1961" s="26"/>
      <c r="C1961" s="14" t="n">
        <f aca="false">IF(A1961="","",IFERROR(VLOOKUP(A1961,'Recert Status'!$A$8:$C$400,3,FALSE()),""))</f>
        <v>0</v>
      </c>
      <c r="D1961" s="18" t="s">
        <v>387</v>
      </c>
      <c r="E1961" s="26" t="s">
        <v>389</v>
      </c>
      <c r="F1961" s="27" t="n">
        <v>1</v>
      </c>
      <c r="G1961" s="28" t="n">
        <v>46285</v>
      </c>
      <c r="H1961" s="28" t="n">
        <v>46285</v>
      </c>
      <c r="I1961" s="18" t="s">
        <v>1550</v>
      </c>
      <c r="J1961" s="26" t="s">
        <v>389</v>
      </c>
      <c r="K1961" s="18" t="s">
        <v>1551</v>
      </c>
      <c r="L1961" s="27" t="n">
        <v>1</v>
      </c>
      <c r="M1961" s="35" t="s">
        <v>386</v>
      </c>
      <c r="N1961" s="18" t="s">
        <v>387</v>
      </c>
      <c r="O1961" s="27" t="n">
        <v>1</v>
      </c>
      <c r="P1961" s="15" t="n">
        <f aca="false">IF(A1961="","",IF(O1961&lt;&gt;"",O1961,IF(L1961&lt;&gt;"",L1961,F1961)))</f>
        <v>1</v>
      </c>
    </row>
    <row r="1962" customFormat="false" ht="15" hidden="false" customHeight="true" outlineLevel="0" collapsed="false">
      <c r="A1962" s="30" t="s">
        <v>239</v>
      </c>
      <c r="B1962" s="30"/>
      <c r="C1962" s="21" t="n">
        <f aca="false">IF(A1962="","",IFERROR(VLOOKUP(A1962,'Recert Status'!$A$8:$C$400,3,FALSE()),""))</f>
        <v>0</v>
      </c>
      <c r="D1962" s="31" t="s">
        <v>387</v>
      </c>
      <c r="E1962" s="30" t="s">
        <v>389</v>
      </c>
      <c r="F1962" s="32" t="n">
        <v>1</v>
      </c>
      <c r="G1962" s="33" t="n">
        <v>46285</v>
      </c>
      <c r="H1962" s="33" t="n">
        <v>46285</v>
      </c>
      <c r="I1962" s="31" t="s">
        <v>1552</v>
      </c>
      <c r="J1962" s="30" t="s">
        <v>389</v>
      </c>
      <c r="K1962" s="31" t="s">
        <v>495</v>
      </c>
      <c r="L1962" s="32" t="n">
        <v>1</v>
      </c>
      <c r="M1962" s="35" t="s">
        <v>386</v>
      </c>
      <c r="N1962" s="31" t="s">
        <v>387</v>
      </c>
      <c r="O1962" s="32" t="n">
        <v>1</v>
      </c>
      <c r="P1962" s="15" t="n">
        <f aca="false">IF(A1962="","",IF(O1962&lt;&gt;"",O1962,IF(L1962&lt;&gt;"",L1962,F1962)))</f>
        <v>1</v>
      </c>
    </row>
    <row r="1963" customFormat="false" ht="15" hidden="false" customHeight="true" outlineLevel="0" collapsed="false">
      <c r="A1963" s="26" t="s">
        <v>239</v>
      </c>
      <c r="B1963" s="26"/>
      <c r="C1963" s="14" t="n">
        <f aca="false">IF(A1963="","",IFERROR(VLOOKUP(A1963,'Recert Status'!$A$8:$C$400,3,FALSE()),""))</f>
        <v>0</v>
      </c>
      <c r="D1963" s="18" t="s">
        <v>557</v>
      </c>
      <c r="E1963" s="26" t="n">
        <v>35513</v>
      </c>
      <c r="F1963" s="27" t="n">
        <v>1</v>
      </c>
      <c r="G1963" s="28" t="n">
        <v>45688</v>
      </c>
      <c r="H1963" s="28" t="n">
        <v>45688</v>
      </c>
      <c r="I1963" s="18" t="s">
        <v>558</v>
      </c>
      <c r="J1963" s="26" t="s">
        <v>384</v>
      </c>
      <c r="K1963" s="18" t="s">
        <v>407</v>
      </c>
      <c r="L1963" s="27" t="n">
        <v>1</v>
      </c>
      <c r="M1963" s="36" t="s">
        <v>396</v>
      </c>
      <c r="N1963" s="18" t="s">
        <v>397</v>
      </c>
      <c r="O1963" s="27" t="n">
        <v>1</v>
      </c>
      <c r="P1963" s="15" t="n">
        <f aca="false">IF(A1963="","",IF(O1963&lt;&gt;"",O1963,IF(L1963&lt;&gt;"",L1963,F1963)))</f>
        <v>1</v>
      </c>
    </row>
    <row r="1964" customFormat="false" ht="15" hidden="false" customHeight="true" outlineLevel="0" collapsed="false">
      <c r="A1964" s="30" t="s">
        <v>239</v>
      </c>
      <c r="B1964" s="30"/>
      <c r="C1964" s="21" t="n">
        <f aca="false">IF(A1964="","",IFERROR(VLOOKUP(A1964,'Recert Status'!$A$8:$C$400,3,FALSE()),""))</f>
        <v>0</v>
      </c>
      <c r="D1964" s="31" t="s">
        <v>802</v>
      </c>
      <c r="E1964" s="30" t="n">
        <v>35513</v>
      </c>
      <c r="F1964" s="32" t="n">
        <v>1</v>
      </c>
      <c r="G1964" s="33" t="n">
        <v>45868</v>
      </c>
      <c r="H1964" s="33" t="n">
        <v>45868</v>
      </c>
      <c r="I1964" s="31" t="s">
        <v>803</v>
      </c>
      <c r="J1964" s="30" t="s">
        <v>384</v>
      </c>
      <c r="K1964" s="31" t="s">
        <v>385</v>
      </c>
      <c r="L1964" s="32" t="n">
        <v>1</v>
      </c>
      <c r="M1964" s="36" t="s">
        <v>396</v>
      </c>
      <c r="N1964" s="31" t="s">
        <v>397</v>
      </c>
      <c r="O1964" s="32" t="n">
        <v>1</v>
      </c>
      <c r="P1964" s="15" t="n">
        <f aca="false">IF(A1964="","",IF(O1964&lt;&gt;"",O1964,IF(L1964&lt;&gt;"",L1964,F1964)))</f>
        <v>1</v>
      </c>
    </row>
    <row r="1965" customFormat="false" ht="15" hidden="false" customHeight="true" outlineLevel="0" collapsed="false">
      <c r="A1965" s="26" t="s">
        <v>239</v>
      </c>
      <c r="B1965" s="26"/>
      <c r="C1965" s="14" t="n">
        <f aca="false">IF(A1965="","",IFERROR(VLOOKUP(A1965,'Recert Status'!$A$8:$C$400,3,FALSE()),""))</f>
        <v>0</v>
      </c>
      <c r="D1965" s="18" t="s">
        <v>1553</v>
      </c>
      <c r="E1965" s="26" t="n">
        <v>35513</v>
      </c>
      <c r="F1965" s="27" t="n">
        <v>1</v>
      </c>
      <c r="G1965" s="28" t="n">
        <v>46111</v>
      </c>
      <c r="H1965" s="28" t="n">
        <v>46111</v>
      </c>
      <c r="I1965" s="18" t="s">
        <v>1554</v>
      </c>
      <c r="J1965" s="26" t="s">
        <v>384</v>
      </c>
      <c r="K1965" s="18" t="s">
        <v>385</v>
      </c>
      <c r="L1965" s="27" t="n">
        <v>1</v>
      </c>
      <c r="M1965" s="36" t="s">
        <v>396</v>
      </c>
      <c r="N1965" s="18" t="s">
        <v>514</v>
      </c>
      <c r="O1965" s="27" t="n">
        <v>1</v>
      </c>
      <c r="P1965" s="15" t="n">
        <f aca="false">IF(A1965="","",IF(O1965&lt;&gt;"",O1965,IF(L1965&lt;&gt;"",L1965,F1965)))</f>
        <v>1</v>
      </c>
    </row>
    <row r="1966" customFormat="false" ht="15" hidden="false" customHeight="true" outlineLevel="0" collapsed="false">
      <c r="A1966" s="30" t="s">
        <v>239</v>
      </c>
      <c r="B1966" s="30"/>
      <c r="C1966" s="21" t="n">
        <f aca="false">IF(A1966="","",IFERROR(VLOOKUP(A1966,'Recert Status'!$A$8:$C$400,3,FALSE()),""))</f>
        <v>0</v>
      </c>
      <c r="D1966" s="31" t="s">
        <v>379</v>
      </c>
      <c r="E1966" s="30" t="n">
        <v>35513</v>
      </c>
      <c r="F1966" s="32" t="n">
        <v>1</v>
      </c>
      <c r="G1966" s="33" t="n">
        <v>46147</v>
      </c>
      <c r="H1966" s="33" t="n">
        <v>46147</v>
      </c>
      <c r="I1966" s="31" t="s">
        <v>371</v>
      </c>
      <c r="J1966" s="30" t="s">
        <v>384</v>
      </c>
      <c r="K1966" s="31" t="s">
        <v>385</v>
      </c>
      <c r="L1966" s="32" t="n">
        <v>1</v>
      </c>
      <c r="M1966" s="36" t="s">
        <v>396</v>
      </c>
      <c r="N1966" s="31" t="s">
        <v>397</v>
      </c>
      <c r="O1966" s="32" t="n">
        <v>1</v>
      </c>
      <c r="P1966" s="15" t="n">
        <f aca="false">IF(A1966="","",IF(O1966&lt;&gt;"",O1966,IF(L1966&lt;&gt;"",L1966,F1966)))</f>
        <v>1</v>
      </c>
    </row>
    <row r="1967" customFormat="false" ht="15" hidden="false" customHeight="true" outlineLevel="0" collapsed="false">
      <c r="A1967" s="26" t="s">
        <v>239</v>
      </c>
      <c r="B1967" s="26"/>
      <c r="C1967" s="14" t="n">
        <f aca="false">IF(A1967="","",IFERROR(VLOOKUP(A1967,'Recert Status'!$A$8:$C$400,3,FALSE()),""))</f>
        <v>0</v>
      </c>
      <c r="D1967" s="18" t="s">
        <v>397</v>
      </c>
      <c r="E1967" s="26" t="s">
        <v>452</v>
      </c>
      <c r="F1967" s="27" t="n">
        <v>1</v>
      </c>
      <c r="G1967" s="28" t="n">
        <v>46246</v>
      </c>
      <c r="H1967" s="28" t="n">
        <v>46246</v>
      </c>
      <c r="I1967" s="18" t="s">
        <v>478</v>
      </c>
      <c r="J1967" s="26" t="s">
        <v>452</v>
      </c>
      <c r="K1967" s="18" t="s">
        <v>385</v>
      </c>
      <c r="L1967" s="27" t="n">
        <v>1</v>
      </c>
      <c r="M1967" s="36" t="s">
        <v>396</v>
      </c>
      <c r="N1967" s="18" t="s">
        <v>397</v>
      </c>
      <c r="O1967" s="27" t="n">
        <v>1</v>
      </c>
      <c r="P1967" s="15" t="n">
        <f aca="false">IF(A1967="","",IF(O1967&lt;&gt;"",O1967,IF(L1967&lt;&gt;"",L1967,F1967)))</f>
        <v>1</v>
      </c>
    </row>
    <row r="1968" customFormat="false" ht="15" hidden="false" customHeight="true" outlineLevel="0" collapsed="false">
      <c r="A1968" s="30" t="s">
        <v>239</v>
      </c>
      <c r="B1968" s="30"/>
      <c r="C1968" s="21" t="n">
        <f aca="false">IF(A1968="","",IFERROR(VLOOKUP(A1968,'Recert Status'!$A$8:$C$400,3,FALSE()),""))</f>
        <v>0</v>
      </c>
      <c r="D1968" s="31" t="s">
        <v>397</v>
      </c>
      <c r="E1968" s="30" t="s">
        <v>452</v>
      </c>
      <c r="F1968" s="32" t="n">
        <v>1</v>
      </c>
      <c r="G1968" s="33" t="n">
        <v>46246</v>
      </c>
      <c r="H1968" s="33" t="n">
        <v>46246</v>
      </c>
      <c r="I1968" s="31" t="s">
        <v>1078</v>
      </c>
      <c r="J1968" s="30" t="s">
        <v>452</v>
      </c>
      <c r="K1968" s="31" t="s">
        <v>385</v>
      </c>
      <c r="L1968" s="32" t="n">
        <v>1</v>
      </c>
      <c r="M1968" s="36" t="s">
        <v>396</v>
      </c>
      <c r="N1968" s="31" t="s">
        <v>397</v>
      </c>
      <c r="O1968" s="32" t="n">
        <v>1</v>
      </c>
      <c r="P1968" s="15" t="n">
        <f aca="false">IF(A1968="","",IF(O1968&lt;&gt;"",O1968,IF(L1968&lt;&gt;"",L1968,F1968)))</f>
        <v>1</v>
      </c>
    </row>
    <row r="1969" customFormat="false" ht="15" hidden="false" customHeight="true" outlineLevel="0" collapsed="false">
      <c r="A1969" s="26" t="s">
        <v>239</v>
      </c>
      <c r="B1969" s="26"/>
      <c r="C1969" s="14" t="n">
        <f aca="false">IF(A1969="","",IFERROR(VLOOKUP(A1969,'Recert Status'!$A$8:$C$400,3,FALSE()),""))</f>
        <v>0</v>
      </c>
      <c r="D1969" s="18" t="s">
        <v>409</v>
      </c>
      <c r="E1969" s="26" t="s">
        <v>480</v>
      </c>
      <c r="F1969" s="27" t="n">
        <v>1</v>
      </c>
      <c r="G1969" s="28" t="n">
        <v>46270</v>
      </c>
      <c r="H1969" s="28" t="n">
        <v>46270</v>
      </c>
      <c r="I1969" s="18" t="s">
        <v>481</v>
      </c>
      <c r="J1969" s="26" t="s">
        <v>480</v>
      </c>
      <c r="K1969" s="18" t="s">
        <v>482</v>
      </c>
      <c r="L1969" s="27" t="n">
        <v>1</v>
      </c>
      <c r="M1969" s="38" t="s">
        <v>408</v>
      </c>
      <c r="N1969" s="18" t="s">
        <v>409</v>
      </c>
      <c r="O1969" s="27" t="n">
        <v>1</v>
      </c>
      <c r="P1969" s="15" t="n">
        <f aca="false">IF(A1969="","",IF(O1969&lt;&gt;"",O1969,IF(L1969&lt;&gt;"",L1969,F1969)))</f>
        <v>1</v>
      </c>
    </row>
    <row r="1970" customFormat="false" ht="15" hidden="false" customHeight="true" outlineLevel="0" collapsed="false">
      <c r="A1970" s="30" t="s">
        <v>239</v>
      </c>
      <c r="B1970" s="30"/>
      <c r="C1970" s="21" t="n">
        <f aca="false">IF(A1970="","",IFERROR(VLOOKUP(A1970,'Recert Status'!$A$8:$C$400,3,FALSE()),""))</f>
        <v>0</v>
      </c>
      <c r="D1970" s="31" t="s">
        <v>717</v>
      </c>
      <c r="E1970" s="30" t="s">
        <v>416</v>
      </c>
      <c r="F1970" s="32" t="n">
        <v>1</v>
      </c>
      <c r="G1970" s="33" t="n">
        <v>45826</v>
      </c>
      <c r="H1970" s="33" t="n">
        <v>45826</v>
      </c>
      <c r="I1970" s="31" t="s">
        <v>1020</v>
      </c>
      <c r="J1970" s="30" t="s">
        <v>416</v>
      </c>
      <c r="K1970" s="31" t="s">
        <v>1021</v>
      </c>
      <c r="L1970" s="32" t="n">
        <v>1</v>
      </c>
      <c r="M1970" s="39" t="s">
        <v>413</v>
      </c>
      <c r="N1970" s="31" t="s">
        <v>414</v>
      </c>
      <c r="O1970" s="32" t="n">
        <v>1</v>
      </c>
      <c r="P1970" s="15" t="n">
        <f aca="false">IF(A1970="","",IF(O1970&lt;&gt;"",O1970,IF(L1970&lt;&gt;"",L1970,F1970)))</f>
        <v>1</v>
      </c>
    </row>
    <row r="1971" customFormat="false" ht="15" hidden="false" customHeight="true" outlineLevel="0" collapsed="false">
      <c r="A1971" s="26" t="s">
        <v>239</v>
      </c>
      <c r="B1971" s="26"/>
      <c r="C1971" s="14" t="n">
        <f aca="false">IF(A1971="","",IFERROR(VLOOKUP(A1971,'Recert Status'!$A$8:$C$400,3,FALSE()),""))</f>
        <v>0</v>
      </c>
      <c r="D1971" s="18" t="s">
        <v>414</v>
      </c>
      <c r="E1971" s="26" t="s">
        <v>416</v>
      </c>
      <c r="F1971" s="27" t="n">
        <v>1</v>
      </c>
      <c r="G1971" s="28" t="n">
        <v>46264</v>
      </c>
      <c r="H1971" s="28" t="n">
        <v>46264</v>
      </c>
      <c r="I1971" s="18" t="s">
        <v>1555</v>
      </c>
      <c r="J1971" s="26" t="s">
        <v>416</v>
      </c>
      <c r="K1971" s="18" t="s">
        <v>674</v>
      </c>
      <c r="L1971" s="27" t="n">
        <v>1</v>
      </c>
      <c r="M1971" s="39" t="s">
        <v>413</v>
      </c>
      <c r="N1971" s="18" t="s">
        <v>414</v>
      </c>
      <c r="O1971" s="27" t="n">
        <v>1</v>
      </c>
      <c r="P1971" s="15" t="n">
        <f aca="false">IF(A1971="","",IF(O1971&lt;&gt;"",O1971,IF(L1971&lt;&gt;"",L1971,F1971)))</f>
        <v>1</v>
      </c>
    </row>
    <row r="1972" customFormat="false" ht="15" hidden="false" customHeight="true" outlineLevel="0" collapsed="false">
      <c r="A1972" s="30" t="s">
        <v>240</v>
      </c>
      <c r="B1972" s="30" t="s">
        <v>241</v>
      </c>
      <c r="C1972" s="21" t="n">
        <f aca="false">IF(A1972="","",IFERROR(VLOOKUP(A1972,'Recert Status'!$A$8:$C$400,3,FALSE()),""))</f>
        <v>46387</v>
      </c>
      <c r="D1972" s="31" t="s">
        <v>1556</v>
      </c>
      <c r="E1972" s="30" t="s">
        <v>363</v>
      </c>
      <c r="F1972" s="32" t="n">
        <v>1</v>
      </c>
      <c r="G1972" s="33" t="n">
        <v>46204</v>
      </c>
      <c r="H1972" s="33" t="n">
        <v>46204</v>
      </c>
      <c r="I1972" s="31" t="s">
        <v>1557</v>
      </c>
      <c r="J1972" s="30" t="s">
        <v>363</v>
      </c>
      <c r="K1972" s="31" t="s">
        <v>365</v>
      </c>
      <c r="L1972" s="32" t="n">
        <v>1</v>
      </c>
      <c r="M1972" s="29" t="s">
        <v>366</v>
      </c>
      <c r="N1972" s="31" t="s">
        <v>367</v>
      </c>
      <c r="O1972" s="32" t="n">
        <v>1</v>
      </c>
      <c r="P1972" s="15" t="n">
        <f aca="false">IF(A1972="","",IF(O1972&lt;&gt;"",O1972,IF(L1972&lt;&gt;"",L1972,F1972)))</f>
        <v>1</v>
      </c>
    </row>
    <row r="1973" customFormat="false" ht="15" hidden="false" customHeight="true" outlineLevel="0" collapsed="false">
      <c r="A1973" s="26" t="s">
        <v>240</v>
      </c>
      <c r="B1973" s="26" t="s">
        <v>241</v>
      </c>
      <c r="C1973" s="14" t="n">
        <f aca="false">IF(A1973="","",IFERROR(VLOOKUP(A1973,'Recert Status'!$A$8:$C$400,3,FALSE()),""))</f>
        <v>46387</v>
      </c>
      <c r="D1973" s="18" t="s">
        <v>1558</v>
      </c>
      <c r="E1973" s="26" t="s">
        <v>363</v>
      </c>
      <c r="F1973" s="27" t="n">
        <v>1</v>
      </c>
      <c r="G1973" s="28" t="n">
        <v>46210</v>
      </c>
      <c r="H1973" s="28" t="n">
        <v>46210</v>
      </c>
      <c r="I1973" s="18" t="s">
        <v>1559</v>
      </c>
      <c r="J1973" s="26" t="s">
        <v>363</v>
      </c>
      <c r="K1973" s="18" t="s">
        <v>365</v>
      </c>
      <c r="L1973" s="27" t="n">
        <v>1</v>
      </c>
      <c r="M1973" s="29" t="s">
        <v>366</v>
      </c>
      <c r="N1973" s="18" t="s">
        <v>367</v>
      </c>
      <c r="O1973" s="27" t="n">
        <v>1</v>
      </c>
      <c r="P1973" s="15" t="n">
        <f aca="false">IF(A1973="","",IF(O1973&lt;&gt;"",O1973,IF(L1973&lt;&gt;"",L1973,F1973)))</f>
        <v>1</v>
      </c>
    </row>
    <row r="1974" customFormat="false" ht="15" hidden="false" customHeight="true" outlineLevel="0" collapsed="false">
      <c r="A1974" s="30" t="s">
        <v>240</v>
      </c>
      <c r="B1974" s="30" t="s">
        <v>241</v>
      </c>
      <c r="C1974" s="21" t="n">
        <f aca="false">IF(A1974="","",IFERROR(VLOOKUP(A1974,'Recert Status'!$A$8:$C$400,3,FALSE()),""))</f>
        <v>46387</v>
      </c>
      <c r="D1974" s="31" t="s">
        <v>569</v>
      </c>
      <c r="E1974" s="30" t="s">
        <v>542</v>
      </c>
      <c r="F1974" s="32" t="n">
        <v>0.5</v>
      </c>
      <c r="G1974" s="33" t="n">
        <v>45673</v>
      </c>
      <c r="H1974" s="33" t="n">
        <v>45673</v>
      </c>
      <c r="I1974" s="31" t="s">
        <v>612</v>
      </c>
      <c r="J1974" s="30" t="s">
        <v>542</v>
      </c>
      <c r="K1974" s="31" t="s">
        <v>407</v>
      </c>
      <c r="L1974" s="32" t="n">
        <v>0.5</v>
      </c>
      <c r="M1974" s="40" t="s">
        <v>423</v>
      </c>
      <c r="N1974" s="31" t="s">
        <v>424</v>
      </c>
      <c r="O1974" s="32" t="n">
        <v>0.5</v>
      </c>
      <c r="P1974" s="15" t="n">
        <f aca="false">IF(A1974="","",IF(O1974&lt;&gt;"",O1974,IF(L1974&lt;&gt;"",L1974,F1974)))</f>
        <v>0.5</v>
      </c>
    </row>
    <row r="1975" customFormat="false" ht="15" hidden="false" customHeight="true" outlineLevel="0" collapsed="false">
      <c r="A1975" s="26" t="s">
        <v>240</v>
      </c>
      <c r="B1975" s="26" t="s">
        <v>241</v>
      </c>
      <c r="C1975" s="14" t="n">
        <f aca="false">IF(A1975="","",IFERROR(VLOOKUP(A1975,'Recert Status'!$A$8:$C$400,3,FALSE()),""))</f>
        <v>46387</v>
      </c>
      <c r="D1975" s="18" t="s">
        <v>584</v>
      </c>
      <c r="E1975" s="26" t="s">
        <v>542</v>
      </c>
      <c r="F1975" s="27" t="n">
        <v>3</v>
      </c>
      <c r="G1975" s="28" t="n">
        <v>45892</v>
      </c>
      <c r="H1975" s="28" t="n">
        <v>45892</v>
      </c>
      <c r="I1975" s="18" t="s">
        <v>585</v>
      </c>
      <c r="J1975" s="26" t="s">
        <v>542</v>
      </c>
      <c r="K1975" s="18" t="s">
        <v>586</v>
      </c>
      <c r="L1975" s="27" t="n">
        <v>3</v>
      </c>
      <c r="M1975" s="40" t="s">
        <v>423</v>
      </c>
      <c r="N1975" s="18" t="s">
        <v>424</v>
      </c>
      <c r="O1975" s="27" t="n">
        <v>3</v>
      </c>
      <c r="P1975" s="15" t="n">
        <f aca="false">IF(A1975="","",IF(O1975&lt;&gt;"",O1975,IF(L1975&lt;&gt;"",L1975,F1975)))</f>
        <v>3</v>
      </c>
    </row>
    <row r="1976" customFormat="false" ht="15" hidden="false" customHeight="true" outlineLevel="0" collapsed="false">
      <c r="A1976" s="30" t="s">
        <v>240</v>
      </c>
      <c r="B1976" s="30" t="s">
        <v>241</v>
      </c>
      <c r="C1976" s="21" t="n">
        <f aca="false">IF(A1976="","",IFERROR(VLOOKUP(A1976,'Recert Status'!$A$8:$C$400,3,FALSE()),""))</f>
        <v>46387</v>
      </c>
      <c r="D1976" s="31" t="s">
        <v>977</v>
      </c>
      <c r="E1976" s="30" t="s">
        <v>426</v>
      </c>
      <c r="F1976" s="32" t="n">
        <v>2</v>
      </c>
      <c r="G1976" s="33" t="n">
        <v>45910</v>
      </c>
      <c r="H1976" s="33" t="n">
        <v>45910</v>
      </c>
      <c r="I1976" s="31" t="s">
        <v>978</v>
      </c>
      <c r="J1976" s="30" t="s">
        <v>426</v>
      </c>
      <c r="K1976" s="31" t="s">
        <v>495</v>
      </c>
      <c r="L1976" s="32" t="n">
        <v>2</v>
      </c>
      <c r="M1976" s="41" t="s">
        <v>429</v>
      </c>
      <c r="N1976" s="31" t="s">
        <v>430</v>
      </c>
      <c r="O1976" s="32" t="n">
        <v>2</v>
      </c>
      <c r="P1976" s="15" t="n">
        <f aca="false">IF(A1976="","",IF(O1976&lt;&gt;"",O1976,IF(L1976&lt;&gt;"",L1976,F1976)))</f>
        <v>2</v>
      </c>
    </row>
    <row r="1977" customFormat="false" ht="15" hidden="false" customHeight="true" outlineLevel="0" collapsed="false">
      <c r="A1977" s="26" t="s">
        <v>240</v>
      </c>
      <c r="B1977" s="26" t="s">
        <v>241</v>
      </c>
      <c r="C1977" s="14" t="n">
        <f aca="false">IF(A1977="","",IFERROR(VLOOKUP(A1977,'Recert Status'!$A$8:$C$400,3,FALSE()),""))</f>
        <v>46387</v>
      </c>
      <c r="D1977" s="18" t="s">
        <v>1066</v>
      </c>
      <c r="E1977" s="26" t="n">
        <v>57408</v>
      </c>
      <c r="F1977" s="27" t="n">
        <v>1.5</v>
      </c>
      <c r="G1977" s="28" t="n">
        <v>45979</v>
      </c>
      <c r="H1977" s="28" t="n">
        <v>45979</v>
      </c>
      <c r="I1977" s="18" t="s">
        <v>1067</v>
      </c>
      <c r="J1977" s="26" t="s">
        <v>1068</v>
      </c>
      <c r="K1977" s="18" t="s">
        <v>428</v>
      </c>
      <c r="L1977" s="27" t="n">
        <v>1.5</v>
      </c>
      <c r="M1977" s="41" t="s">
        <v>429</v>
      </c>
      <c r="N1977" s="18" t="s">
        <v>430</v>
      </c>
      <c r="O1977" s="27" t="n">
        <v>1.5</v>
      </c>
      <c r="P1977" s="15" t="n">
        <f aca="false">IF(A1977="","",IF(O1977&lt;&gt;"",O1977,IF(L1977&lt;&gt;"",L1977,F1977)))</f>
        <v>1.5</v>
      </c>
    </row>
    <row r="1978" customFormat="false" ht="15" hidden="false" customHeight="true" outlineLevel="0" collapsed="false">
      <c r="A1978" s="30" t="s">
        <v>240</v>
      </c>
      <c r="B1978" s="30" t="s">
        <v>241</v>
      </c>
      <c r="C1978" s="21" t="n">
        <f aca="false">IF(A1978="","",IFERROR(VLOOKUP(A1978,'Recert Status'!$A$8:$C$400,3,FALSE()),""))</f>
        <v>46387</v>
      </c>
      <c r="D1978" s="31" t="s">
        <v>762</v>
      </c>
      <c r="E1978" s="30" t="s">
        <v>426</v>
      </c>
      <c r="F1978" s="32" t="n">
        <v>1</v>
      </c>
      <c r="G1978" s="33" t="n">
        <v>46015</v>
      </c>
      <c r="H1978" s="33" t="n">
        <v>46015</v>
      </c>
      <c r="I1978" s="31" t="s">
        <v>763</v>
      </c>
      <c r="J1978" s="30" t="s">
        <v>426</v>
      </c>
      <c r="K1978" s="31" t="s">
        <v>428</v>
      </c>
      <c r="L1978" s="32" t="n">
        <v>1</v>
      </c>
      <c r="M1978" s="41" t="s">
        <v>429</v>
      </c>
      <c r="N1978" s="31" t="s">
        <v>430</v>
      </c>
      <c r="O1978" s="32" t="n">
        <v>1</v>
      </c>
      <c r="P1978" s="15" t="n">
        <f aca="false">IF(A1978="","",IF(O1978&lt;&gt;"",O1978,IF(L1978&lt;&gt;"",L1978,F1978)))</f>
        <v>1</v>
      </c>
    </row>
    <row r="1979" customFormat="false" ht="15" hidden="false" customHeight="true" outlineLevel="0" collapsed="false">
      <c r="A1979" s="26" t="s">
        <v>240</v>
      </c>
      <c r="B1979" s="26" t="s">
        <v>241</v>
      </c>
      <c r="C1979" s="14" t="n">
        <f aca="false">IF(A1979="","",IFERROR(VLOOKUP(A1979,'Recert Status'!$A$8:$C$400,3,FALSE()),""))</f>
        <v>46387</v>
      </c>
      <c r="D1979" s="18" t="s">
        <v>1560</v>
      </c>
      <c r="E1979" s="26" t="s">
        <v>426</v>
      </c>
      <c r="F1979" s="27" t="n">
        <v>1</v>
      </c>
      <c r="G1979" s="28" t="n">
        <v>46198</v>
      </c>
      <c r="H1979" s="28" t="n">
        <v>46198</v>
      </c>
      <c r="I1979" s="18" t="s">
        <v>1561</v>
      </c>
      <c r="J1979" s="26" t="s">
        <v>426</v>
      </c>
      <c r="K1979" s="18" t="s">
        <v>428</v>
      </c>
      <c r="L1979" s="27" t="n">
        <v>1</v>
      </c>
      <c r="M1979" s="41" t="s">
        <v>429</v>
      </c>
      <c r="N1979" s="18" t="s">
        <v>430</v>
      </c>
      <c r="O1979" s="27" t="n">
        <v>1</v>
      </c>
      <c r="P1979" s="15" t="n">
        <f aca="false">IF(A1979="","",IF(O1979&lt;&gt;"",O1979,IF(L1979&lt;&gt;"",L1979,F1979)))</f>
        <v>1</v>
      </c>
    </row>
    <row r="1980" customFormat="false" ht="15" hidden="false" customHeight="true" outlineLevel="0" collapsed="false">
      <c r="A1980" s="30" t="s">
        <v>240</v>
      </c>
      <c r="B1980" s="30" t="s">
        <v>241</v>
      </c>
      <c r="C1980" s="21" t="n">
        <f aca="false">IF(A1980="","",IFERROR(VLOOKUP(A1980,'Recert Status'!$A$8:$C$400,3,FALSE()),""))</f>
        <v>46387</v>
      </c>
      <c r="D1980" s="31" t="s">
        <v>1562</v>
      </c>
      <c r="E1980" s="30" t="s">
        <v>426</v>
      </c>
      <c r="F1980" s="32" t="n">
        <v>2</v>
      </c>
      <c r="G1980" s="33" t="n">
        <v>46201</v>
      </c>
      <c r="H1980" s="33" t="n">
        <v>46201</v>
      </c>
      <c r="I1980" s="31" t="s">
        <v>1563</v>
      </c>
      <c r="J1980" s="30" t="s">
        <v>426</v>
      </c>
      <c r="K1980" s="31" t="s">
        <v>428</v>
      </c>
      <c r="L1980" s="32" t="n">
        <v>2</v>
      </c>
      <c r="M1980" s="41" t="s">
        <v>429</v>
      </c>
      <c r="N1980" s="31" t="s">
        <v>430</v>
      </c>
      <c r="O1980" s="32" t="n">
        <v>2</v>
      </c>
      <c r="P1980" s="15" t="n">
        <f aca="false">IF(A1980="","",IF(O1980&lt;&gt;"",O1980,IF(L1980&lt;&gt;"",L1980,F1980)))</f>
        <v>2</v>
      </c>
    </row>
    <row r="1981" customFormat="false" ht="15" hidden="false" customHeight="true" outlineLevel="0" collapsed="false">
      <c r="A1981" s="26" t="s">
        <v>240</v>
      </c>
      <c r="B1981" s="26" t="s">
        <v>241</v>
      </c>
      <c r="C1981" s="14" t="n">
        <f aca="false">IF(A1981="","",IFERROR(VLOOKUP(A1981,'Recert Status'!$A$8:$C$400,3,FALSE()),""))</f>
        <v>46387</v>
      </c>
      <c r="D1981" s="18" t="s">
        <v>800</v>
      </c>
      <c r="E1981" s="26" t="s">
        <v>389</v>
      </c>
      <c r="F1981" s="27" t="n">
        <v>0.5</v>
      </c>
      <c r="G1981" s="28" t="n">
        <v>45838</v>
      </c>
      <c r="H1981" s="28" t="n">
        <v>45838</v>
      </c>
      <c r="I1981" s="18" t="s">
        <v>801</v>
      </c>
      <c r="J1981" s="26" t="s">
        <v>389</v>
      </c>
      <c r="K1981" s="18" t="s">
        <v>451</v>
      </c>
      <c r="L1981" s="27" t="n">
        <v>0.5</v>
      </c>
      <c r="M1981" s="35" t="s">
        <v>386</v>
      </c>
      <c r="N1981" s="18" t="s">
        <v>387</v>
      </c>
      <c r="O1981" s="27" t="n">
        <v>0.5</v>
      </c>
      <c r="P1981" s="15" t="n">
        <f aca="false">IF(A1981="","",IF(O1981&lt;&gt;"",O1981,IF(L1981&lt;&gt;"",L1981,F1981)))</f>
        <v>0.5</v>
      </c>
    </row>
    <row r="1982" customFormat="false" ht="15" hidden="false" customHeight="true" outlineLevel="0" collapsed="false">
      <c r="A1982" s="30" t="s">
        <v>240</v>
      </c>
      <c r="B1982" s="30" t="s">
        <v>241</v>
      </c>
      <c r="C1982" s="21" t="n">
        <f aca="false">IF(A1982="","",IFERROR(VLOOKUP(A1982,'Recert Status'!$A$8:$C$400,3,FALSE()),""))</f>
        <v>46387</v>
      </c>
      <c r="D1982" s="31" t="s">
        <v>469</v>
      </c>
      <c r="E1982" s="30" t="n">
        <v>29737</v>
      </c>
      <c r="F1982" s="32" t="n">
        <v>0.5</v>
      </c>
      <c r="G1982" s="33" t="n">
        <v>45841</v>
      </c>
      <c r="H1982" s="33" t="n">
        <v>45841</v>
      </c>
      <c r="I1982" s="31" t="s">
        <v>470</v>
      </c>
      <c r="J1982" s="30" t="s">
        <v>411</v>
      </c>
      <c r="K1982" s="31" t="s">
        <v>412</v>
      </c>
      <c r="L1982" s="32" t="n">
        <v>0.5</v>
      </c>
      <c r="M1982" s="35" t="s">
        <v>386</v>
      </c>
      <c r="N1982" s="31" t="s">
        <v>387</v>
      </c>
      <c r="O1982" s="32" t="n">
        <v>0.5</v>
      </c>
      <c r="P1982" s="15" t="n">
        <f aca="false">IF(A1982="","",IF(O1982&lt;&gt;"",O1982,IF(L1982&lt;&gt;"",L1982,F1982)))</f>
        <v>0.5</v>
      </c>
    </row>
    <row r="1983" customFormat="false" ht="15" hidden="false" customHeight="true" outlineLevel="0" collapsed="false">
      <c r="A1983" s="26" t="s">
        <v>240</v>
      </c>
      <c r="B1983" s="26" t="s">
        <v>241</v>
      </c>
      <c r="C1983" s="14" t="n">
        <f aca="false">IF(A1983="","",IFERROR(VLOOKUP(A1983,'Recert Status'!$A$8:$C$400,3,FALSE()),""))</f>
        <v>46387</v>
      </c>
      <c r="D1983" s="18" t="s">
        <v>682</v>
      </c>
      <c r="E1983" s="26" t="n">
        <v>29675</v>
      </c>
      <c r="F1983" s="27" t="n">
        <v>1</v>
      </c>
      <c r="G1983" s="28" t="n">
        <v>45985</v>
      </c>
      <c r="H1983" s="28" t="n">
        <v>45985</v>
      </c>
      <c r="I1983" s="18" t="s">
        <v>1074</v>
      </c>
      <c r="J1983" s="26" t="s">
        <v>406</v>
      </c>
      <c r="K1983" s="18" t="s">
        <v>446</v>
      </c>
      <c r="L1983" s="27" t="n">
        <v>1</v>
      </c>
      <c r="M1983" s="35" t="s">
        <v>386</v>
      </c>
      <c r="N1983" s="18" t="s">
        <v>387</v>
      </c>
      <c r="O1983" s="27" t="n">
        <v>1</v>
      </c>
      <c r="P1983" s="15" t="n">
        <f aca="false">IF(A1983="","",IF(O1983&lt;&gt;"",O1983,IF(L1983&lt;&gt;"",L1983,F1983)))</f>
        <v>1</v>
      </c>
    </row>
    <row r="1984" customFormat="false" ht="15" hidden="false" customHeight="true" outlineLevel="0" collapsed="false">
      <c r="A1984" s="30" t="s">
        <v>240</v>
      </c>
      <c r="B1984" s="30" t="s">
        <v>241</v>
      </c>
      <c r="C1984" s="21" t="n">
        <f aca="false">IF(A1984="","",IFERROR(VLOOKUP(A1984,'Recert Status'!$A$8:$C$400,3,FALSE()),""))</f>
        <v>46387</v>
      </c>
      <c r="D1984" s="31" t="s">
        <v>591</v>
      </c>
      <c r="E1984" s="30" t="s">
        <v>389</v>
      </c>
      <c r="F1984" s="32" t="n">
        <v>1</v>
      </c>
      <c r="G1984" s="33" t="n">
        <v>45994</v>
      </c>
      <c r="H1984" s="33" t="n">
        <v>45994</v>
      </c>
      <c r="I1984" s="31" t="s">
        <v>770</v>
      </c>
      <c r="J1984" s="30" t="s">
        <v>389</v>
      </c>
      <c r="K1984" s="31" t="s">
        <v>451</v>
      </c>
      <c r="L1984" s="32" t="n">
        <v>1</v>
      </c>
      <c r="M1984" s="35" t="s">
        <v>386</v>
      </c>
      <c r="N1984" s="31" t="s">
        <v>387</v>
      </c>
      <c r="O1984" s="32" t="n">
        <v>1</v>
      </c>
      <c r="P1984" s="15" t="n">
        <f aca="false">IF(A1984="","",IF(O1984&lt;&gt;"",O1984,IF(L1984&lt;&gt;"",L1984,F1984)))</f>
        <v>1</v>
      </c>
    </row>
    <row r="1985" customFormat="false" ht="15" hidden="false" customHeight="true" outlineLevel="0" collapsed="false">
      <c r="A1985" s="26" t="s">
        <v>240</v>
      </c>
      <c r="B1985" s="26" t="s">
        <v>241</v>
      </c>
      <c r="C1985" s="14" t="n">
        <f aca="false">IF(A1985="","",IFERROR(VLOOKUP(A1985,'Recert Status'!$A$8:$C$400,3,FALSE()),""))</f>
        <v>46387</v>
      </c>
      <c r="D1985" s="18" t="s">
        <v>376</v>
      </c>
      <c r="E1985" s="26" t="s">
        <v>389</v>
      </c>
      <c r="F1985" s="27" t="n">
        <v>1</v>
      </c>
      <c r="G1985" s="28" t="n">
        <v>46099</v>
      </c>
      <c r="H1985" s="28" t="n">
        <v>46099</v>
      </c>
      <c r="I1985" s="18" t="s">
        <v>1564</v>
      </c>
      <c r="J1985" s="26" t="s">
        <v>389</v>
      </c>
      <c r="K1985" s="18" t="s">
        <v>766</v>
      </c>
      <c r="L1985" s="27" t="n">
        <v>1</v>
      </c>
      <c r="M1985" s="35" t="s">
        <v>386</v>
      </c>
      <c r="N1985" s="18" t="s">
        <v>387</v>
      </c>
      <c r="O1985" s="27" t="n">
        <v>1</v>
      </c>
      <c r="P1985" s="15" t="n">
        <f aca="false">IF(A1985="","",IF(O1985&lt;&gt;"",O1985,IF(L1985&lt;&gt;"",L1985,F1985)))</f>
        <v>1</v>
      </c>
    </row>
    <row r="1986" customFormat="false" ht="15" hidden="false" customHeight="true" outlineLevel="0" collapsed="false">
      <c r="A1986" s="30" t="s">
        <v>240</v>
      </c>
      <c r="B1986" s="30" t="s">
        <v>241</v>
      </c>
      <c r="C1986" s="21" t="n">
        <f aca="false">IF(A1986="","",IFERROR(VLOOKUP(A1986,'Recert Status'!$A$8:$C$400,3,FALSE()),""))</f>
        <v>46387</v>
      </c>
      <c r="D1986" s="31" t="s">
        <v>562</v>
      </c>
      <c r="E1986" s="30" t="s">
        <v>389</v>
      </c>
      <c r="F1986" s="32" t="n">
        <v>1</v>
      </c>
      <c r="G1986" s="33" t="n">
        <v>46168</v>
      </c>
      <c r="H1986" s="33" t="n">
        <v>46168</v>
      </c>
      <c r="I1986" s="31" t="s">
        <v>562</v>
      </c>
      <c r="J1986" s="30" t="s">
        <v>389</v>
      </c>
      <c r="K1986" s="31" t="s">
        <v>495</v>
      </c>
      <c r="L1986" s="32" t="n">
        <v>1</v>
      </c>
      <c r="M1986" s="35" t="s">
        <v>386</v>
      </c>
      <c r="N1986" s="31" t="s">
        <v>387</v>
      </c>
      <c r="O1986" s="32" t="n">
        <v>1</v>
      </c>
      <c r="P1986" s="15" t="n">
        <f aca="false">IF(A1986="","",IF(O1986&lt;&gt;"",O1986,IF(L1986&lt;&gt;"",L1986,F1986)))</f>
        <v>1</v>
      </c>
    </row>
    <row r="1987" customFormat="false" ht="15" hidden="false" customHeight="true" outlineLevel="0" collapsed="false">
      <c r="A1987" s="26" t="s">
        <v>240</v>
      </c>
      <c r="B1987" s="26" t="s">
        <v>241</v>
      </c>
      <c r="C1987" s="14" t="n">
        <f aca="false">IF(A1987="","",IFERROR(VLOOKUP(A1987,'Recert Status'!$A$8:$C$400,3,FALSE()),""))</f>
        <v>46387</v>
      </c>
      <c r="D1987" s="18" t="s">
        <v>1565</v>
      </c>
      <c r="E1987" s="26" t="s">
        <v>389</v>
      </c>
      <c r="F1987" s="27" t="n">
        <v>1</v>
      </c>
      <c r="G1987" s="28" t="n">
        <v>46180</v>
      </c>
      <c r="H1987" s="28" t="n">
        <v>46180</v>
      </c>
      <c r="I1987" s="18" t="s">
        <v>1566</v>
      </c>
      <c r="J1987" s="26" t="s">
        <v>389</v>
      </c>
      <c r="K1987" s="18" t="s">
        <v>630</v>
      </c>
      <c r="L1987" s="27" t="n">
        <v>1</v>
      </c>
      <c r="M1987" s="35" t="s">
        <v>386</v>
      </c>
      <c r="N1987" s="18" t="s">
        <v>387</v>
      </c>
      <c r="O1987" s="27" t="n">
        <v>1</v>
      </c>
      <c r="P1987" s="15" t="n">
        <f aca="false">IF(A1987="","",IF(O1987&lt;&gt;"",O1987,IF(L1987&lt;&gt;"",L1987,F1987)))</f>
        <v>1</v>
      </c>
    </row>
    <row r="1988" customFormat="false" ht="15" hidden="false" customHeight="true" outlineLevel="0" collapsed="false">
      <c r="A1988" s="30" t="s">
        <v>240</v>
      </c>
      <c r="B1988" s="30" t="s">
        <v>241</v>
      </c>
      <c r="C1988" s="21" t="n">
        <f aca="false">IF(A1988="","",IFERROR(VLOOKUP(A1988,'Recert Status'!$A$8:$C$400,3,FALSE()),""))</f>
        <v>46387</v>
      </c>
      <c r="D1988" s="31" t="s">
        <v>1567</v>
      </c>
      <c r="E1988" s="30" t="n">
        <v>29740</v>
      </c>
      <c r="F1988" s="32" t="n">
        <v>1</v>
      </c>
      <c r="G1988" s="33" t="n">
        <v>46183</v>
      </c>
      <c r="H1988" s="33" t="n">
        <v>46183</v>
      </c>
      <c r="I1988" s="31" t="s">
        <v>1568</v>
      </c>
      <c r="J1988" s="30" t="s">
        <v>394</v>
      </c>
      <c r="K1988" s="31" t="s">
        <v>436</v>
      </c>
      <c r="L1988" s="32" t="n">
        <v>1</v>
      </c>
      <c r="M1988" s="35" t="s">
        <v>386</v>
      </c>
      <c r="N1988" s="31" t="s">
        <v>387</v>
      </c>
      <c r="O1988" s="32" t="n">
        <v>1</v>
      </c>
      <c r="P1988" s="15" t="n">
        <f aca="false">IF(A1988="","",IF(O1988&lt;&gt;"",O1988,IF(L1988&lt;&gt;"",L1988,F1988)))</f>
        <v>1</v>
      </c>
    </row>
    <row r="1989" customFormat="false" ht="15" hidden="false" customHeight="true" outlineLevel="0" collapsed="false">
      <c r="A1989" s="26" t="s">
        <v>240</v>
      </c>
      <c r="B1989" s="26" t="s">
        <v>241</v>
      </c>
      <c r="C1989" s="14" t="n">
        <f aca="false">IF(A1989="","",IFERROR(VLOOKUP(A1989,'Recert Status'!$A$8:$C$400,3,FALSE()),""))</f>
        <v>46387</v>
      </c>
      <c r="D1989" s="18" t="s">
        <v>1569</v>
      </c>
      <c r="E1989" s="26" t="s">
        <v>389</v>
      </c>
      <c r="F1989" s="27" t="n">
        <v>1</v>
      </c>
      <c r="G1989" s="28" t="n">
        <v>46196</v>
      </c>
      <c r="H1989" s="28" t="n">
        <v>46196</v>
      </c>
      <c r="I1989" s="18" t="s">
        <v>1570</v>
      </c>
      <c r="J1989" s="26" t="s">
        <v>389</v>
      </c>
      <c r="K1989" s="18" t="s">
        <v>451</v>
      </c>
      <c r="L1989" s="27" t="n">
        <v>1</v>
      </c>
      <c r="M1989" s="35" t="s">
        <v>386</v>
      </c>
      <c r="N1989" s="18" t="s">
        <v>387</v>
      </c>
      <c r="O1989" s="27" t="n">
        <v>1</v>
      </c>
      <c r="P1989" s="15" t="n">
        <f aca="false">IF(A1989="","",IF(O1989&lt;&gt;"",O1989,IF(L1989&lt;&gt;"",L1989,F1989)))</f>
        <v>1</v>
      </c>
    </row>
    <row r="1990" customFormat="false" ht="15" hidden="false" customHeight="true" outlineLevel="0" collapsed="false">
      <c r="A1990" s="30" t="s">
        <v>240</v>
      </c>
      <c r="B1990" s="30" t="s">
        <v>241</v>
      </c>
      <c r="C1990" s="21" t="n">
        <f aca="false">IF(A1990="","",IFERROR(VLOOKUP(A1990,'Recert Status'!$A$8:$C$400,3,FALSE()),""))</f>
        <v>46387</v>
      </c>
      <c r="D1990" s="31" t="s">
        <v>474</v>
      </c>
      <c r="E1990" s="30" t="s">
        <v>389</v>
      </c>
      <c r="F1990" s="32" t="n">
        <v>1</v>
      </c>
      <c r="G1990" s="33" t="n">
        <v>46204</v>
      </c>
      <c r="H1990" s="33" t="n">
        <v>46204</v>
      </c>
      <c r="I1990" s="31" t="s">
        <v>475</v>
      </c>
      <c r="J1990" s="30" t="s">
        <v>389</v>
      </c>
      <c r="K1990" s="31" t="s">
        <v>476</v>
      </c>
      <c r="L1990" s="32" t="n">
        <v>1</v>
      </c>
      <c r="M1990" s="35" t="s">
        <v>386</v>
      </c>
      <c r="N1990" s="31" t="s">
        <v>387</v>
      </c>
      <c r="O1990" s="32" t="n">
        <v>1</v>
      </c>
      <c r="P1990" s="15" t="n">
        <f aca="false">IF(A1990="","",IF(O1990&lt;&gt;"",O1990,IF(L1990&lt;&gt;"",L1990,F1990)))</f>
        <v>1</v>
      </c>
    </row>
    <row r="1991" customFormat="false" ht="15" hidden="false" customHeight="true" outlineLevel="0" collapsed="false">
      <c r="A1991" s="26" t="s">
        <v>240</v>
      </c>
      <c r="B1991" s="26" t="s">
        <v>241</v>
      </c>
      <c r="C1991" s="14" t="n">
        <f aca="false">IF(A1991="","",IFERROR(VLOOKUP(A1991,'Recert Status'!$A$8:$C$400,3,FALSE()),""))</f>
        <v>46387</v>
      </c>
      <c r="D1991" s="18" t="s">
        <v>387</v>
      </c>
      <c r="E1991" s="26" t="s">
        <v>389</v>
      </c>
      <c r="F1991" s="27" t="n">
        <v>1</v>
      </c>
      <c r="G1991" s="28" t="n">
        <v>46230</v>
      </c>
      <c r="H1991" s="28" t="n">
        <v>46230</v>
      </c>
      <c r="I1991" s="18" t="s">
        <v>1571</v>
      </c>
      <c r="J1991" s="26" t="s">
        <v>389</v>
      </c>
      <c r="K1991" s="18" t="s">
        <v>451</v>
      </c>
      <c r="L1991" s="27" t="n">
        <v>1</v>
      </c>
      <c r="M1991" s="35" t="s">
        <v>386</v>
      </c>
      <c r="N1991" s="18" t="s">
        <v>387</v>
      </c>
      <c r="O1991" s="27" t="n">
        <v>1</v>
      </c>
      <c r="P1991" s="15" t="n">
        <f aca="false">IF(A1991="","",IF(O1991&lt;&gt;"",O1991,IF(L1991&lt;&gt;"",L1991,F1991)))</f>
        <v>1</v>
      </c>
    </row>
    <row r="1992" customFormat="false" ht="15" hidden="false" customHeight="true" outlineLevel="0" collapsed="false">
      <c r="A1992" s="30" t="s">
        <v>240</v>
      </c>
      <c r="B1992" s="30" t="s">
        <v>241</v>
      </c>
      <c r="C1992" s="21" t="n">
        <f aca="false">IF(A1992="","",IFERROR(VLOOKUP(A1992,'Recert Status'!$A$8:$C$400,3,FALSE()),""))</f>
        <v>46387</v>
      </c>
      <c r="D1992" s="31" t="s">
        <v>802</v>
      </c>
      <c r="E1992" s="30" t="n">
        <v>35513</v>
      </c>
      <c r="F1992" s="32" t="n">
        <v>1</v>
      </c>
      <c r="G1992" s="33" t="n">
        <v>45868</v>
      </c>
      <c r="H1992" s="33" t="n">
        <v>45868</v>
      </c>
      <c r="I1992" s="31" t="s">
        <v>803</v>
      </c>
      <c r="J1992" s="30" t="s">
        <v>384</v>
      </c>
      <c r="K1992" s="31" t="s">
        <v>385</v>
      </c>
      <c r="L1992" s="32" t="n">
        <v>1</v>
      </c>
      <c r="M1992" s="36" t="s">
        <v>396</v>
      </c>
      <c r="N1992" s="31" t="s">
        <v>397</v>
      </c>
      <c r="O1992" s="32" t="n">
        <v>1</v>
      </c>
      <c r="P1992" s="15" t="n">
        <f aca="false">IF(A1992="","",IF(O1992&lt;&gt;"",O1992,IF(L1992&lt;&gt;"",L1992,F1992)))</f>
        <v>1</v>
      </c>
    </row>
    <row r="1993" customFormat="false" ht="15" hidden="false" customHeight="true" outlineLevel="0" collapsed="false">
      <c r="A1993" s="26" t="s">
        <v>240</v>
      </c>
      <c r="B1993" s="26" t="s">
        <v>241</v>
      </c>
      <c r="C1993" s="14" t="n">
        <f aca="false">IF(A1993="","",IFERROR(VLOOKUP(A1993,'Recert Status'!$A$8:$C$400,3,FALSE()),""))</f>
        <v>46387</v>
      </c>
      <c r="D1993" s="18" t="s">
        <v>771</v>
      </c>
      <c r="E1993" s="26" t="n">
        <v>35513</v>
      </c>
      <c r="F1993" s="27" t="n">
        <v>1</v>
      </c>
      <c r="G1993" s="28" t="n">
        <v>46135</v>
      </c>
      <c r="H1993" s="28" t="n">
        <v>46135</v>
      </c>
      <c r="I1993" s="18" t="s">
        <v>1572</v>
      </c>
      <c r="J1993" s="26" t="s">
        <v>384</v>
      </c>
      <c r="K1993" s="18" t="s">
        <v>735</v>
      </c>
      <c r="L1993" s="27" t="n">
        <v>1</v>
      </c>
      <c r="M1993" s="36" t="s">
        <v>396</v>
      </c>
      <c r="N1993" s="18" t="s">
        <v>397</v>
      </c>
      <c r="O1993" s="27" t="n">
        <v>1</v>
      </c>
      <c r="P1993" s="15" t="n">
        <f aca="false">IF(A1993="","",IF(O1993&lt;&gt;"",O1993,IF(L1993&lt;&gt;"",L1993,F1993)))</f>
        <v>1</v>
      </c>
    </row>
    <row r="1994" customFormat="false" ht="15" hidden="false" customHeight="true" outlineLevel="0" collapsed="false">
      <c r="A1994" s="30" t="s">
        <v>240</v>
      </c>
      <c r="B1994" s="30" t="s">
        <v>241</v>
      </c>
      <c r="C1994" s="21" t="n">
        <f aca="false">IF(A1994="","",IFERROR(VLOOKUP(A1994,'Recert Status'!$A$8:$C$400,3,FALSE()),""))</f>
        <v>46387</v>
      </c>
      <c r="D1994" s="31" t="s">
        <v>1573</v>
      </c>
      <c r="E1994" s="30" t="n">
        <v>35513</v>
      </c>
      <c r="F1994" s="32" t="n">
        <v>1</v>
      </c>
      <c r="G1994" s="33" t="n">
        <v>46147</v>
      </c>
      <c r="H1994" s="33" t="n">
        <v>46147</v>
      </c>
      <c r="I1994" s="31" t="s">
        <v>1574</v>
      </c>
      <c r="J1994" s="30" t="s">
        <v>384</v>
      </c>
      <c r="K1994" s="31" t="s">
        <v>385</v>
      </c>
      <c r="L1994" s="32" t="n">
        <v>1</v>
      </c>
      <c r="M1994" s="36" t="s">
        <v>396</v>
      </c>
      <c r="N1994" s="31" t="s">
        <v>397</v>
      </c>
      <c r="O1994" s="32" t="n">
        <v>1</v>
      </c>
      <c r="P1994" s="15" t="n">
        <f aca="false">IF(A1994="","",IF(O1994&lt;&gt;"",O1994,IF(L1994&lt;&gt;"",L1994,F1994)))</f>
        <v>1</v>
      </c>
    </row>
    <row r="1995" customFormat="false" ht="15" hidden="false" customHeight="true" outlineLevel="0" collapsed="false">
      <c r="A1995" s="26" t="s">
        <v>240</v>
      </c>
      <c r="B1995" s="26" t="s">
        <v>241</v>
      </c>
      <c r="C1995" s="14" t="n">
        <f aca="false">IF(A1995="","",IFERROR(VLOOKUP(A1995,'Recert Status'!$A$8:$C$400,3,FALSE()),""))</f>
        <v>46387</v>
      </c>
      <c r="D1995" s="18" t="s">
        <v>1575</v>
      </c>
      <c r="E1995" s="26" t="n">
        <v>35513</v>
      </c>
      <c r="F1995" s="27" t="n">
        <v>1</v>
      </c>
      <c r="G1995" s="28" t="n">
        <v>46219</v>
      </c>
      <c r="H1995" s="28" t="n">
        <v>46219</v>
      </c>
      <c r="I1995" s="18" t="s">
        <v>1576</v>
      </c>
      <c r="J1995" s="26" t="s">
        <v>384</v>
      </c>
      <c r="K1995" s="18" t="s">
        <v>385</v>
      </c>
      <c r="L1995" s="27" t="n">
        <v>1</v>
      </c>
      <c r="M1995" s="36" t="s">
        <v>396</v>
      </c>
      <c r="N1995" s="18" t="s">
        <v>397</v>
      </c>
      <c r="O1995" s="27" t="n">
        <v>1</v>
      </c>
      <c r="P1995" s="15" t="n">
        <f aca="false">IF(A1995="","",IF(O1995&lt;&gt;"",O1995,IF(L1995&lt;&gt;"",L1995,F1995)))</f>
        <v>1</v>
      </c>
    </row>
    <row r="1996" customFormat="false" ht="15" hidden="false" customHeight="true" outlineLevel="0" collapsed="false">
      <c r="A1996" s="30" t="s">
        <v>240</v>
      </c>
      <c r="B1996" s="30" t="s">
        <v>241</v>
      </c>
      <c r="C1996" s="21" t="n">
        <f aca="false">IF(A1996="","",IFERROR(VLOOKUP(A1996,'Recert Status'!$A$8:$C$400,3,FALSE()),""))</f>
        <v>46387</v>
      </c>
      <c r="D1996" s="31" t="s">
        <v>397</v>
      </c>
      <c r="E1996" s="30" t="s">
        <v>452</v>
      </c>
      <c r="F1996" s="32" t="n">
        <v>1</v>
      </c>
      <c r="G1996" s="33" t="n">
        <v>46244</v>
      </c>
      <c r="H1996" s="33" t="n">
        <v>46244</v>
      </c>
      <c r="I1996" s="31" t="s">
        <v>453</v>
      </c>
      <c r="J1996" s="30" t="s">
        <v>452</v>
      </c>
      <c r="K1996" s="31" t="s">
        <v>385</v>
      </c>
      <c r="L1996" s="32" t="n">
        <v>1</v>
      </c>
      <c r="M1996" s="36" t="s">
        <v>396</v>
      </c>
      <c r="N1996" s="31" t="s">
        <v>397</v>
      </c>
      <c r="O1996" s="32" t="n">
        <v>1</v>
      </c>
      <c r="P1996" s="15" t="n">
        <f aca="false">IF(A1996="","",IF(O1996&lt;&gt;"",O1996,IF(L1996&lt;&gt;"",L1996,F1996)))</f>
        <v>1</v>
      </c>
    </row>
    <row r="1997" customFormat="false" ht="15" hidden="false" customHeight="true" outlineLevel="0" collapsed="false">
      <c r="A1997" s="26" t="s">
        <v>240</v>
      </c>
      <c r="B1997" s="26" t="s">
        <v>241</v>
      </c>
      <c r="C1997" s="14" t="n">
        <f aca="false">IF(A1997="","",IFERROR(VLOOKUP(A1997,'Recert Status'!$A$8:$C$400,3,FALSE()),""))</f>
        <v>46387</v>
      </c>
      <c r="D1997" s="18" t="s">
        <v>397</v>
      </c>
      <c r="E1997" s="26" t="s">
        <v>452</v>
      </c>
      <c r="F1997" s="27" t="n">
        <v>1</v>
      </c>
      <c r="G1997" s="28" t="n">
        <v>46256</v>
      </c>
      <c r="H1997" s="28" t="n">
        <v>46256</v>
      </c>
      <c r="I1997" s="18" t="s">
        <v>1577</v>
      </c>
      <c r="J1997" s="26" t="s">
        <v>452</v>
      </c>
      <c r="K1997" s="18" t="s">
        <v>385</v>
      </c>
      <c r="L1997" s="27" t="n">
        <v>1</v>
      </c>
      <c r="M1997" s="36" t="s">
        <v>396</v>
      </c>
      <c r="N1997" s="18" t="s">
        <v>397</v>
      </c>
      <c r="O1997" s="27" t="n">
        <v>1</v>
      </c>
      <c r="P1997" s="15" t="n">
        <f aca="false">IF(A1997="","",IF(O1997&lt;&gt;"",O1997,IF(L1997&lt;&gt;"",L1997,F1997)))</f>
        <v>1</v>
      </c>
    </row>
    <row r="1998" customFormat="false" ht="15" hidden="false" customHeight="true" outlineLevel="0" collapsed="false">
      <c r="A1998" s="30" t="s">
        <v>240</v>
      </c>
      <c r="B1998" s="30" t="s">
        <v>241</v>
      </c>
      <c r="C1998" s="21" t="n">
        <f aca="false">IF(A1998="","",IFERROR(VLOOKUP(A1998,'Recert Status'!$A$8:$C$400,3,FALSE()),""))</f>
        <v>46387</v>
      </c>
      <c r="D1998" s="31" t="s">
        <v>397</v>
      </c>
      <c r="E1998" s="30" t="s">
        <v>452</v>
      </c>
      <c r="F1998" s="32" t="n">
        <v>1</v>
      </c>
      <c r="G1998" s="33" t="n">
        <v>46274</v>
      </c>
      <c r="H1998" s="33" t="n">
        <v>46274</v>
      </c>
      <c r="I1998" s="31" t="s">
        <v>933</v>
      </c>
      <c r="J1998" s="30" t="s">
        <v>452</v>
      </c>
      <c r="K1998" s="31" t="s">
        <v>385</v>
      </c>
      <c r="L1998" s="32" t="n">
        <v>1</v>
      </c>
      <c r="M1998" s="36" t="s">
        <v>396</v>
      </c>
      <c r="N1998" s="31" t="s">
        <v>397</v>
      </c>
      <c r="O1998" s="32" t="n">
        <v>1</v>
      </c>
      <c r="P1998" s="15" t="n">
        <f aca="false">IF(A1998="","",IF(O1998&lt;&gt;"",O1998,IF(L1998&lt;&gt;"",L1998,F1998)))</f>
        <v>1</v>
      </c>
    </row>
    <row r="1999" customFormat="false" ht="15" hidden="false" customHeight="true" outlineLevel="0" collapsed="false">
      <c r="A1999" s="26" t="s">
        <v>240</v>
      </c>
      <c r="B1999" s="26" t="s">
        <v>241</v>
      </c>
      <c r="C1999" s="14" t="n">
        <f aca="false">IF(A1999="","",IFERROR(VLOOKUP(A1999,'Recert Status'!$A$8:$C$400,3,FALSE()),""))</f>
        <v>46387</v>
      </c>
      <c r="D1999" s="18" t="s">
        <v>449</v>
      </c>
      <c r="E1999" s="26" t="s">
        <v>416</v>
      </c>
      <c r="F1999" s="27" t="n">
        <v>1</v>
      </c>
      <c r="G1999" s="28" t="n">
        <v>45826</v>
      </c>
      <c r="H1999" s="28" t="n">
        <v>45826</v>
      </c>
      <c r="I1999" s="18" t="s">
        <v>1080</v>
      </c>
      <c r="J1999" s="26" t="s">
        <v>416</v>
      </c>
      <c r="K1999" s="18" t="s">
        <v>674</v>
      </c>
      <c r="L1999" s="27" t="n">
        <v>1</v>
      </c>
      <c r="M1999" s="39" t="s">
        <v>413</v>
      </c>
      <c r="N1999" s="18" t="s">
        <v>414</v>
      </c>
      <c r="O1999" s="27" t="n">
        <v>1</v>
      </c>
      <c r="P1999" s="15" t="n">
        <f aca="false">IF(A1999="","",IF(O1999&lt;&gt;"",O1999,IF(L1999&lt;&gt;"",L1999,F1999)))</f>
        <v>1</v>
      </c>
    </row>
    <row r="2000" customFormat="false" ht="15" hidden="false" customHeight="true" outlineLevel="0" collapsed="false">
      <c r="A2000" s="30" t="s">
        <v>240</v>
      </c>
      <c r="B2000" s="30" t="s">
        <v>241</v>
      </c>
      <c r="C2000" s="21" t="n">
        <f aca="false">IF(A2000="","",IFERROR(VLOOKUP(A2000,'Recert Status'!$A$8:$C$400,3,FALSE()),""))</f>
        <v>46387</v>
      </c>
      <c r="D2000" s="31" t="s">
        <v>1206</v>
      </c>
      <c r="E2000" s="30" t="s">
        <v>416</v>
      </c>
      <c r="F2000" s="32" t="n">
        <v>4</v>
      </c>
      <c r="G2000" s="33" t="n">
        <v>45964</v>
      </c>
      <c r="H2000" s="33" t="n">
        <v>45964</v>
      </c>
      <c r="I2000" s="31" t="s">
        <v>1207</v>
      </c>
      <c r="J2000" s="30" t="s">
        <v>416</v>
      </c>
      <c r="K2000" s="31" t="s">
        <v>485</v>
      </c>
      <c r="L2000" s="32" t="n">
        <v>4</v>
      </c>
      <c r="M2000" s="39" t="s">
        <v>413</v>
      </c>
      <c r="N2000" s="31" t="s">
        <v>414</v>
      </c>
      <c r="O2000" s="32" t="n">
        <v>4</v>
      </c>
      <c r="P2000" s="15" t="n">
        <f aca="false">IF(A2000="","",IF(O2000&lt;&gt;"",O2000,IF(L2000&lt;&gt;"",L2000,F2000)))</f>
        <v>4</v>
      </c>
    </row>
    <row r="2001" customFormat="false" ht="15" hidden="false" customHeight="true" outlineLevel="0" collapsed="false">
      <c r="A2001" s="26" t="s">
        <v>240</v>
      </c>
      <c r="B2001" s="26" t="s">
        <v>241</v>
      </c>
      <c r="C2001" s="14" t="n">
        <f aca="false">IF(A2001="","",IFERROR(VLOOKUP(A2001,'Recert Status'!$A$8:$C$400,3,FALSE()),""))</f>
        <v>46387</v>
      </c>
      <c r="D2001" s="18" t="s">
        <v>1158</v>
      </c>
      <c r="E2001" s="26" t="s">
        <v>416</v>
      </c>
      <c r="F2001" s="27" t="n">
        <v>2</v>
      </c>
      <c r="G2001" s="28" t="n">
        <v>46048</v>
      </c>
      <c r="H2001" s="28" t="n">
        <v>46048</v>
      </c>
      <c r="I2001" s="18" t="s">
        <v>1159</v>
      </c>
      <c r="J2001" s="26" t="s">
        <v>416</v>
      </c>
      <c r="K2001" s="18" t="s">
        <v>418</v>
      </c>
      <c r="L2001" s="27" t="n">
        <v>2</v>
      </c>
      <c r="M2001" s="39" t="s">
        <v>413</v>
      </c>
      <c r="N2001" s="18" t="s">
        <v>414</v>
      </c>
      <c r="O2001" s="27" t="n">
        <v>2</v>
      </c>
      <c r="P2001" s="15" t="n">
        <f aca="false">IF(A2001="","",IF(O2001&lt;&gt;"",O2001,IF(L2001&lt;&gt;"",L2001,F2001)))</f>
        <v>2</v>
      </c>
    </row>
    <row r="2002" customFormat="false" ht="15" hidden="false" customHeight="true" outlineLevel="0" collapsed="false">
      <c r="A2002" s="30" t="s">
        <v>240</v>
      </c>
      <c r="B2002" s="30" t="s">
        <v>241</v>
      </c>
      <c r="C2002" s="21" t="n">
        <f aca="false">IF(A2002="","",IFERROR(VLOOKUP(A2002,'Recert Status'!$A$8:$C$400,3,FALSE()),""))</f>
        <v>46387</v>
      </c>
      <c r="D2002" s="31" t="s">
        <v>488</v>
      </c>
      <c r="E2002" s="30" t="s">
        <v>416</v>
      </c>
      <c r="F2002" s="32" t="n">
        <v>1</v>
      </c>
      <c r="G2002" s="33" t="n">
        <v>46132</v>
      </c>
      <c r="H2002" s="33" t="n">
        <v>46132</v>
      </c>
      <c r="I2002" s="31" t="s">
        <v>609</v>
      </c>
      <c r="J2002" s="30" t="s">
        <v>416</v>
      </c>
      <c r="K2002" s="31" t="s">
        <v>490</v>
      </c>
      <c r="L2002" s="32" t="n">
        <v>1</v>
      </c>
      <c r="M2002" s="39" t="s">
        <v>413</v>
      </c>
      <c r="N2002" s="31" t="s">
        <v>414</v>
      </c>
      <c r="O2002" s="32" t="n">
        <v>1</v>
      </c>
      <c r="P2002" s="15" t="n">
        <f aca="false">IF(A2002="","",IF(O2002&lt;&gt;"",O2002,IF(L2002&lt;&gt;"",L2002,F2002)))</f>
        <v>1</v>
      </c>
    </row>
    <row r="2003" customFormat="false" ht="15" hidden="false" customHeight="true" outlineLevel="0" collapsed="false">
      <c r="A2003" s="26" t="s">
        <v>240</v>
      </c>
      <c r="B2003" s="26" t="s">
        <v>241</v>
      </c>
      <c r="C2003" s="14" t="n">
        <f aca="false">IF(A2003="","",IFERROR(VLOOKUP(A2003,'Recert Status'!$A$8:$C$400,3,FALSE()),""))</f>
        <v>46387</v>
      </c>
      <c r="D2003" s="18" t="s">
        <v>1189</v>
      </c>
      <c r="E2003" s="26" t="s">
        <v>416</v>
      </c>
      <c r="F2003" s="27" t="n">
        <v>1</v>
      </c>
      <c r="G2003" s="28" t="n">
        <v>46147</v>
      </c>
      <c r="H2003" s="28" t="n">
        <v>46147</v>
      </c>
      <c r="I2003" s="18" t="s">
        <v>1189</v>
      </c>
      <c r="J2003" s="26" t="s">
        <v>416</v>
      </c>
      <c r="K2003" s="18" t="s">
        <v>385</v>
      </c>
      <c r="L2003" s="27" t="n">
        <v>1</v>
      </c>
      <c r="M2003" s="39" t="s">
        <v>413</v>
      </c>
      <c r="N2003" s="18" t="s">
        <v>414</v>
      </c>
      <c r="O2003" s="27" t="n">
        <v>1</v>
      </c>
      <c r="P2003" s="15" t="n">
        <f aca="false">IF(A2003="","",IF(O2003&lt;&gt;"",O2003,IF(L2003&lt;&gt;"",L2003,F2003)))</f>
        <v>1</v>
      </c>
    </row>
    <row r="2004" customFormat="false" ht="15" hidden="false" customHeight="true" outlineLevel="0" collapsed="false">
      <c r="A2004" s="30" t="s">
        <v>240</v>
      </c>
      <c r="B2004" s="30" t="s">
        <v>241</v>
      </c>
      <c r="C2004" s="21" t="n">
        <f aca="false">IF(A2004="","",IFERROR(VLOOKUP(A2004,'Recert Status'!$A$8:$C$400,3,FALSE()),""))</f>
        <v>46387</v>
      </c>
      <c r="D2004" s="31" t="s">
        <v>1578</v>
      </c>
      <c r="E2004" s="30" t="s">
        <v>416</v>
      </c>
      <c r="F2004" s="32" t="n">
        <v>1</v>
      </c>
      <c r="G2004" s="33" t="n">
        <v>46197</v>
      </c>
      <c r="H2004" s="33" t="n">
        <v>46197</v>
      </c>
      <c r="I2004" s="31" t="s">
        <v>1579</v>
      </c>
      <c r="J2004" s="30" t="s">
        <v>416</v>
      </c>
      <c r="K2004" s="31" t="s">
        <v>418</v>
      </c>
      <c r="L2004" s="32" t="n">
        <v>1</v>
      </c>
      <c r="M2004" s="39" t="s">
        <v>413</v>
      </c>
      <c r="N2004" s="31" t="s">
        <v>414</v>
      </c>
      <c r="O2004" s="32" t="n">
        <v>1</v>
      </c>
      <c r="P2004" s="15" t="n">
        <f aca="false">IF(A2004="","",IF(O2004&lt;&gt;"",O2004,IF(L2004&lt;&gt;"",L2004,F2004)))</f>
        <v>1</v>
      </c>
    </row>
    <row r="2005" customFormat="false" ht="15" hidden="false" customHeight="true" outlineLevel="0" collapsed="false">
      <c r="A2005" s="26" t="s">
        <v>240</v>
      </c>
      <c r="B2005" s="26" t="s">
        <v>241</v>
      </c>
      <c r="C2005" s="14" t="n">
        <f aca="false">IF(A2005="","",IFERROR(VLOOKUP(A2005,'Recert Status'!$A$8:$C$400,3,FALSE()),""))</f>
        <v>46387</v>
      </c>
      <c r="D2005" s="18" t="s">
        <v>414</v>
      </c>
      <c r="E2005" s="26" t="s">
        <v>416</v>
      </c>
      <c r="F2005" s="27" t="n">
        <v>2</v>
      </c>
      <c r="G2005" s="28" t="n">
        <v>46219</v>
      </c>
      <c r="H2005" s="28" t="n">
        <v>46219</v>
      </c>
      <c r="I2005" s="18" t="s">
        <v>567</v>
      </c>
      <c r="J2005" s="26" t="s">
        <v>416</v>
      </c>
      <c r="K2005" s="18" t="s">
        <v>418</v>
      </c>
      <c r="L2005" s="27" t="n">
        <v>2</v>
      </c>
      <c r="M2005" s="39" t="s">
        <v>413</v>
      </c>
      <c r="N2005" s="18" t="s">
        <v>414</v>
      </c>
      <c r="O2005" s="27" t="n">
        <v>2</v>
      </c>
      <c r="P2005" s="15" t="n">
        <f aca="false">IF(A2005="","",IF(O2005&lt;&gt;"",O2005,IF(L2005&lt;&gt;"",L2005,F2005)))</f>
        <v>2</v>
      </c>
    </row>
    <row r="2006" customFormat="false" ht="15" hidden="false" customHeight="true" outlineLevel="0" collapsed="false">
      <c r="A2006" s="30" t="s">
        <v>242</v>
      </c>
      <c r="B2006" s="30" t="s">
        <v>243</v>
      </c>
      <c r="C2006" s="21" t="n">
        <f aca="false">IF(A2006="","",IFERROR(VLOOKUP(A2006,'Recert Status'!$A$8:$C$400,3,FALSE()),""))</f>
        <v>46752</v>
      </c>
      <c r="D2006" s="31" t="s">
        <v>449</v>
      </c>
      <c r="E2006" s="30" t="s">
        <v>426</v>
      </c>
      <c r="F2006" s="32" t="n">
        <v>2.5</v>
      </c>
      <c r="G2006" s="33" t="n">
        <v>45719</v>
      </c>
      <c r="H2006" s="33" t="n">
        <v>45719</v>
      </c>
      <c r="I2006" s="31" t="s">
        <v>1435</v>
      </c>
      <c r="J2006" s="30" t="s">
        <v>426</v>
      </c>
      <c r="K2006" s="31" t="s">
        <v>428</v>
      </c>
      <c r="L2006" s="32" t="n">
        <v>2.5</v>
      </c>
      <c r="M2006" s="41" t="s">
        <v>429</v>
      </c>
      <c r="N2006" s="31" t="s">
        <v>430</v>
      </c>
      <c r="O2006" s="32" t="n">
        <v>2.5</v>
      </c>
      <c r="P2006" s="15" t="n">
        <f aca="false">IF(A2006="","",IF(O2006&lt;&gt;"",O2006,IF(L2006&lt;&gt;"",L2006,F2006)))</f>
        <v>2.5</v>
      </c>
    </row>
    <row r="2007" customFormat="false" ht="15" hidden="false" customHeight="true" outlineLevel="0" collapsed="false">
      <c r="A2007" s="26" t="s">
        <v>242</v>
      </c>
      <c r="B2007" s="26" t="s">
        <v>243</v>
      </c>
      <c r="C2007" s="14" t="n">
        <f aca="false">IF(A2007="","",IFERROR(VLOOKUP(A2007,'Recert Status'!$A$8:$C$400,3,FALSE()),""))</f>
        <v>46752</v>
      </c>
      <c r="D2007" s="18" t="s">
        <v>800</v>
      </c>
      <c r="E2007" s="26" t="s">
        <v>426</v>
      </c>
      <c r="F2007" s="27" t="n">
        <v>2</v>
      </c>
      <c r="G2007" s="28" t="n">
        <v>45929</v>
      </c>
      <c r="H2007" s="28" t="n">
        <v>45929</v>
      </c>
      <c r="I2007" s="18" t="s">
        <v>1580</v>
      </c>
      <c r="J2007" s="26" t="s">
        <v>426</v>
      </c>
      <c r="K2007" s="18" t="s">
        <v>495</v>
      </c>
      <c r="L2007" s="27" t="n">
        <v>2</v>
      </c>
      <c r="M2007" s="41" t="s">
        <v>429</v>
      </c>
      <c r="N2007" s="18" t="s">
        <v>430</v>
      </c>
      <c r="O2007" s="27" t="n">
        <v>2</v>
      </c>
      <c r="P2007" s="15" t="n">
        <f aca="false">IF(A2007="","",IF(O2007&lt;&gt;"",O2007,IF(L2007&lt;&gt;"",L2007,F2007)))</f>
        <v>2</v>
      </c>
    </row>
    <row r="2008" customFormat="false" ht="15" hidden="false" customHeight="true" outlineLevel="0" collapsed="false">
      <c r="A2008" s="30" t="s">
        <v>242</v>
      </c>
      <c r="B2008" s="30" t="s">
        <v>243</v>
      </c>
      <c r="C2008" s="21" t="n">
        <f aca="false">IF(A2008="","",IFERROR(VLOOKUP(A2008,'Recert Status'!$A$8:$C$400,3,FALSE()),""))</f>
        <v>46752</v>
      </c>
      <c r="D2008" s="31" t="s">
        <v>884</v>
      </c>
      <c r="E2008" s="30" t="s">
        <v>426</v>
      </c>
      <c r="F2008" s="32" t="n">
        <v>2</v>
      </c>
      <c r="G2008" s="33" t="n">
        <v>45929</v>
      </c>
      <c r="H2008" s="33" t="n">
        <v>45929</v>
      </c>
      <c r="I2008" s="31" t="s">
        <v>885</v>
      </c>
      <c r="J2008" s="30" t="s">
        <v>426</v>
      </c>
      <c r="K2008" s="31" t="s">
        <v>428</v>
      </c>
      <c r="L2008" s="32" t="n">
        <v>2</v>
      </c>
      <c r="M2008" s="41" t="s">
        <v>429</v>
      </c>
      <c r="N2008" s="31" t="s">
        <v>430</v>
      </c>
      <c r="O2008" s="32" t="n">
        <v>2</v>
      </c>
      <c r="P2008" s="15" t="n">
        <f aca="false">IF(A2008="","",IF(O2008&lt;&gt;"",O2008,IF(L2008&lt;&gt;"",L2008,F2008)))</f>
        <v>2</v>
      </c>
    </row>
    <row r="2009" customFormat="false" ht="15" hidden="false" customHeight="true" outlineLevel="0" collapsed="false">
      <c r="A2009" s="26" t="s">
        <v>242</v>
      </c>
      <c r="B2009" s="26" t="s">
        <v>243</v>
      </c>
      <c r="C2009" s="14" t="n">
        <f aca="false">IF(A2009="","",IFERROR(VLOOKUP(A2009,'Recert Status'!$A$8:$C$400,3,FALSE()),""))</f>
        <v>46752</v>
      </c>
      <c r="D2009" s="18" t="s">
        <v>1260</v>
      </c>
      <c r="E2009" s="26" t="n">
        <v>29668</v>
      </c>
      <c r="F2009" s="27" t="n">
        <v>0.5</v>
      </c>
      <c r="G2009" s="28" t="n">
        <v>45680</v>
      </c>
      <c r="H2009" s="28" t="n">
        <v>45680</v>
      </c>
      <c r="I2009" s="18" t="s">
        <v>1261</v>
      </c>
      <c r="J2009" s="26" t="s">
        <v>511</v>
      </c>
      <c r="K2009" s="18" t="s">
        <v>509</v>
      </c>
      <c r="L2009" s="27" t="n">
        <v>0.5</v>
      </c>
      <c r="M2009" s="35" t="s">
        <v>386</v>
      </c>
      <c r="N2009" s="18" t="s">
        <v>387</v>
      </c>
      <c r="O2009" s="27" t="n">
        <v>0.5</v>
      </c>
      <c r="P2009" s="15" t="n">
        <f aca="false">IF(A2009="","",IF(O2009&lt;&gt;"",O2009,IF(L2009&lt;&gt;"",L2009,F2009)))</f>
        <v>0.5</v>
      </c>
    </row>
    <row r="2010" customFormat="false" ht="15" hidden="false" customHeight="true" outlineLevel="0" collapsed="false">
      <c r="A2010" s="30" t="s">
        <v>242</v>
      </c>
      <c r="B2010" s="30" t="s">
        <v>243</v>
      </c>
      <c r="C2010" s="21" t="n">
        <f aca="false">IF(A2010="","",IFERROR(VLOOKUP(A2010,'Recert Status'!$A$8:$C$400,3,FALSE()),""))</f>
        <v>46752</v>
      </c>
      <c r="D2010" s="31" t="s">
        <v>1131</v>
      </c>
      <c r="E2010" s="30" t="n">
        <v>29743</v>
      </c>
      <c r="F2010" s="32" t="n">
        <v>0.5</v>
      </c>
      <c r="G2010" s="33" t="n">
        <v>45897</v>
      </c>
      <c r="H2010" s="33" t="n">
        <v>45897</v>
      </c>
      <c r="I2010" s="31" t="s">
        <v>1132</v>
      </c>
      <c r="J2010" s="30" t="s">
        <v>439</v>
      </c>
      <c r="K2010" s="31" t="s">
        <v>791</v>
      </c>
      <c r="L2010" s="32" t="n">
        <v>0.5</v>
      </c>
      <c r="M2010" s="35" t="s">
        <v>386</v>
      </c>
      <c r="N2010" s="31" t="s">
        <v>387</v>
      </c>
      <c r="O2010" s="32" t="n">
        <v>0.5</v>
      </c>
      <c r="P2010" s="15" t="n">
        <f aca="false">IF(A2010="","",IF(O2010&lt;&gt;"",O2010,IF(L2010&lt;&gt;"",L2010,F2010)))</f>
        <v>0.5</v>
      </c>
    </row>
    <row r="2011" customFormat="false" ht="15" hidden="false" customHeight="true" outlineLevel="0" collapsed="false">
      <c r="A2011" s="26" t="s">
        <v>242</v>
      </c>
      <c r="B2011" s="26" t="s">
        <v>243</v>
      </c>
      <c r="C2011" s="14" t="n">
        <f aca="false">IF(A2011="","",IFERROR(VLOOKUP(A2011,'Recert Status'!$A$8:$C$400,3,FALSE()),""))</f>
        <v>46752</v>
      </c>
      <c r="D2011" s="18" t="s">
        <v>398</v>
      </c>
      <c r="E2011" s="26" t="n">
        <v>29743</v>
      </c>
      <c r="F2011" s="27" t="n">
        <v>1</v>
      </c>
      <c r="G2011" s="28" t="n">
        <v>45941</v>
      </c>
      <c r="H2011" s="28" t="n">
        <v>45941</v>
      </c>
      <c r="I2011" s="18" t="s">
        <v>1581</v>
      </c>
      <c r="J2011" s="26" t="s">
        <v>439</v>
      </c>
      <c r="K2011" s="18" t="s">
        <v>791</v>
      </c>
      <c r="L2011" s="27" t="n">
        <v>1</v>
      </c>
      <c r="M2011" s="35" t="s">
        <v>386</v>
      </c>
      <c r="N2011" s="18" t="s">
        <v>387</v>
      </c>
      <c r="O2011" s="27" t="n">
        <v>1</v>
      </c>
      <c r="P2011" s="15" t="n">
        <f aca="false">IF(A2011="","",IF(O2011&lt;&gt;"",O2011,IF(L2011&lt;&gt;"",L2011,F2011)))</f>
        <v>1</v>
      </c>
    </row>
    <row r="2012" customFormat="false" ht="15" hidden="false" customHeight="true" outlineLevel="0" collapsed="false">
      <c r="A2012" s="30" t="s">
        <v>242</v>
      </c>
      <c r="B2012" s="30" t="s">
        <v>243</v>
      </c>
      <c r="C2012" s="21" t="n">
        <f aca="false">IF(A2012="","",IFERROR(VLOOKUP(A2012,'Recert Status'!$A$8:$C$400,3,FALSE()),""))</f>
        <v>46752</v>
      </c>
      <c r="D2012" s="31" t="s">
        <v>449</v>
      </c>
      <c r="E2012" s="30" t="n">
        <v>29675</v>
      </c>
      <c r="F2012" s="32" t="n">
        <v>0.5</v>
      </c>
      <c r="G2012" s="33" t="n">
        <v>45995</v>
      </c>
      <c r="H2012" s="33" t="n">
        <v>45995</v>
      </c>
      <c r="I2012" s="31" t="s">
        <v>450</v>
      </c>
      <c r="J2012" s="30" t="s">
        <v>406</v>
      </c>
      <c r="K2012" s="31" t="s">
        <v>451</v>
      </c>
      <c r="L2012" s="32" t="n">
        <v>0.5</v>
      </c>
      <c r="M2012" s="35" t="s">
        <v>386</v>
      </c>
      <c r="N2012" s="31" t="s">
        <v>387</v>
      </c>
      <c r="O2012" s="32" t="n">
        <v>0.5</v>
      </c>
      <c r="P2012" s="15" t="n">
        <f aca="false">IF(A2012="","",IF(O2012&lt;&gt;"",O2012,IF(L2012&lt;&gt;"",L2012,F2012)))</f>
        <v>0.5</v>
      </c>
    </row>
    <row r="2013" customFormat="false" ht="15" hidden="false" customHeight="true" outlineLevel="0" collapsed="false">
      <c r="A2013" s="26" t="s">
        <v>242</v>
      </c>
      <c r="B2013" s="26" t="s">
        <v>243</v>
      </c>
      <c r="C2013" s="14" t="n">
        <f aca="false">IF(A2013="","",IFERROR(VLOOKUP(A2013,'Recert Status'!$A$8:$C$400,3,FALSE()),""))</f>
        <v>46752</v>
      </c>
      <c r="D2013" s="18" t="s">
        <v>387</v>
      </c>
      <c r="E2013" s="26" t="s">
        <v>389</v>
      </c>
      <c r="F2013" s="27" t="n">
        <v>1</v>
      </c>
      <c r="G2013" s="28" t="n">
        <v>46274</v>
      </c>
      <c r="H2013" s="28" t="n">
        <v>46274</v>
      </c>
      <c r="I2013" s="18" t="s">
        <v>530</v>
      </c>
      <c r="J2013" s="26" t="s">
        <v>389</v>
      </c>
      <c r="K2013" s="18" t="s">
        <v>451</v>
      </c>
      <c r="L2013" s="27" t="n">
        <v>1</v>
      </c>
      <c r="M2013" s="35" t="s">
        <v>386</v>
      </c>
      <c r="N2013" s="18" t="s">
        <v>387</v>
      </c>
      <c r="O2013" s="27" t="n">
        <v>1</v>
      </c>
      <c r="P2013" s="15" t="n">
        <f aca="false">IF(A2013="","",IF(O2013&lt;&gt;"",O2013,IF(L2013&lt;&gt;"",L2013,F2013)))</f>
        <v>1</v>
      </c>
    </row>
    <row r="2014" customFormat="false" ht="15" hidden="false" customHeight="true" outlineLevel="0" collapsed="false">
      <c r="A2014" s="30" t="s">
        <v>242</v>
      </c>
      <c r="B2014" s="30" t="s">
        <v>243</v>
      </c>
      <c r="C2014" s="21" t="n">
        <f aca="false">IF(A2014="","",IFERROR(VLOOKUP(A2014,'Recert Status'!$A$8:$C$400,3,FALSE()),""))</f>
        <v>46752</v>
      </c>
      <c r="D2014" s="31" t="s">
        <v>397</v>
      </c>
      <c r="E2014" s="30" t="s">
        <v>452</v>
      </c>
      <c r="F2014" s="32" t="n">
        <v>1</v>
      </c>
      <c r="G2014" s="33" t="n">
        <v>46244</v>
      </c>
      <c r="H2014" s="33" t="n">
        <v>46244</v>
      </c>
      <c r="I2014" s="31" t="s">
        <v>577</v>
      </c>
      <c r="J2014" s="30" t="s">
        <v>452</v>
      </c>
      <c r="K2014" s="31" t="s">
        <v>385</v>
      </c>
      <c r="L2014" s="32" t="n">
        <v>1</v>
      </c>
      <c r="M2014" s="36" t="s">
        <v>396</v>
      </c>
      <c r="N2014" s="31" t="s">
        <v>397</v>
      </c>
      <c r="O2014" s="32" t="n">
        <v>1</v>
      </c>
      <c r="P2014" s="15" t="n">
        <f aca="false">IF(A2014="","",IF(O2014&lt;&gt;"",O2014,IF(L2014&lt;&gt;"",L2014,F2014)))</f>
        <v>1</v>
      </c>
    </row>
    <row r="2015" customFormat="false" ht="15" hidden="false" customHeight="true" outlineLevel="0" collapsed="false">
      <c r="A2015" s="26" t="s">
        <v>242</v>
      </c>
      <c r="B2015" s="26" t="s">
        <v>243</v>
      </c>
      <c r="C2015" s="14" t="n">
        <f aca="false">IF(A2015="","",IFERROR(VLOOKUP(A2015,'Recert Status'!$A$8:$C$400,3,FALSE()),""))</f>
        <v>46752</v>
      </c>
      <c r="D2015" s="18" t="s">
        <v>457</v>
      </c>
      <c r="E2015" s="26" t="s">
        <v>416</v>
      </c>
      <c r="F2015" s="27" t="n">
        <v>2</v>
      </c>
      <c r="G2015" s="28" t="n">
        <v>45860</v>
      </c>
      <c r="H2015" s="28" t="n">
        <v>45860</v>
      </c>
      <c r="I2015" s="18" t="s">
        <v>533</v>
      </c>
      <c r="J2015" s="26" t="s">
        <v>416</v>
      </c>
      <c r="K2015" s="18" t="s">
        <v>523</v>
      </c>
      <c r="L2015" s="27" t="n">
        <v>2</v>
      </c>
      <c r="M2015" s="39" t="s">
        <v>413</v>
      </c>
      <c r="N2015" s="18" t="s">
        <v>414</v>
      </c>
      <c r="O2015" s="27" t="n">
        <v>2</v>
      </c>
      <c r="P2015" s="15" t="n">
        <f aca="false">IF(A2015="","",IF(O2015&lt;&gt;"",O2015,IF(L2015&lt;&gt;"",L2015,F2015)))</f>
        <v>2</v>
      </c>
    </row>
    <row r="2016" customFormat="false" ht="15" hidden="false" customHeight="true" outlineLevel="0" collapsed="false">
      <c r="A2016" s="30" t="s">
        <v>242</v>
      </c>
      <c r="B2016" s="30" t="s">
        <v>243</v>
      </c>
      <c r="C2016" s="21" t="n">
        <f aca="false">IF(A2016="","",IFERROR(VLOOKUP(A2016,'Recert Status'!$A$8:$C$400,3,FALSE()),""))</f>
        <v>46752</v>
      </c>
      <c r="D2016" s="31" t="s">
        <v>672</v>
      </c>
      <c r="E2016" s="30" t="s">
        <v>416</v>
      </c>
      <c r="F2016" s="32" t="n">
        <v>1</v>
      </c>
      <c r="G2016" s="33" t="n">
        <v>45933</v>
      </c>
      <c r="H2016" s="33" t="n">
        <v>45933</v>
      </c>
      <c r="I2016" s="31" t="s">
        <v>673</v>
      </c>
      <c r="J2016" s="30" t="s">
        <v>416</v>
      </c>
      <c r="K2016" s="31" t="s">
        <v>674</v>
      </c>
      <c r="L2016" s="32" t="n">
        <v>1</v>
      </c>
      <c r="M2016" s="39" t="s">
        <v>413</v>
      </c>
      <c r="N2016" s="31" t="s">
        <v>414</v>
      </c>
      <c r="O2016" s="32" t="n">
        <v>1</v>
      </c>
      <c r="P2016" s="15" t="n">
        <f aca="false">IF(A2016="","",IF(O2016&lt;&gt;"",O2016,IF(L2016&lt;&gt;"",L2016,F2016)))</f>
        <v>1</v>
      </c>
    </row>
    <row r="2017" customFormat="false" ht="15" hidden="false" customHeight="true" outlineLevel="0" collapsed="false">
      <c r="A2017" s="26" t="s">
        <v>242</v>
      </c>
      <c r="B2017" s="26" t="s">
        <v>243</v>
      </c>
      <c r="C2017" s="14" t="n">
        <f aca="false">IF(A2017="","",IFERROR(VLOOKUP(A2017,'Recert Status'!$A$8:$C$400,3,FALSE()),""))</f>
        <v>46752</v>
      </c>
      <c r="D2017" s="18" t="s">
        <v>488</v>
      </c>
      <c r="E2017" s="26" t="s">
        <v>416</v>
      </c>
      <c r="F2017" s="27" t="n">
        <v>1</v>
      </c>
      <c r="G2017" s="28" t="n">
        <v>46127</v>
      </c>
      <c r="H2017" s="28" t="n">
        <v>46127</v>
      </c>
      <c r="I2017" s="18" t="s">
        <v>534</v>
      </c>
      <c r="J2017" s="26" t="s">
        <v>416</v>
      </c>
      <c r="K2017" s="18" t="s">
        <v>490</v>
      </c>
      <c r="L2017" s="27" t="n">
        <v>1</v>
      </c>
      <c r="M2017" s="39" t="s">
        <v>413</v>
      </c>
      <c r="N2017" s="18" t="s">
        <v>414</v>
      </c>
      <c r="O2017" s="27" t="n">
        <v>1</v>
      </c>
      <c r="P2017" s="15" t="n">
        <f aca="false">IF(A2017="","",IF(O2017&lt;&gt;"",O2017,IF(L2017&lt;&gt;"",L2017,F2017)))</f>
        <v>1</v>
      </c>
    </row>
    <row r="2018" customFormat="false" ht="15" hidden="false" customHeight="true" outlineLevel="0" collapsed="false">
      <c r="A2018" s="30" t="s">
        <v>242</v>
      </c>
      <c r="B2018" s="30" t="s">
        <v>243</v>
      </c>
      <c r="C2018" s="21" t="n">
        <f aca="false">IF(A2018="","",IFERROR(VLOOKUP(A2018,'Recert Status'!$A$8:$C$400,3,FALSE()),""))</f>
        <v>46752</v>
      </c>
      <c r="D2018" s="31" t="s">
        <v>414</v>
      </c>
      <c r="E2018" s="30" t="s">
        <v>416</v>
      </c>
      <c r="F2018" s="32" t="n">
        <v>1.5</v>
      </c>
      <c r="G2018" s="33" t="n">
        <v>46241</v>
      </c>
      <c r="H2018" s="33" t="n">
        <v>46241</v>
      </c>
      <c r="I2018" s="31" t="s">
        <v>536</v>
      </c>
      <c r="J2018" s="30" t="s">
        <v>416</v>
      </c>
      <c r="K2018" s="31" t="s">
        <v>418</v>
      </c>
      <c r="L2018" s="32" t="n">
        <v>1.5</v>
      </c>
      <c r="M2018" s="39" t="s">
        <v>413</v>
      </c>
      <c r="N2018" s="31" t="s">
        <v>414</v>
      </c>
      <c r="O2018" s="32" t="n">
        <v>1.5</v>
      </c>
      <c r="P2018" s="15" t="n">
        <f aca="false">IF(A2018="","",IF(O2018&lt;&gt;"",O2018,IF(L2018&lt;&gt;"",L2018,F2018)))</f>
        <v>1.5</v>
      </c>
    </row>
    <row r="2019" customFormat="false" ht="15" hidden="false" customHeight="true" outlineLevel="0" collapsed="false">
      <c r="A2019" s="26" t="s">
        <v>244</v>
      </c>
      <c r="B2019" s="26" t="s">
        <v>245</v>
      </c>
      <c r="C2019" s="14" t="n">
        <f aca="false">IF(A2019="","",IFERROR(VLOOKUP(A2019,'Recert Status'!$A$8:$C$400,3,FALSE()),""))</f>
        <v>46387</v>
      </c>
      <c r="D2019" s="18" t="s">
        <v>496</v>
      </c>
      <c r="E2019" s="26" t="s">
        <v>542</v>
      </c>
      <c r="F2019" s="27" t="n">
        <v>4</v>
      </c>
      <c r="G2019" s="28" t="n">
        <v>45961</v>
      </c>
      <c r="H2019" s="28" t="n">
        <v>45961</v>
      </c>
      <c r="I2019" s="18" t="s">
        <v>587</v>
      </c>
      <c r="J2019" s="26" t="s">
        <v>542</v>
      </c>
      <c r="K2019" s="18" t="s">
        <v>422</v>
      </c>
      <c r="L2019" s="27" t="n">
        <v>4</v>
      </c>
      <c r="M2019" s="40" t="s">
        <v>423</v>
      </c>
      <c r="N2019" s="18" t="s">
        <v>424</v>
      </c>
      <c r="O2019" s="27" t="n">
        <v>4</v>
      </c>
      <c r="P2019" s="15" t="n">
        <f aca="false">IF(A2019="","",IF(O2019&lt;&gt;"",O2019,IF(L2019&lt;&gt;"",L2019,F2019)))</f>
        <v>4</v>
      </c>
    </row>
    <row r="2020" customFormat="false" ht="15" hidden="false" customHeight="true" outlineLevel="0" collapsed="false">
      <c r="A2020" s="30" t="s">
        <v>244</v>
      </c>
      <c r="B2020" s="30" t="s">
        <v>245</v>
      </c>
      <c r="C2020" s="21" t="n">
        <f aca="false">IF(A2020="","",IFERROR(VLOOKUP(A2020,'Recert Status'!$A$8:$C$400,3,FALSE()),""))</f>
        <v>46387</v>
      </c>
      <c r="D2020" s="31" t="s">
        <v>474</v>
      </c>
      <c r="E2020" s="30" t="s">
        <v>389</v>
      </c>
      <c r="F2020" s="32" t="n">
        <v>1</v>
      </c>
      <c r="G2020" s="33" t="n">
        <v>46204</v>
      </c>
      <c r="H2020" s="33" t="n">
        <v>46204</v>
      </c>
      <c r="I2020" s="31" t="s">
        <v>475</v>
      </c>
      <c r="J2020" s="30" t="s">
        <v>389</v>
      </c>
      <c r="K2020" s="31" t="s">
        <v>476</v>
      </c>
      <c r="L2020" s="32" t="n">
        <v>1</v>
      </c>
      <c r="M2020" s="35" t="s">
        <v>386</v>
      </c>
      <c r="N2020" s="31" t="s">
        <v>387</v>
      </c>
      <c r="O2020" s="32" t="n">
        <v>1</v>
      </c>
      <c r="P2020" s="15" t="n">
        <f aca="false">IF(A2020="","",IF(O2020&lt;&gt;"",O2020,IF(L2020&lt;&gt;"",L2020,F2020)))</f>
        <v>1</v>
      </c>
    </row>
    <row r="2021" customFormat="false" ht="15" hidden="false" customHeight="true" outlineLevel="0" collapsed="false">
      <c r="A2021" s="26" t="s">
        <v>244</v>
      </c>
      <c r="B2021" s="26" t="s">
        <v>245</v>
      </c>
      <c r="C2021" s="14" t="n">
        <f aca="false">IF(A2021="","",IFERROR(VLOOKUP(A2021,'Recert Status'!$A$8:$C$400,3,FALSE()),""))</f>
        <v>46387</v>
      </c>
      <c r="D2021" s="18" t="s">
        <v>597</v>
      </c>
      <c r="E2021" s="26" t="n">
        <v>29735</v>
      </c>
      <c r="F2021" s="27" t="n">
        <v>4</v>
      </c>
      <c r="G2021" s="28" t="n">
        <v>45961</v>
      </c>
      <c r="H2021" s="28" t="n">
        <v>45961</v>
      </c>
      <c r="I2021" s="18" t="s">
        <v>598</v>
      </c>
      <c r="J2021" s="26" t="s">
        <v>599</v>
      </c>
      <c r="K2021" s="18" t="s">
        <v>600</v>
      </c>
      <c r="L2021" s="27" t="n">
        <v>4</v>
      </c>
      <c r="M2021" s="36" t="s">
        <v>396</v>
      </c>
      <c r="N2021" s="18" t="s">
        <v>397</v>
      </c>
      <c r="O2021" s="27" t="n">
        <v>4</v>
      </c>
      <c r="P2021" s="15" t="n">
        <f aca="false">IF(A2021="","",IF(O2021&lt;&gt;"",O2021,IF(L2021&lt;&gt;"",L2021,F2021)))</f>
        <v>4</v>
      </c>
    </row>
    <row r="2022" customFormat="false" ht="15" hidden="false" customHeight="true" outlineLevel="0" collapsed="false">
      <c r="A2022" s="30" t="s">
        <v>244</v>
      </c>
      <c r="B2022" s="30" t="s">
        <v>245</v>
      </c>
      <c r="C2022" s="21" t="n">
        <f aca="false">IF(A2022="","",IFERROR(VLOOKUP(A2022,'Recert Status'!$A$8:$C$400,3,FALSE()),""))</f>
        <v>46387</v>
      </c>
      <c r="D2022" s="31" t="s">
        <v>397</v>
      </c>
      <c r="E2022" s="30" t="s">
        <v>452</v>
      </c>
      <c r="F2022" s="32" t="n">
        <v>1</v>
      </c>
      <c r="G2022" s="33" t="n">
        <v>46246</v>
      </c>
      <c r="H2022" s="33" t="n">
        <v>46246</v>
      </c>
      <c r="I2022" s="31" t="s">
        <v>478</v>
      </c>
      <c r="J2022" s="30" t="s">
        <v>452</v>
      </c>
      <c r="K2022" s="31" t="s">
        <v>385</v>
      </c>
      <c r="L2022" s="32" t="n">
        <v>1</v>
      </c>
      <c r="M2022" s="36" t="s">
        <v>396</v>
      </c>
      <c r="N2022" s="31" t="s">
        <v>397</v>
      </c>
      <c r="O2022" s="32" t="n">
        <v>1</v>
      </c>
      <c r="P2022" s="15" t="n">
        <f aca="false">IF(A2022="","",IF(O2022&lt;&gt;"",O2022,IF(L2022&lt;&gt;"",L2022,F2022)))</f>
        <v>1</v>
      </c>
    </row>
    <row r="2023" customFormat="false" ht="15" hidden="false" customHeight="true" outlineLevel="0" collapsed="false">
      <c r="A2023" s="26" t="s">
        <v>244</v>
      </c>
      <c r="B2023" s="26" t="s">
        <v>245</v>
      </c>
      <c r="C2023" s="14" t="n">
        <f aca="false">IF(A2023="","",IFERROR(VLOOKUP(A2023,'Recert Status'!$A$8:$C$400,3,FALSE()),""))</f>
        <v>46387</v>
      </c>
      <c r="D2023" s="18" t="s">
        <v>488</v>
      </c>
      <c r="E2023" s="26" t="s">
        <v>416</v>
      </c>
      <c r="F2023" s="27" t="n">
        <v>1</v>
      </c>
      <c r="G2023" s="28" t="n">
        <v>46132</v>
      </c>
      <c r="H2023" s="28" t="n">
        <v>46132</v>
      </c>
      <c r="I2023" s="18" t="s">
        <v>609</v>
      </c>
      <c r="J2023" s="26" t="s">
        <v>416</v>
      </c>
      <c r="K2023" s="18" t="s">
        <v>490</v>
      </c>
      <c r="L2023" s="27" t="n">
        <v>1</v>
      </c>
      <c r="M2023" s="39" t="s">
        <v>413</v>
      </c>
      <c r="N2023" s="18" t="s">
        <v>414</v>
      </c>
      <c r="O2023" s="27" t="n">
        <v>1</v>
      </c>
      <c r="P2023" s="15" t="n">
        <f aca="false">IF(A2023="","",IF(O2023&lt;&gt;"",O2023,IF(L2023&lt;&gt;"",L2023,F2023)))</f>
        <v>1</v>
      </c>
    </row>
    <row r="2024" customFormat="false" ht="15" hidden="false" customHeight="true" outlineLevel="0" collapsed="false">
      <c r="A2024" s="30" t="s">
        <v>246</v>
      </c>
      <c r="B2024" s="30"/>
      <c r="C2024" s="21" t="n">
        <f aca="false">IF(A2024="","",IFERROR(VLOOKUP(A2024,'Recert Status'!$A$8:$C$400,3,FALSE()),""))</f>
        <v>0</v>
      </c>
      <c r="D2024" s="31" t="s">
        <v>1433</v>
      </c>
      <c r="E2024" s="30" t="s">
        <v>363</v>
      </c>
      <c r="F2024" s="32" t="n">
        <v>1</v>
      </c>
      <c r="G2024" s="33" t="n">
        <v>45710</v>
      </c>
      <c r="H2024" s="33" t="n">
        <v>45710</v>
      </c>
      <c r="I2024" s="31" t="s">
        <v>1434</v>
      </c>
      <c r="J2024" s="30" t="s">
        <v>363</v>
      </c>
      <c r="K2024" s="31" t="s">
        <v>370</v>
      </c>
      <c r="L2024" s="32" t="n">
        <v>1</v>
      </c>
      <c r="M2024" s="29" t="s">
        <v>366</v>
      </c>
      <c r="N2024" s="31" t="s">
        <v>367</v>
      </c>
      <c r="O2024" s="32" t="n">
        <v>1</v>
      </c>
      <c r="P2024" s="15" t="n">
        <f aca="false">IF(A2024="","",IF(O2024&lt;&gt;"",O2024,IF(L2024&lt;&gt;"",L2024,F2024)))</f>
        <v>1</v>
      </c>
    </row>
    <row r="2025" customFormat="false" ht="15" hidden="false" customHeight="true" outlineLevel="0" collapsed="false">
      <c r="A2025" s="26" t="s">
        <v>246</v>
      </c>
      <c r="B2025" s="26"/>
      <c r="C2025" s="14" t="n">
        <f aca="false">IF(A2025="","",IFERROR(VLOOKUP(A2025,'Recert Status'!$A$8:$C$400,3,FALSE()),""))</f>
        <v>0</v>
      </c>
      <c r="D2025" s="18" t="s">
        <v>880</v>
      </c>
      <c r="E2025" s="26" t="s">
        <v>363</v>
      </c>
      <c r="F2025" s="27" t="n">
        <v>0.5</v>
      </c>
      <c r="G2025" s="28" t="n">
        <v>45971</v>
      </c>
      <c r="H2025" s="28" t="n">
        <v>45971</v>
      </c>
      <c r="I2025" s="18" t="s">
        <v>1582</v>
      </c>
      <c r="J2025" s="26" t="s">
        <v>363</v>
      </c>
      <c r="K2025" s="18" t="s">
        <v>370</v>
      </c>
      <c r="L2025" s="27" t="n">
        <v>0.5</v>
      </c>
      <c r="M2025" s="29" t="s">
        <v>366</v>
      </c>
      <c r="N2025" s="18" t="s">
        <v>367</v>
      </c>
      <c r="O2025" s="27" t="n">
        <v>0.5</v>
      </c>
      <c r="P2025" s="15" t="n">
        <f aca="false">IF(A2025="","",IF(O2025&lt;&gt;"",O2025,IF(L2025&lt;&gt;"",L2025,F2025)))</f>
        <v>0.5</v>
      </c>
    </row>
    <row r="2026" customFormat="false" ht="15" hidden="false" customHeight="true" outlineLevel="0" collapsed="false">
      <c r="A2026" s="30" t="s">
        <v>246</v>
      </c>
      <c r="B2026" s="30"/>
      <c r="C2026" s="21" t="n">
        <f aca="false">IF(A2026="","",IFERROR(VLOOKUP(A2026,'Recert Status'!$A$8:$C$400,3,FALSE()),""))</f>
        <v>0</v>
      </c>
      <c r="D2026" s="31" t="s">
        <v>425</v>
      </c>
      <c r="E2026" s="30" t="s">
        <v>426</v>
      </c>
      <c r="F2026" s="32" t="n">
        <v>2</v>
      </c>
      <c r="G2026" s="33" t="n">
        <v>45929</v>
      </c>
      <c r="H2026" s="33" t="n">
        <v>45929</v>
      </c>
      <c r="I2026" s="31" t="s">
        <v>427</v>
      </c>
      <c r="J2026" s="30" t="s">
        <v>426</v>
      </c>
      <c r="K2026" s="31" t="s">
        <v>428</v>
      </c>
      <c r="L2026" s="32" t="n">
        <v>2</v>
      </c>
      <c r="M2026" s="41" t="s">
        <v>429</v>
      </c>
      <c r="N2026" s="31" t="s">
        <v>430</v>
      </c>
      <c r="O2026" s="32" t="n">
        <v>2</v>
      </c>
      <c r="P2026" s="15" t="n">
        <f aca="false">IF(A2026="","",IF(O2026&lt;&gt;"",O2026,IF(L2026&lt;&gt;"",L2026,F2026)))</f>
        <v>2</v>
      </c>
    </row>
    <row r="2027" customFormat="false" ht="15" hidden="false" customHeight="true" outlineLevel="0" collapsed="false">
      <c r="A2027" s="26" t="s">
        <v>246</v>
      </c>
      <c r="B2027" s="26"/>
      <c r="C2027" s="14" t="n">
        <f aca="false">IF(A2027="","",IFERROR(VLOOKUP(A2027,'Recert Status'!$A$8:$C$400,3,FALSE()),""))</f>
        <v>0</v>
      </c>
      <c r="D2027" s="18" t="s">
        <v>732</v>
      </c>
      <c r="E2027" s="26" t="s">
        <v>372</v>
      </c>
      <c r="F2027" s="27" t="n">
        <v>1</v>
      </c>
      <c r="G2027" s="28" t="n">
        <v>45761</v>
      </c>
      <c r="H2027" s="28" t="n">
        <v>45761</v>
      </c>
      <c r="I2027" s="18" t="s">
        <v>1583</v>
      </c>
      <c r="J2027" s="26" t="s">
        <v>372</v>
      </c>
      <c r="K2027" s="18" t="s">
        <v>374</v>
      </c>
      <c r="L2027" s="27" t="n">
        <v>1</v>
      </c>
      <c r="M2027" s="34" t="s">
        <v>375</v>
      </c>
      <c r="N2027" s="18" t="s">
        <v>376</v>
      </c>
      <c r="O2027" s="27" t="n">
        <v>1</v>
      </c>
      <c r="P2027" s="15" t="n">
        <f aca="false">IF(A2027="","",IF(O2027&lt;&gt;"",O2027,IF(L2027&lt;&gt;"",L2027,F2027)))</f>
        <v>1</v>
      </c>
    </row>
    <row r="2028" customFormat="false" ht="15" hidden="false" customHeight="true" outlineLevel="0" collapsed="false">
      <c r="A2028" s="30" t="s">
        <v>246</v>
      </c>
      <c r="B2028" s="30"/>
      <c r="C2028" s="21" t="n">
        <f aca="false">IF(A2028="","",IFERROR(VLOOKUP(A2028,'Recert Status'!$A$8:$C$400,3,FALSE()),""))</f>
        <v>0</v>
      </c>
      <c r="D2028" s="31" t="s">
        <v>449</v>
      </c>
      <c r="E2028" s="30" t="n">
        <v>29784</v>
      </c>
      <c r="F2028" s="32" t="n">
        <v>1</v>
      </c>
      <c r="G2028" s="33" t="n">
        <v>45722</v>
      </c>
      <c r="H2028" s="33" t="n">
        <v>45722</v>
      </c>
      <c r="I2028" s="31" t="s">
        <v>1436</v>
      </c>
      <c r="J2028" s="30" t="s">
        <v>435</v>
      </c>
      <c r="K2028" s="31" t="s">
        <v>468</v>
      </c>
      <c r="L2028" s="32" t="n">
        <v>1</v>
      </c>
      <c r="M2028" s="35" t="s">
        <v>386</v>
      </c>
      <c r="N2028" s="31" t="s">
        <v>387</v>
      </c>
      <c r="O2028" s="32" t="n">
        <v>1</v>
      </c>
      <c r="P2028" s="15" t="n">
        <f aca="false">IF(A2028="","",IF(O2028&lt;&gt;"",O2028,IF(L2028&lt;&gt;"",L2028,F2028)))</f>
        <v>1</v>
      </c>
    </row>
    <row r="2029" customFormat="false" ht="15" hidden="false" customHeight="true" outlineLevel="0" collapsed="false">
      <c r="A2029" s="26" t="s">
        <v>246</v>
      </c>
      <c r="B2029" s="26"/>
      <c r="C2029" s="14" t="n">
        <f aca="false">IF(A2029="","",IFERROR(VLOOKUP(A2029,'Recert Status'!$A$8:$C$400,3,FALSE()),""))</f>
        <v>0</v>
      </c>
      <c r="D2029" s="18" t="s">
        <v>1112</v>
      </c>
      <c r="E2029" s="26" t="n">
        <v>29743</v>
      </c>
      <c r="F2029" s="27" t="n">
        <v>1</v>
      </c>
      <c r="G2029" s="28" t="n">
        <v>45764</v>
      </c>
      <c r="H2029" s="28" t="n">
        <v>45764</v>
      </c>
      <c r="I2029" s="18" t="s">
        <v>1113</v>
      </c>
      <c r="J2029" s="26" t="s">
        <v>439</v>
      </c>
      <c r="K2029" s="18" t="s">
        <v>791</v>
      </c>
      <c r="L2029" s="27" t="n">
        <v>1</v>
      </c>
      <c r="M2029" s="35" t="s">
        <v>386</v>
      </c>
      <c r="N2029" s="18" t="s">
        <v>387</v>
      </c>
      <c r="O2029" s="27" t="n">
        <v>1</v>
      </c>
      <c r="P2029" s="15" t="n">
        <f aca="false">IF(A2029="","",IF(O2029&lt;&gt;"",O2029,IF(L2029&lt;&gt;"",L2029,F2029)))</f>
        <v>1</v>
      </c>
    </row>
    <row r="2030" customFormat="false" ht="15" hidden="false" customHeight="true" outlineLevel="0" collapsed="false">
      <c r="A2030" s="30" t="s">
        <v>246</v>
      </c>
      <c r="B2030" s="30"/>
      <c r="C2030" s="21" t="n">
        <f aca="false">IF(A2030="","",IFERROR(VLOOKUP(A2030,'Recert Status'!$A$8:$C$400,3,FALSE()),""))</f>
        <v>0</v>
      </c>
      <c r="D2030" s="31" t="s">
        <v>437</v>
      </c>
      <c r="E2030" s="30" t="n">
        <v>29743</v>
      </c>
      <c r="F2030" s="32" t="n">
        <v>1</v>
      </c>
      <c r="G2030" s="33" t="n">
        <v>45833</v>
      </c>
      <c r="H2030" s="33" t="n">
        <v>45833</v>
      </c>
      <c r="I2030" s="31" t="s">
        <v>438</v>
      </c>
      <c r="J2030" s="30" t="s">
        <v>439</v>
      </c>
      <c r="K2030" s="31" t="s">
        <v>440</v>
      </c>
      <c r="L2030" s="32" t="n">
        <v>1</v>
      </c>
      <c r="M2030" s="35" t="s">
        <v>386</v>
      </c>
      <c r="N2030" s="31" t="s">
        <v>387</v>
      </c>
      <c r="O2030" s="32" t="n">
        <v>1</v>
      </c>
      <c r="P2030" s="15" t="n">
        <f aca="false">IF(A2030="","",IF(O2030&lt;&gt;"",O2030,IF(L2030&lt;&gt;"",L2030,F2030)))</f>
        <v>1</v>
      </c>
    </row>
    <row r="2031" customFormat="false" ht="15" hidden="false" customHeight="true" outlineLevel="0" collapsed="false">
      <c r="A2031" s="26" t="s">
        <v>246</v>
      </c>
      <c r="B2031" s="26"/>
      <c r="C2031" s="14" t="n">
        <f aca="false">IF(A2031="","",IFERROR(VLOOKUP(A2031,'Recert Status'!$A$8:$C$400,3,FALSE()),""))</f>
        <v>0</v>
      </c>
      <c r="D2031" s="18" t="s">
        <v>441</v>
      </c>
      <c r="E2031" s="26" t="n">
        <v>29743</v>
      </c>
      <c r="F2031" s="27" t="n">
        <v>1</v>
      </c>
      <c r="G2031" s="28" t="n">
        <v>45833</v>
      </c>
      <c r="H2031" s="28" t="n">
        <v>45833</v>
      </c>
      <c r="I2031" s="18" t="s">
        <v>442</v>
      </c>
      <c r="J2031" s="26" t="s">
        <v>439</v>
      </c>
      <c r="K2031" s="18" t="s">
        <v>443</v>
      </c>
      <c r="L2031" s="27" t="n">
        <v>1</v>
      </c>
      <c r="M2031" s="35" t="s">
        <v>386</v>
      </c>
      <c r="N2031" s="18" t="s">
        <v>387</v>
      </c>
      <c r="O2031" s="27" t="n">
        <v>1</v>
      </c>
      <c r="P2031" s="15" t="n">
        <f aca="false">IF(A2031="","",IF(O2031&lt;&gt;"",O2031,IF(L2031&lt;&gt;"",L2031,F2031)))</f>
        <v>1</v>
      </c>
    </row>
    <row r="2032" customFormat="false" ht="15" hidden="false" customHeight="true" outlineLevel="0" collapsed="false">
      <c r="A2032" s="30" t="s">
        <v>246</v>
      </c>
      <c r="B2032" s="30"/>
      <c r="C2032" s="21" t="n">
        <f aca="false">IF(A2032="","",IFERROR(VLOOKUP(A2032,'Recert Status'!$A$8:$C$400,3,FALSE()),""))</f>
        <v>0</v>
      </c>
      <c r="D2032" s="31" t="s">
        <v>387</v>
      </c>
      <c r="E2032" s="30" t="s">
        <v>389</v>
      </c>
      <c r="F2032" s="32" t="n">
        <v>1</v>
      </c>
      <c r="G2032" s="33" t="n">
        <v>46235</v>
      </c>
      <c r="H2032" s="33" t="n">
        <v>46235</v>
      </c>
      <c r="I2032" s="31" t="s">
        <v>1064</v>
      </c>
      <c r="J2032" s="30" t="s">
        <v>389</v>
      </c>
      <c r="K2032" s="31" t="s">
        <v>451</v>
      </c>
      <c r="L2032" s="32" t="n">
        <v>1</v>
      </c>
      <c r="M2032" s="35" t="s">
        <v>386</v>
      </c>
      <c r="N2032" s="31" t="s">
        <v>387</v>
      </c>
      <c r="O2032" s="32" t="n">
        <v>1</v>
      </c>
      <c r="P2032" s="15" t="n">
        <f aca="false">IF(A2032="","",IF(O2032&lt;&gt;"",O2032,IF(L2032&lt;&gt;"",L2032,F2032)))</f>
        <v>1</v>
      </c>
    </row>
    <row r="2033" customFormat="false" ht="15" hidden="false" customHeight="true" outlineLevel="0" collapsed="false">
      <c r="A2033" s="26" t="s">
        <v>246</v>
      </c>
      <c r="B2033" s="26"/>
      <c r="C2033" s="14" t="n">
        <f aca="false">IF(A2033="","",IFERROR(VLOOKUP(A2033,'Recert Status'!$A$8:$C$400,3,FALSE()),""))</f>
        <v>0</v>
      </c>
      <c r="D2033" s="18" t="s">
        <v>1584</v>
      </c>
      <c r="E2033" s="26" t="n">
        <v>29769</v>
      </c>
      <c r="F2033" s="27" t="n">
        <v>1</v>
      </c>
      <c r="G2033" s="28" t="n">
        <v>45749</v>
      </c>
      <c r="H2033" s="28" t="n">
        <v>45749</v>
      </c>
      <c r="I2033" s="18" t="s">
        <v>1585</v>
      </c>
      <c r="J2033" s="26" t="s">
        <v>517</v>
      </c>
      <c r="K2033" s="18" t="s">
        <v>412</v>
      </c>
      <c r="L2033" s="27" t="n">
        <v>1</v>
      </c>
      <c r="M2033" s="36" t="s">
        <v>396</v>
      </c>
      <c r="N2033" s="18" t="s">
        <v>397</v>
      </c>
      <c r="O2033" s="27" t="n">
        <v>1</v>
      </c>
      <c r="P2033" s="15" t="n">
        <f aca="false">IF(A2033="","",IF(O2033&lt;&gt;"",O2033,IF(L2033&lt;&gt;"",L2033,F2033)))</f>
        <v>1</v>
      </c>
    </row>
    <row r="2034" customFormat="false" ht="15" hidden="false" customHeight="true" outlineLevel="0" collapsed="false">
      <c r="A2034" s="30" t="s">
        <v>246</v>
      </c>
      <c r="B2034" s="30"/>
      <c r="C2034" s="21" t="n">
        <f aca="false">IF(A2034="","",IFERROR(VLOOKUP(A2034,'Recert Status'!$A$8:$C$400,3,FALSE()),""))</f>
        <v>0</v>
      </c>
      <c r="D2034" s="31" t="s">
        <v>397</v>
      </c>
      <c r="E2034" s="30" t="s">
        <v>452</v>
      </c>
      <c r="F2034" s="32" t="n">
        <v>1</v>
      </c>
      <c r="G2034" s="33" t="n">
        <v>46244</v>
      </c>
      <c r="H2034" s="33" t="n">
        <v>46244</v>
      </c>
      <c r="I2034" s="31" t="s">
        <v>453</v>
      </c>
      <c r="J2034" s="30" t="s">
        <v>452</v>
      </c>
      <c r="K2034" s="31" t="s">
        <v>385</v>
      </c>
      <c r="L2034" s="32" t="n">
        <v>1</v>
      </c>
      <c r="M2034" s="36" t="s">
        <v>396</v>
      </c>
      <c r="N2034" s="31" t="s">
        <v>397</v>
      </c>
      <c r="O2034" s="32" t="n">
        <v>1</v>
      </c>
      <c r="P2034" s="15" t="n">
        <f aca="false">IF(A2034="","",IF(O2034&lt;&gt;"",O2034,IF(L2034&lt;&gt;"",L2034,F2034)))</f>
        <v>1</v>
      </c>
    </row>
    <row r="2035" customFormat="false" ht="15" hidden="false" customHeight="true" outlineLevel="0" collapsed="false">
      <c r="A2035" s="26" t="s">
        <v>246</v>
      </c>
      <c r="B2035" s="26"/>
      <c r="C2035" s="14" t="n">
        <f aca="false">IF(A2035="","",IFERROR(VLOOKUP(A2035,'Recert Status'!$A$8:$C$400,3,FALSE()),""))</f>
        <v>0</v>
      </c>
      <c r="D2035" s="18" t="s">
        <v>870</v>
      </c>
      <c r="E2035" s="26" t="s">
        <v>399</v>
      </c>
      <c r="F2035" s="27" t="n">
        <v>1.25</v>
      </c>
      <c r="G2035" s="28" t="n">
        <v>46085</v>
      </c>
      <c r="H2035" s="28" t="n">
        <v>46085</v>
      </c>
      <c r="I2035" s="18" t="s">
        <v>1120</v>
      </c>
      <c r="J2035" s="26" t="s">
        <v>399</v>
      </c>
      <c r="K2035" s="18" t="s">
        <v>401</v>
      </c>
      <c r="L2035" s="27" t="n">
        <v>1.25</v>
      </c>
      <c r="M2035" s="37" t="s">
        <v>402</v>
      </c>
      <c r="N2035" s="18" t="s">
        <v>403</v>
      </c>
      <c r="O2035" s="27" t="n">
        <v>1.25</v>
      </c>
      <c r="P2035" s="15" t="n">
        <f aca="false">IF(A2035="","",IF(O2035&lt;&gt;"",O2035,IF(L2035&lt;&gt;"",L2035,F2035)))</f>
        <v>1.25</v>
      </c>
    </row>
    <row r="2036" customFormat="false" ht="15" hidden="false" customHeight="true" outlineLevel="0" collapsed="false">
      <c r="A2036" s="30" t="s">
        <v>246</v>
      </c>
      <c r="B2036" s="30"/>
      <c r="C2036" s="21" t="n">
        <f aca="false">IF(A2036="","",IFERROR(VLOOKUP(A2036,'Recert Status'!$A$8:$C$400,3,FALSE()),""))</f>
        <v>0</v>
      </c>
      <c r="D2036" s="31" t="s">
        <v>415</v>
      </c>
      <c r="E2036" s="30" t="s">
        <v>416</v>
      </c>
      <c r="F2036" s="32" t="n">
        <v>1</v>
      </c>
      <c r="G2036" s="33" t="n">
        <v>45824</v>
      </c>
      <c r="H2036" s="33" t="n">
        <v>45824</v>
      </c>
      <c r="I2036" s="31" t="s">
        <v>1124</v>
      </c>
      <c r="J2036" s="30" t="s">
        <v>416</v>
      </c>
      <c r="K2036" s="31" t="s">
        <v>418</v>
      </c>
      <c r="L2036" s="32" t="n">
        <v>1</v>
      </c>
      <c r="M2036" s="39" t="s">
        <v>413</v>
      </c>
      <c r="N2036" s="31" t="s">
        <v>414</v>
      </c>
      <c r="O2036" s="32" t="n">
        <v>1</v>
      </c>
      <c r="P2036" s="15" t="n">
        <f aca="false">IF(A2036="","",IF(O2036&lt;&gt;"",O2036,IF(L2036&lt;&gt;"",L2036,F2036)))</f>
        <v>1</v>
      </c>
    </row>
    <row r="2037" customFormat="false" ht="15" hidden="false" customHeight="true" outlineLevel="0" collapsed="false">
      <c r="A2037" s="26" t="s">
        <v>246</v>
      </c>
      <c r="B2037" s="26"/>
      <c r="C2037" s="14" t="n">
        <f aca="false">IF(A2037="","",IFERROR(VLOOKUP(A2037,'Recert Status'!$A$8:$C$400,3,FALSE()),""))</f>
        <v>0</v>
      </c>
      <c r="D2037" s="18" t="s">
        <v>1586</v>
      </c>
      <c r="E2037" s="26" t="n">
        <v>29769</v>
      </c>
      <c r="F2037" s="27" t="n">
        <v>1</v>
      </c>
      <c r="G2037" s="28" t="n">
        <v>45845</v>
      </c>
      <c r="H2037" s="28" t="n">
        <v>45845</v>
      </c>
      <c r="I2037" s="18" t="s">
        <v>1587</v>
      </c>
      <c r="J2037" s="26" t="s">
        <v>517</v>
      </c>
      <c r="K2037" s="18" t="s">
        <v>412</v>
      </c>
      <c r="L2037" s="27" t="n">
        <v>1</v>
      </c>
      <c r="M2037" s="39" t="s">
        <v>413</v>
      </c>
      <c r="N2037" s="18" t="s">
        <v>414</v>
      </c>
      <c r="O2037" s="27" t="n">
        <v>1</v>
      </c>
      <c r="P2037" s="15" t="n">
        <f aca="false">IF(A2037="","",IF(O2037&lt;&gt;"",O2037,IF(L2037&lt;&gt;"",L2037,F2037)))</f>
        <v>1</v>
      </c>
    </row>
    <row r="2038" customFormat="false" ht="15" hidden="false" customHeight="true" outlineLevel="0" collapsed="false">
      <c r="A2038" s="30" t="s">
        <v>246</v>
      </c>
      <c r="B2038" s="30"/>
      <c r="C2038" s="21" t="n">
        <f aca="false">IF(A2038="","",IFERROR(VLOOKUP(A2038,'Recert Status'!$A$8:$C$400,3,FALSE()),""))</f>
        <v>0</v>
      </c>
      <c r="D2038" s="31" t="s">
        <v>457</v>
      </c>
      <c r="E2038" s="30" t="s">
        <v>416</v>
      </c>
      <c r="F2038" s="32" t="n">
        <v>2</v>
      </c>
      <c r="G2038" s="33" t="n">
        <v>45860</v>
      </c>
      <c r="H2038" s="33" t="n">
        <v>45860</v>
      </c>
      <c r="I2038" s="31" t="s">
        <v>458</v>
      </c>
      <c r="J2038" s="30" t="s">
        <v>416</v>
      </c>
      <c r="K2038" s="31" t="s">
        <v>459</v>
      </c>
      <c r="L2038" s="32" t="n">
        <v>2</v>
      </c>
      <c r="M2038" s="39" t="s">
        <v>413</v>
      </c>
      <c r="N2038" s="31" t="s">
        <v>414</v>
      </c>
      <c r="O2038" s="32" t="n">
        <v>2</v>
      </c>
      <c r="P2038" s="15" t="n">
        <f aca="false">IF(A2038="","",IF(O2038&lt;&gt;"",O2038,IF(L2038&lt;&gt;"",L2038,F2038)))</f>
        <v>2</v>
      </c>
    </row>
    <row r="2039" customFormat="false" ht="15" hidden="false" customHeight="true" outlineLevel="0" collapsed="false">
      <c r="A2039" s="26" t="s">
        <v>246</v>
      </c>
      <c r="B2039" s="26"/>
      <c r="C2039" s="14" t="n">
        <f aca="false">IF(A2039="","",IFERROR(VLOOKUP(A2039,'Recert Status'!$A$8:$C$400,3,FALSE()),""))</f>
        <v>0</v>
      </c>
      <c r="D2039" s="18" t="s">
        <v>488</v>
      </c>
      <c r="E2039" s="26" t="s">
        <v>416</v>
      </c>
      <c r="F2039" s="27" t="n">
        <v>1</v>
      </c>
      <c r="G2039" s="28" t="n">
        <v>46139</v>
      </c>
      <c r="H2039" s="28" t="n">
        <v>46139</v>
      </c>
      <c r="I2039" s="18" t="s">
        <v>610</v>
      </c>
      <c r="J2039" s="26" t="s">
        <v>416</v>
      </c>
      <c r="K2039" s="18" t="s">
        <v>490</v>
      </c>
      <c r="L2039" s="27" t="n">
        <v>1</v>
      </c>
      <c r="M2039" s="39" t="s">
        <v>413</v>
      </c>
      <c r="N2039" s="18" t="s">
        <v>414</v>
      </c>
      <c r="O2039" s="27" t="n">
        <v>1</v>
      </c>
      <c r="P2039" s="15" t="n">
        <f aca="false">IF(A2039="","",IF(O2039&lt;&gt;"",O2039,IF(L2039&lt;&gt;"",L2039,F2039)))</f>
        <v>1</v>
      </c>
    </row>
    <row r="2040" customFormat="false" ht="15" hidden="false" customHeight="true" outlineLevel="0" collapsed="false">
      <c r="A2040" s="30" t="s">
        <v>246</v>
      </c>
      <c r="B2040" s="30"/>
      <c r="C2040" s="21" t="n">
        <f aca="false">IF(A2040="","",IFERROR(VLOOKUP(A2040,'Recert Status'!$A$8:$C$400,3,FALSE()),""))</f>
        <v>0</v>
      </c>
      <c r="D2040" s="31" t="s">
        <v>414</v>
      </c>
      <c r="E2040" s="30" t="s">
        <v>416</v>
      </c>
      <c r="F2040" s="32" t="n">
        <v>2</v>
      </c>
      <c r="G2040" s="33" t="n">
        <v>46217</v>
      </c>
      <c r="H2040" s="33" t="n">
        <v>46217</v>
      </c>
      <c r="I2040" s="31" t="s">
        <v>460</v>
      </c>
      <c r="J2040" s="30" t="s">
        <v>416</v>
      </c>
      <c r="K2040" s="31" t="s">
        <v>418</v>
      </c>
      <c r="L2040" s="32" t="n">
        <v>2</v>
      </c>
      <c r="M2040" s="39" t="s">
        <v>413</v>
      </c>
      <c r="N2040" s="31" t="s">
        <v>414</v>
      </c>
      <c r="O2040" s="32" t="n">
        <v>2</v>
      </c>
      <c r="P2040" s="15" t="n">
        <f aca="false">IF(A2040="","",IF(O2040&lt;&gt;"",O2040,IF(L2040&lt;&gt;"",L2040,F2040)))</f>
        <v>2</v>
      </c>
    </row>
    <row r="2041" customFormat="false" ht="15" hidden="false" customHeight="true" outlineLevel="0" collapsed="false">
      <c r="A2041" s="26" t="s">
        <v>247</v>
      </c>
      <c r="B2041" s="26" t="s">
        <v>248</v>
      </c>
      <c r="C2041" s="14" t="n">
        <f aca="false">IF(A2041="","",IFERROR(VLOOKUP(A2041,'Recert Status'!$A$8:$C$400,3,FALSE()),""))</f>
        <v>46752</v>
      </c>
      <c r="D2041" s="18" t="s">
        <v>1339</v>
      </c>
      <c r="E2041" s="26" t="s">
        <v>363</v>
      </c>
      <c r="F2041" s="27" t="n">
        <v>0.5</v>
      </c>
      <c r="G2041" s="28" t="n">
        <v>45794</v>
      </c>
      <c r="H2041" s="28" t="n">
        <v>45794</v>
      </c>
      <c r="I2041" s="18" t="s">
        <v>1340</v>
      </c>
      <c r="J2041" s="26" t="s">
        <v>363</v>
      </c>
      <c r="K2041" s="18" t="s">
        <v>365</v>
      </c>
      <c r="L2041" s="27" t="n">
        <v>0.5</v>
      </c>
      <c r="M2041" s="29" t="s">
        <v>366</v>
      </c>
      <c r="N2041" s="18" t="s">
        <v>367</v>
      </c>
      <c r="O2041" s="27" t="n">
        <v>0.5</v>
      </c>
      <c r="P2041" s="15" t="n">
        <f aca="false">IF(A2041="","",IF(O2041&lt;&gt;"",O2041,IF(L2041&lt;&gt;"",L2041,F2041)))</f>
        <v>0.5</v>
      </c>
    </row>
    <row r="2042" customFormat="false" ht="15" hidden="false" customHeight="true" outlineLevel="0" collapsed="false">
      <c r="A2042" s="30" t="s">
        <v>247</v>
      </c>
      <c r="B2042" s="30" t="s">
        <v>248</v>
      </c>
      <c r="C2042" s="21" t="n">
        <f aca="false">IF(A2042="","",IFERROR(VLOOKUP(A2042,'Recert Status'!$A$8:$C$400,3,FALSE()),""))</f>
        <v>46752</v>
      </c>
      <c r="D2042" s="31" t="s">
        <v>1588</v>
      </c>
      <c r="E2042" s="30" t="n">
        <v>57394</v>
      </c>
      <c r="F2042" s="32" t="n">
        <v>4</v>
      </c>
      <c r="G2042" s="33" t="n">
        <v>45971</v>
      </c>
      <c r="H2042" s="33" t="n">
        <v>45971</v>
      </c>
      <c r="I2042" s="31" t="s">
        <v>1589</v>
      </c>
      <c r="J2042" s="30" t="s">
        <v>503</v>
      </c>
      <c r="K2042" s="31" t="s">
        <v>1590</v>
      </c>
      <c r="L2042" s="32" t="n">
        <v>2</v>
      </c>
      <c r="M2042" s="29" t="s">
        <v>366</v>
      </c>
      <c r="N2042" s="31" t="s">
        <v>1591</v>
      </c>
      <c r="O2042" s="32" t="n">
        <v>4</v>
      </c>
      <c r="P2042" s="15" t="n">
        <f aca="false">IF(A2042="","",IF(O2042&lt;&gt;"",O2042,IF(L2042&lt;&gt;"",L2042,F2042)))</f>
        <v>4</v>
      </c>
    </row>
    <row r="2043" customFormat="false" ht="15" hidden="false" customHeight="true" outlineLevel="0" collapsed="false">
      <c r="A2043" s="26" t="s">
        <v>247</v>
      </c>
      <c r="B2043" s="26" t="s">
        <v>248</v>
      </c>
      <c r="C2043" s="14" t="n">
        <f aca="false">IF(A2043="","",IFERROR(VLOOKUP(A2043,'Recert Status'!$A$8:$C$400,3,FALSE()),""))</f>
        <v>46752</v>
      </c>
      <c r="D2043" s="18" t="s">
        <v>584</v>
      </c>
      <c r="E2043" s="26" t="s">
        <v>542</v>
      </c>
      <c r="F2043" s="27" t="n">
        <v>3</v>
      </c>
      <c r="G2043" s="28" t="n">
        <v>45892</v>
      </c>
      <c r="H2043" s="28" t="n">
        <v>45892</v>
      </c>
      <c r="I2043" s="18" t="s">
        <v>585</v>
      </c>
      <c r="J2043" s="26" t="s">
        <v>542</v>
      </c>
      <c r="K2043" s="18" t="s">
        <v>586</v>
      </c>
      <c r="L2043" s="27" t="n">
        <v>3</v>
      </c>
      <c r="M2043" s="40" t="s">
        <v>423</v>
      </c>
      <c r="N2043" s="18" t="s">
        <v>424</v>
      </c>
      <c r="O2043" s="27" t="n">
        <v>3</v>
      </c>
      <c r="P2043" s="15" t="n">
        <f aca="false">IF(A2043="","",IF(O2043&lt;&gt;"",O2043,IF(L2043&lt;&gt;"",L2043,F2043)))</f>
        <v>3</v>
      </c>
    </row>
    <row r="2044" customFormat="false" ht="15" hidden="false" customHeight="true" outlineLevel="0" collapsed="false">
      <c r="A2044" s="30" t="s">
        <v>247</v>
      </c>
      <c r="B2044" s="30" t="s">
        <v>248</v>
      </c>
      <c r="C2044" s="21" t="n">
        <f aca="false">IF(A2044="","",IFERROR(VLOOKUP(A2044,'Recert Status'!$A$8:$C$400,3,FALSE()),""))</f>
        <v>46752</v>
      </c>
      <c r="D2044" s="31" t="s">
        <v>1588</v>
      </c>
      <c r="E2044" s="30" t="n">
        <v>57394</v>
      </c>
      <c r="F2044" s="32" t="n">
        <v>4</v>
      </c>
      <c r="G2044" s="33" t="n">
        <v>45971</v>
      </c>
      <c r="H2044" s="33" t="n">
        <v>45971</v>
      </c>
      <c r="I2044" s="31" t="s">
        <v>1589</v>
      </c>
      <c r="J2044" s="30" t="s">
        <v>503</v>
      </c>
      <c r="K2044" s="31" t="s">
        <v>1590</v>
      </c>
      <c r="L2044" s="32" t="n">
        <v>1</v>
      </c>
      <c r="M2044" s="41" t="s">
        <v>429</v>
      </c>
      <c r="N2044" s="31" t="s">
        <v>1591</v>
      </c>
      <c r="O2044" s="32" t="n">
        <v>4</v>
      </c>
      <c r="P2044" s="15" t="n">
        <f aca="false">IF(A2044="","",IF(O2044&lt;&gt;"",O2044,IF(L2044&lt;&gt;"",L2044,F2044)))</f>
        <v>4</v>
      </c>
    </row>
    <row r="2045" customFormat="false" ht="15" hidden="false" customHeight="true" outlineLevel="0" collapsed="false">
      <c r="A2045" s="26" t="s">
        <v>247</v>
      </c>
      <c r="B2045" s="26" t="s">
        <v>248</v>
      </c>
      <c r="C2045" s="14" t="n">
        <f aca="false">IF(A2045="","",IFERROR(VLOOKUP(A2045,'Recert Status'!$A$8:$C$400,3,FALSE()),""))</f>
        <v>46752</v>
      </c>
      <c r="D2045" s="18" t="s">
        <v>1012</v>
      </c>
      <c r="E2045" s="26" t="s">
        <v>372</v>
      </c>
      <c r="F2045" s="27" t="n">
        <v>1</v>
      </c>
      <c r="G2045" s="28" t="n">
        <v>46135</v>
      </c>
      <c r="H2045" s="28" t="n">
        <v>46135</v>
      </c>
      <c r="I2045" s="18" t="s">
        <v>1013</v>
      </c>
      <c r="J2045" s="26" t="s">
        <v>372</v>
      </c>
      <c r="K2045" s="18" t="s">
        <v>374</v>
      </c>
      <c r="L2045" s="27" t="n">
        <v>1</v>
      </c>
      <c r="M2045" s="34" t="s">
        <v>375</v>
      </c>
      <c r="N2045" s="18" t="s">
        <v>376</v>
      </c>
      <c r="O2045" s="27" t="n">
        <v>1</v>
      </c>
      <c r="P2045" s="15" t="n">
        <f aca="false">IF(A2045="","",IF(O2045&lt;&gt;"",O2045,IF(L2045&lt;&gt;"",L2045,F2045)))</f>
        <v>1</v>
      </c>
    </row>
    <row r="2046" customFormat="false" ht="15" hidden="false" customHeight="true" outlineLevel="0" collapsed="false">
      <c r="A2046" s="30" t="s">
        <v>247</v>
      </c>
      <c r="B2046" s="30" t="s">
        <v>248</v>
      </c>
      <c r="C2046" s="21" t="n">
        <f aca="false">IF(A2046="","",IFERROR(VLOOKUP(A2046,'Recert Status'!$A$8:$C$400,3,FALSE()),""))</f>
        <v>46752</v>
      </c>
      <c r="D2046" s="31" t="s">
        <v>613</v>
      </c>
      <c r="E2046" s="30" t="n">
        <v>29784</v>
      </c>
      <c r="F2046" s="32" t="n">
        <v>0.5</v>
      </c>
      <c r="G2046" s="33" t="n">
        <v>45670</v>
      </c>
      <c r="H2046" s="33" t="n">
        <v>45670</v>
      </c>
      <c r="I2046" s="31" t="s">
        <v>614</v>
      </c>
      <c r="J2046" s="30" t="s">
        <v>435</v>
      </c>
      <c r="K2046" s="31" t="s">
        <v>468</v>
      </c>
      <c r="L2046" s="32" t="n">
        <v>0.5</v>
      </c>
      <c r="M2046" s="35" t="s">
        <v>386</v>
      </c>
      <c r="N2046" s="31" t="s">
        <v>387</v>
      </c>
      <c r="O2046" s="32" t="n">
        <v>0.5</v>
      </c>
      <c r="P2046" s="15" t="n">
        <f aca="false">IF(A2046="","",IF(O2046&lt;&gt;"",O2046,IF(L2046&lt;&gt;"",L2046,F2046)))</f>
        <v>0.5</v>
      </c>
    </row>
    <row r="2047" customFormat="false" ht="15" hidden="false" customHeight="true" outlineLevel="0" collapsed="false">
      <c r="A2047" s="26" t="s">
        <v>247</v>
      </c>
      <c r="B2047" s="26" t="s">
        <v>248</v>
      </c>
      <c r="C2047" s="14" t="n">
        <f aca="false">IF(A2047="","",IFERROR(VLOOKUP(A2047,'Recert Status'!$A$8:$C$400,3,FALSE()),""))</f>
        <v>46752</v>
      </c>
      <c r="D2047" s="18" t="s">
        <v>1016</v>
      </c>
      <c r="E2047" s="26" t="s">
        <v>389</v>
      </c>
      <c r="F2047" s="27" t="n">
        <v>1</v>
      </c>
      <c r="G2047" s="28" t="n">
        <v>45940</v>
      </c>
      <c r="H2047" s="28" t="n">
        <v>45940</v>
      </c>
      <c r="I2047" s="18" t="s">
        <v>1017</v>
      </c>
      <c r="J2047" s="26" t="s">
        <v>389</v>
      </c>
      <c r="K2047" s="18" t="s">
        <v>1018</v>
      </c>
      <c r="L2047" s="27" t="n">
        <v>1</v>
      </c>
      <c r="M2047" s="35" t="s">
        <v>386</v>
      </c>
      <c r="N2047" s="18" t="s">
        <v>387</v>
      </c>
      <c r="O2047" s="27" t="n">
        <v>1</v>
      </c>
      <c r="P2047" s="15" t="n">
        <f aca="false">IF(A2047="","",IF(O2047&lt;&gt;"",O2047,IF(L2047&lt;&gt;"",L2047,F2047)))</f>
        <v>1</v>
      </c>
    </row>
    <row r="2048" customFormat="false" ht="15" hidden="false" customHeight="true" outlineLevel="0" collapsed="false">
      <c r="A2048" s="30" t="s">
        <v>247</v>
      </c>
      <c r="B2048" s="30" t="s">
        <v>248</v>
      </c>
      <c r="C2048" s="21" t="n">
        <f aca="false">IF(A2048="","",IFERROR(VLOOKUP(A2048,'Recert Status'!$A$8:$C$400,3,FALSE()),""))</f>
        <v>46752</v>
      </c>
      <c r="D2048" s="31" t="s">
        <v>1592</v>
      </c>
      <c r="E2048" s="30" t="n">
        <v>29740</v>
      </c>
      <c r="F2048" s="32" t="n">
        <v>16</v>
      </c>
      <c r="G2048" s="33" t="n">
        <v>45972</v>
      </c>
      <c r="H2048" s="33" t="n">
        <v>45973</v>
      </c>
      <c r="I2048" s="31" t="s">
        <v>1593</v>
      </c>
      <c r="J2048" s="30" t="s">
        <v>394</v>
      </c>
      <c r="K2048" s="31" t="s">
        <v>1594</v>
      </c>
      <c r="L2048" s="32" t="n">
        <v>3</v>
      </c>
      <c r="M2048" s="35" t="s">
        <v>386</v>
      </c>
      <c r="N2048" s="31" t="s">
        <v>1595</v>
      </c>
      <c r="O2048" s="32" t="n">
        <v>16</v>
      </c>
      <c r="P2048" s="15" t="n">
        <f aca="false">IF(A2048="","",IF(O2048&lt;&gt;"",O2048,IF(L2048&lt;&gt;"",L2048,F2048)))</f>
        <v>16</v>
      </c>
    </row>
    <row r="2049" customFormat="false" ht="15" hidden="false" customHeight="true" outlineLevel="0" collapsed="false">
      <c r="A2049" s="26" t="s">
        <v>247</v>
      </c>
      <c r="B2049" s="26" t="s">
        <v>248</v>
      </c>
      <c r="C2049" s="14" t="n">
        <f aca="false">IF(A2049="","",IFERROR(VLOOKUP(A2049,'Recert Status'!$A$8:$C$400,3,FALSE()),""))</f>
        <v>46752</v>
      </c>
      <c r="D2049" s="18" t="s">
        <v>913</v>
      </c>
      <c r="E2049" s="26" t="n">
        <v>29784</v>
      </c>
      <c r="F2049" s="27" t="n">
        <v>0.5</v>
      </c>
      <c r="G2049" s="28" t="n">
        <v>46000</v>
      </c>
      <c r="H2049" s="28" t="n">
        <v>46000</v>
      </c>
      <c r="I2049" s="18" t="s">
        <v>1019</v>
      </c>
      <c r="J2049" s="26" t="s">
        <v>435</v>
      </c>
      <c r="K2049" s="18" t="s">
        <v>468</v>
      </c>
      <c r="L2049" s="27" t="n">
        <v>0.5</v>
      </c>
      <c r="M2049" s="35" t="s">
        <v>386</v>
      </c>
      <c r="N2049" s="18" t="s">
        <v>387</v>
      </c>
      <c r="O2049" s="27" t="n">
        <v>0.5</v>
      </c>
      <c r="P2049" s="15" t="n">
        <f aca="false">IF(A2049="","",IF(O2049&lt;&gt;"",O2049,IF(L2049&lt;&gt;"",L2049,F2049)))</f>
        <v>0.5</v>
      </c>
    </row>
    <row r="2050" customFormat="false" ht="15" hidden="false" customHeight="true" outlineLevel="0" collapsed="false">
      <c r="A2050" s="30" t="s">
        <v>247</v>
      </c>
      <c r="B2050" s="30" t="s">
        <v>248</v>
      </c>
      <c r="C2050" s="21" t="n">
        <f aca="false">IF(A2050="","",IFERROR(VLOOKUP(A2050,'Recert Status'!$A$8:$C$400,3,FALSE()),""))</f>
        <v>46752</v>
      </c>
      <c r="D2050" s="31" t="s">
        <v>474</v>
      </c>
      <c r="E2050" s="30" t="s">
        <v>389</v>
      </c>
      <c r="F2050" s="32" t="n">
        <v>1</v>
      </c>
      <c r="G2050" s="33" t="n">
        <v>46204</v>
      </c>
      <c r="H2050" s="33" t="n">
        <v>46204</v>
      </c>
      <c r="I2050" s="31" t="s">
        <v>475</v>
      </c>
      <c r="J2050" s="30" t="s">
        <v>389</v>
      </c>
      <c r="K2050" s="31" t="s">
        <v>476</v>
      </c>
      <c r="L2050" s="32" t="n">
        <v>1</v>
      </c>
      <c r="M2050" s="35" t="s">
        <v>386</v>
      </c>
      <c r="N2050" s="31" t="s">
        <v>387</v>
      </c>
      <c r="O2050" s="32" t="n">
        <v>1</v>
      </c>
      <c r="P2050" s="15" t="n">
        <f aca="false">IF(A2050="","",IF(O2050&lt;&gt;"",O2050,IF(L2050&lt;&gt;"",L2050,F2050)))</f>
        <v>1</v>
      </c>
    </row>
    <row r="2051" customFormat="false" ht="15" hidden="false" customHeight="true" outlineLevel="0" collapsed="false">
      <c r="A2051" s="26" t="s">
        <v>247</v>
      </c>
      <c r="B2051" s="26" t="s">
        <v>248</v>
      </c>
      <c r="C2051" s="14" t="n">
        <f aca="false">IF(A2051="","",IFERROR(VLOOKUP(A2051,'Recert Status'!$A$8:$C$400,3,FALSE()),""))</f>
        <v>46752</v>
      </c>
      <c r="D2051" s="18" t="s">
        <v>387</v>
      </c>
      <c r="E2051" s="26" t="s">
        <v>389</v>
      </c>
      <c r="F2051" s="27" t="n">
        <v>1</v>
      </c>
      <c r="G2051" s="28" t="n">
        <v>46231</v>
      </c>
      <c r="H2051" s="28" t="n">
        <v>46231</v>
      </c>
      <c r="I2051" s="18" t="s">
        <v>1212</v>
      </c>
      <c r="J2051" s="26" t="s">
        <v>389</v>
      </c>
      <c r="K2051" s="18" t="s">
        <v>451</v>
      </c>
      <c r="L2051" s="27" t="n">
        <v>1</v>
      </c>
      <c r="M2051" s="35" t="s">
        <v>386</v>
      </c>
      <c r="N2051" s="18" t="s">
        <v>387</v>
      </c>
      <c r="O2051" s="27" t="n">
        <v>1</v>
      </c>
      <c r="P2051" s="15" t="n">
        <f aca="false">IF(A2051="","",IF(O2051&lt;&gt;"",O2051,IF(L2051&lt;&gt;"",L2051,F2051)))</f>
        <v>1</v>
      </c>
    </row>
    <row r="2052" customFormat="false" ht="15" hidden="false" customHeight="true" outlineLevel="0" collapsed="false">
      <c r="A2052" s="30" t="s">
        <v>247</v>
      </c>
      <c r="B2052" s="30" t="s">
        <v>248</v>
      </c>
      <c r="C2052" s="21" t="n">
        <f aca="false">IF(A2052="","",IFERROR(VLOOKUP(A2052,'Recert Status'!$A$8:$C$400,3,FALSE()),""))</f>
        <v>46752</v>
      </c>
      <c r="D2052" s="31" t="s">
        <v>617</v>
      </c>
      <c r="E2052" s="30" t="s">
        <v>452</v>
      </c>
      <c r="F2052" s="32" t="n">
        <v>2</v>
      </c>
      <c r="G2052" s="33" t="n">
        <v>45883</v>
      </c>
      <c r="H2052" s="33" t="n">
        <v>45883</v>
      </c>
      <c r="I2052" s="31" t="s">
        <v>618</v>
      </c>
      <c r="J2052" s="30" t="s">
        <v>452</v>
      </c>
      <c r="K2052" s="31" t="s">
        <v>385</v>
      </c>
      <c r="L2052" s="32" t="n">
        <v>2</v>
      </c>
      <c r="M2052" s="36" t="s">
        <v>396</v>
      </c>
      <c r="N2052" s="31" t="s">
        <v>397</v>
      </c>
      <c r="O2052" s="32" t="n">
        <v>2</v>
      </c>
      <c r="P2052" s="15" t="n">
        <f aca="false">IF(A2052="","",IF(O2052&lt;&gt;"",O2052,IF(L2052&lt;&gt;"",L2052,F2052)))</f>
        <v>2</v>
      </c>
    </row>
    <row r="2053" customFormat="false" ht="15" hidden="false" customHeight="true" outlineLevel="0" collapsed="false">
      <c r="A2053" s="26" t="s">
        <v>247</v>
      </c>
      <c r="B2053" s="26" t="s">
        <v>248</v>
      </c>
      <c r="C2053" s="14" t="n">
        <f aca="false">IF(A2053="","",IFERROR(VLOOKUP(A2053,'Recert Status'!$A$8:$C$400,3,FALSE()),""))</f>
        <v>46752</v>
      </c>
      <c r="D2053" s="18" t="s">
        <v>1592</v>
      </c>
      <c r="E2053" s="26" t="n">
        <v>29740</v>
      </c>
      <c r="F2053" s="27" t="n">
        <v>16</v>
      </c>
      <c r="G2053" s="28" t="n">
        <v>45972</v>
      </c>
      <c r="H2053" s="28" t="n">
        <v>45973</v>
      </c>
      <c r="I2053" s="18" t="s">
        <v>1593</v>
      </c>
      <c r="J2053" s="26" t="s">
        <v>394</v>
      </c>
      <c r="K2053" s="18" t="s">
        <v>1594</v>
      </c>
      <c r="L2053" s="27" t="n">
        <v>5</v>
      </c>
      <c r="M2053" s="36" t="s">
        <v>396</v>
      </c>
      <c r="N2053" s="18" t="s">
        <v>1595</v>
      </c>
      <c r="O2053" s="27" t="n">
        <v>16</v>
      </c>
      <c r="P2053" s="15" t="n">
        <f aca="false">IF(A2053="","",IF(O2053&lt;&gt;"",O2053,IF(L2053&lt;&gt;"",L2053,F2053)))</f>
        <v>16</v>
      </c>
    </row>
    <row r="2054" customFormat="false" ht="15" hidden="false" customHeight="true" outlineLevel="0" collapsed="false">
      <c r="A2054" s="30" t="s">
        <v>247</v>
      </c>
      <c r="B2054" s="30" t="s">
        <v>248</v>
      </c>
      <c r="C2054" s="21" t="n">
        <f aca="false">IF(A2054="","",IFERROR(VLOOKUP(A2054,'Recert Status'!$A$8:$C$400,3,FALSE()),""))</f>
        <v>46752</v>
      </c>
      <c r="D2054" s="31" t="s">
        <v>397</v>
      </c>
      <c r="E2054" s="30" t="s">
        <v>452</v>
      </c>
      <c r="F2054" s="32" t="n">
        <v>1</v>
      </c>
      <c r="G2054" s="33" t="n">
        <v>46246</v>
      </c>
      <c r="H2054" s="33" t="n">
        <v>46246</v>
      </c>
      <c r="I2054" s="31" t="s">
        <v>478</v>
      </c>
      <c r="J2054" s="30" t="s">
        <v>452</v>
      </c>
      <c r="K2054" s="31" t="s">
        <v>385</v>
      </c>
      <c r="L2054" s="32" t="n">
        <v>1</v>
      </c>
      <c r="M2054" s="36" t="s">
        <v>396</v>
      </c>
      <c r="N2054" s="31" t="s">
        <v>397</v>
      </c>
      <c r="O2054" s="32" t="n">
        <v>1</v>
      </c>
      <c r="P2054" s="15" t="n">
        <f aca="false">IF(A2054="","",IF(O2054&lt;&gt;"",O2054,IF(L2054&lt;&gt;"",L2054,F2054)))</f>
        <v>1</v>
      </c>
    </row>
    <row r="2055" customFormat="false" ht="15" hidden="false" customHeight="true" outlineLevel="0" collapsed="false">
      <c r="A2055" s="26" t="s">
        <v>247</v>
      </c>
      <c r="B2055" s="26" t="s">
        <v>248</v>
      </c>
      <c r="C2055" s="14" t="n">
        <f aca="false">IF(A2055="","",IFERROR(VLOOKUP(A2055,'Recert Status'!$A$8:$C$400,3,FALSE()),""))</f>
        <v>46752</v>
      </c>
      <c r="D2055" s="18" t="s">
        <v>1588</v>
      </c>
      <c r="E2055" s="26" t="n">
        <v>57394</v>
      </c>
      <c r="F2055" s="27" t="n">
        <v>4</v>
      </c>
      <c r="G2055" s="28" t="n">
        <v>45971</v>
      </c>
      <c r="H2055" s="28" t="n">
        <v>45971</v>
      </c>
      <c r="I2055" s="18" t="s">
        <v>1589</v>
      </c>
      <c r="J2055" s="26" t="s">
        <v>503</v>
      </c>
      <c r="K2055" s="18" t="s">
        <v>1590</v>
      </c>
      <c r="L2055" s="27" t="n">
        <v>1</v>
      </c>
      <c r="M2055" s="39" t="s">
        <v>413</v>
      </c>
      <c r="N2055" s="18" t="s">
        <v>1591</v>
      </c>
      <c r="O2055" s="27" t="n">
        <v>4</v>
      </c>
      <c r="P2055" s="15" t="n">
        <f aca="false">IF(A2055="","",IF(O2055&lt;&gt;"",O2055,IF(L2055&lt;&gt;"",L2055,F2055)))</f>
        <v>4</v>
      </c>
    </row>
    <row r="2056" customFormat="false" ht="15" hidden="false" customHeight="true" outlineLevel="0" collapsed="false">
      <c r="A2056" s="30" t="s">
        <v>247</v>
      </c>
      <c r="B2056" s="30" t="s">
        <v>248</v>
      </c>
      <c r="C2056" s="21" t="n">
        <f aca="false">IF(A2056="","",IFERROR(VLOOKUP(A2056,'Recert Status'!$A$8:$C$400,3,FALSE()),""))</f>
        <v>46752</v>
      </c>
      <c r="D2056" s="31" t="s">
        <v>1592</v>
      </c>
      <c r="E2056" s="30" t="n">
        <v>29740</v>
      </c>
      <c r="F2056" s="32" t="n">
        <v>16</v>
      </c>
      <c r="G2056" s="33" t="n">
        <v>45972</v>
      </c>
      <c r="H2056" s="33" t="n">
        <v>45973</v>
      </c>
      <c r="I2056" s="31" t="s">
        <v>1593</v>
      </c>
      <c r="J2056" s="30" t="s">
        <v>394</v>
      </c>
      <c r="K2056" s="31" t="s">
        <v>1594</v>
      </c>
      <c r="L2056" s="32" t="n">
        <v>3</v>
      </c>
      <c r="M2056" s="39" t="s">
        <v>413</v>
      </c>
      <c r="N2056" s="31" t="s">
        <v>1595</v>
      </c>
      <c r="O2056" s="32" t="n">
        <v>16</v>
      </c>
      <c r="P2056" s="15" t="n">
        <f aca="false">IF(A2056="","",IF(O2056&lt;&gt;"",O2056,IF(L2056&lt;&gt;"",L2056,F2056)))</f>
        <v>16</v>
      </c>
    </row>
    <row r="2057" customFormat="false" ht="15" hidden="false" customHeight="true" outlineLevel="0" collapsed="false">
      <c r="A2057" s="26" t="s">
        <v>247</v>
      </c>
      <c r="B2057" s="26" t="s">
        <v>248</v>
      </c>
      <c r="C2057" s="14" t="n">
        <f aca="false">IF(A2057="","",IFERROR(VLOOKUP(A2057,'Recert Status'!$A$8:$C$400,3,FALSE()),""))</f>
        <v>46752</v>
      </c>
      <c r="D2057" s="18" t="s">
        <v>488</v>
      </c>
      <c r="E2057" s="26" t="s">
        <v>416</v>
      </c>
      <c r="F2057" s="27" t="n">
        <v>1</v>
      </c>
      <c r="G2057" s="28" t="n">
        <v>46132</v>
      </c>
      <c r="H2057" s="28" t="n">
        <v>46132</v>
      </c>
      <c r="I2057" s="18" t="s">
        <v>609</v>
      </c>
      <c r="J2057" s="26" t="s">
        <v>416</v>
      </c>
      <c r="K2057" s="18" t="s">
        <v>490</v>
      </c>
      <c r="L2057" s="27" t="n">
        <v>1</v>
      </c>
      <c r="M2057" s="39" t="s">
        <v>413</v>
      </c>
      <c r="N2057" s="18" t="s">
        <v>414</v>
      </c>
      <c r="O2057" s="27" t="n">
        <v>1</v>
      </c>
      <c r="P2057" s="15" t="n">
        <f aca="false">IF(A2057="","",IF(O2057&lt;&gt;"",O2057,IF(L2057&lt;&gt;"",L2057,F2057)))</f>
        <v>1</v>
      </c>
    </row>
    <row r="2058" customFormat="false" ht="15" hidden="false" customHeight="true" outlineLevel="0" collapsed="false">
      <c r="A2058" s="30" t="s">
        <v>247</v>
      </c>
      <c r="B2058" s="30" t="s">
        <v>248</v>
      </c>
      <c r="C2058" s="21" t="n">
        <f aca="false">IF(A2058="","",IFERROR(VLOOKUP(A2058,'Recert Status'!$A$8:$C$400,3,FALSE()),""))</f>
        <v>46752</v>
      </c>
      <c r="D2058" s="31" t="s">
        <v>414</v>
      </c>
      <c r="E2058" s="30" t="s">
        <v>416</v>
      </c>
      <c r="F2058" s="32" t="n">
        <v>2</v>
      </c>
      <c r="G2058" s="33" t="n">
        <v>46219</v>
      </c>
      <c r="H2058" s="33" t="n">
        <v>46219</v>
      </c>
      <c r="I2058" s="31" t="s">
        <v>567</v>
      </c>
      <c r="J2058" s="30" t="s">
        <v>416</v>
      </c>
      <c r="K2058" s="31" t="s">
        <v>418</v>
      </c>
      <c r="L2058" s="32" t="n">
        <v>2</v>
      </c>
      <c r="M2058" s="39" t="s">
        <v>413</v>
      </c>
      <c r="N2058" s="31" t="s">
        <v>414</v>
      </c>
      <c r="O2058" s="32" t="n">
        <v>2</v>
      </c>
      <c r="P2058" s="15" t="n">
        <f aca="false">IF(A2058="","",IF(O2058&lt;&gt;"",O2058,IF(L2058&lt;&gt;"",L2058,F2058)))</f>
        <v>2</v>
      </c>
    </row>
    <row r="2059" customFormat="false" ht="15" hidden="false" customHeight="true" outlineLevel="0" collapsed="false">
      <c r="A2059" s="26" t="s">
        <v>249</v>
      </c>
      <c r="B2059" s="26" t="s">
        <v>250</v>
      </c>
      <c r="C2059" s="14" t="n">
        <f aca="false">IF(A2059="","",IFERROR(VLOOKUP(A2059,'Recert Status'!$A$8:$C$400,3,FALSE()),""))</f>
        <v>46387</v>
      </c>
      <c r="D2059" s="18" t="s">
        <v>880</v>
      </c>
      <c r="E2059" s="26" t="s">
        <v>363</v>
      </c>
      <c r="F2059" s="27" t="n">
        <v>2</v>
      </c>
      <c r="G2059" s="28" t="n">
        <v>46069</v>
      </c>
      <c r="H2059" s="28" t="n">
        <v>46069</v>
      </c>
      <c r="I2059" s="18" t="s">
        <v>1596</v>
      </c>
      <c r="J2059" s="26" t="s">
        <v>363</v>
      </c>
      <c r="K2059" s="18" t="s">
        <v>365</v>
      </c>
      <c r="L2059" s="27" t="n">
        <v>2</v>
      </c>
      <c r="M2059" s="29" t="s">
        <v>366</v>
      </c>
      <c r="N2059" s="18" t="s">
        <v>367</v>
      </c>
      <c r="O2059" s="27" t="n">
        <v>2</v>
      </c>
      <c r="P2059" s="15" t="n">
        <f aca="false">IF(A2059="","",IF(O2059&lt;&gt;"",O2059,IF(L2059&lt;&gt;"",L2059,F2059)))</f>
        <v>2</v>
      </c>
    </row>
    <row r="2060" customFormat="false" ht="15" hidden="false" customHeight="true" outlineLevel="0" collapsed="false">
      <c r="A2060" s="30" t="s">
        <v>249</v>
      </c>
      <c r="B2060" s="30" t="s">
        <v>250</v>
      </c>
      <c r="C2060" s="21" t="n">
        <f aca="false">IF(A2060="","",IFERROR(VLOOKUP(A2060,'Recert Status'!$A$8:$C$400,3,FALSE()),""))</f>
        <v>46387</v>
      </c>
      <c r="D2060" s="31" t="s">
        <v>1143</v>
      </c>
      <c r="E2060" s="30" t="s">
        <v>363</v>
      </c>
      <c r="F2060" s="32" t="n">
        <v>1</v>
      </c>
      <c r="G2060" s="33" t="n">
        <v>46069</v>
      </c>
      <c r="H2060" s="33" t="n">
        <v>46069</v>
      </c>
      <c r="I2060" s="31" t="s">
        <v>1597</v>
      </c>
      <c r="J2060" s="30" t="s">
        <v>363</v>
      </c>
      <c r="K2060" s="31" t="s">
        <v>365</v>
      </c>
      <c r="L2060" s="32" t="n">
        <v>1</v>
      </c>
      <c r="M2060" s="29" t="s">
        <v>366</v>
      </c>
      <c r="N2060" s="31" t="s">
        <v>367</v>
      </c>
      <c r="O2060" s="32" t="n">
        <v>1</v>
      </c>
      <c r="P2060" s="15" t="n">
        <f aca="false">IF(A2060="","",IF(O2060&lt;&gt;"",O2060,IF(L2060&lt;&gt;"",L2060,F2060)))</f>
        <v>1</v>
      </c>
    </row>
    <row r="2061" customFormat="false" ht="15" hidden="false" customHeight="true" outlineLevel="0" collapsed="false">
      <c r="A2061" s="26" t="s">
        <v>249</v>
      </c>
      <c r="B2061" s="26" t="s">
        <v>250</v>
      </c>
      <c r="C2061" s="14" t="n">
        <f aca="false">IF(A2061="","",IFERROR(VLOOKUP(A2061,'Recert Status'!$A$8:$C$400,3,FALSE()),""))</f>
        <v>46387</v>
      </c>
      <c r="D2061" s="18" t="s">
        <v>1598</v>
      </c>
      <c r="E2061" s="26" t="s">
        <v>363</v>
      </c>
      <c r="F2061" s="27" t="n">
        <v>1</v>
      </c>
      <c r="G2061" s="28" t="n">
        <v>46085</v>
      </c>
      <c r="H2061" s="28" t="n">
        <v>46085</v>
      </c>
      <c r="I2061" s="18" t="s">
        <v>1599</v>
      </c>
      <c r="J2061" s="26" t="s">
        <v>363</v>
      </c>
      <c r="K2061" s="18" t="s">
        <v>370</v>
      </c>
      <c r="L2061" s="27" t="n">
        <v>1</v>
      </c>
      <c r="M2061" s="29" t="s">
        <v>366</v>
      </c>
      <c r="N2061" s="18" t="s">
        <v>367</v>
      </c>
      <c r="O2061" s="27" t="n">
        <v>1</v>
      </c>
      <c r="P2061" s="15" t="n">
        <f aca="false">IF(A2061="","",IF(O2061&lt;&gt;"",O2061,IF(L2061&lt;&gt;"",L2061,F2061)))</f>
        <v>1</v>
      </c>
    </row>
    <row r="2062" customFormat="false" ht="15" hidden="false" customHeight="true" outlineLevel="0" collapsed="false">
      <c r="A2062" s="30" t="s">
        <v>249</v>
      </c>
      <c r="B2062" s="30" t="s">
        <v>250</v>
      </c>
      <c r="C2062" s="21" t="n">
        <f aca="false">IF(A2062="","",IFERROR(VLOOKUP(A2062,'Recert Status'!$A$8:$C$400,3,FALSE()),""))</f>
        <v>46387</v>
      </c>
      <c r="D2062" s="31" t="s">
        <v>496</v>
      </c>
      <c r="E2062" s="30" t="s">
        <v>542</v>
      </c>
      <c r="F2062" s="32" t="n">
        <v>4</v>
      </c>
      <c r="G2062" s="33" t="n">
        <v>45961</v>
      </c>
      <c r="H2062" s="33" t="n">
        <v>45961</v>
      </c>
      <c r="I2062" s="31" t="s">
        <v>587</v>
      </c>
      <c r="J2062" s="30" t="s">
        <v>542</v>
      </c>
      <c r="K2062" s="31" t="s">
        <v>422</v>
      </c>
      <c r="L2062" s="32" t="n">
        <v>4</v>
      </c>
      <c r="M2062" s="40" t="s">
        <v>423</v>
      </c>
      <c r="N2062" s="31" t="s">
        <v>424</v>
      </c>
      <c r="O2062" s="32" t="n">
        <v>4</v>
      </c>
      <c r="P2062" s="15" t="n">
        <f aca="false">IF(A2062="","",IF(O2062&lt;&gt;"",O2062,IF(L2062&lt;&gt;"",L2062,F2062)))</f>
        <v>4</v>
      </c>
    </row>
    <row r="2063" customFormat="false" ht="15" hidden="false" customHeight="true" outlineLevel="0" collapsed="false">
      <c r="A2063" s="26" t="s">
        <v>249</v>
      </c>
      <c r="B2063" s="26" t="s">
        <v>250</v>
      </c>
      <c r="C2063" s="14" t="n">
        <f aca="false">IF(A2063="","",IFERROR(VLOOKUP(A2063,'Recert Status'!$A$8:$C$400,3,FALSE()),""))</f>
        <v>46387</v>
      </c>
      <c r="D2063" s="18" t="s">
        <v>1144</v>
      </c>
      <c r="E2063" s="26" t="s">
        <v>426</v>
      </c>
      <c r="F2063" s="27" t="n">
        <v>2</v>
      </c>
      <c r="G2063" s="28" t="n">
        <v>45937</v>
      </c>
      <c r="H2063" s="28" t="n">
        <v>45937</v>
      </c>
      <c r="I2063" s="18" t="s">
        <v>1600</v>
      </c>
      <c r="J2063" s="26" t="s">
        <v>426</v>
      </c>
      <c r="K2063" s="18" t="s">
        <v>428</v>
      </c>
      <c r="L2063" s="27" t="n">
        <v>2</v>
      </c>
      <c r="M2063" s="41" t="s">
        <v>429</v>
      </c>
      <c r="N2063" s="18" t="s">
        <v>430</v>
      </c>
      <c r="O2063" s="27" t="n">
        <v>2</v>
      </c>
      <c r="P2063" s="15" t="n">
        <f aca="false">IF(A2063="","",IF(O2063&lt;&gt;"",O2063,IF(L2063&lt;&gt;"",L2063,F2063)))</f>
        <v>2</v>
      </c>
    </row>
    <row r="2064" customFormat="false" ht="15" hidden="false" customHeight="true" outlineLevel="0" collapsed="false">
      <c r="A2064" s="30" t="s">
        <v>249</v>
      </c>
      <c r="B2064" s="30" t="s">
        <v>250</v>
      </c>
      <c r="C2064" s="21" t="n">
        <f aca="false">IF(A2064="","",IFERROR(VLOOKUP(A2064,'Recert Status'!$A$8:$C$400,3,FALSE()),""))</f>
        <v>46387</v>
      </c>
      <c r="D2064" s="31" t="s">
        <v>787</v>
      </c>
      <c r="E2064" s="30" t="s">
        <v>426</v>
      </c>
      <c r="F2064" s="32" t="n">
        <v>2</v>
      </c>
      <c r="G2064" s="33" t="n">
        <v>46069</v>
      </c>
      <c r="H2064" s="33" t="n">
        <v>46069</v>
      </c>
      <c r="I2064" s="31" t="s">
        <v>1596</v>
      </c>
      <c r="J2064" s="30" t="s">
        <v>426</v>
      </c>
      <c r="K2064" s="31" t="s">
        <v>495</v>
      </c>
      <c r="L2064" s="32" t="n">
        <v>2</v>
      </c>
      <c r="M2064" s="41" t="s">
        <v>429</v>
      </c>
      <c r="N2064" s="31" t="s">
        <v>430</v>
      </c>
      <c r="O2064" s="32" t="n">
        <v>2</v>
      </c>
      <c r="P2064" s="15" t="n">
        <f aca="false">IF(A2064="","",IF(O2064&lt;&gt;"",O2064,IF(L2064&lt;&gt;"",L2064,F2064)))</f>
        <v>2</v>
      </c>
    </row>
    <row r="2065" customFormat="false" ht="15" hidden="false" customHeight="true" outlineLevel="0" collapsed="false">
      <c r="A2065" s="26" t="s">
        <v>249</v>
      </c>
      <c r="B2065" s="26" t="s">
        <v>250</v>
      </c>
      <c r="C2065" s="14" t="n">
        <f aca="false">IF(A2065="","",IFERROR(VLOOKUP(A2065,'Recert Status'!$A$8:$C$400,3,FALSE()),""))</f>
        <v>46387</v>
      </c>
      <c r="D2065" s="18" t="s">
        <v>1601</v>
      </c>
      <c r="E2065" s="26" t="s">
        <v>426</v>
      </c>
      <c r="F2065" s="27" t="n">
        <v>2</v>
      </c>
      <c r="G2065" s="28" t="n">
        <v>46076</v>
      </c>
      <c r="H2065" s="28" t="n">
        <v>46076</v>
      </c>
      <c r="I2065" s="18" t="s">
        <v>1602</v>
      </c>
      <c r="J2065" s="26" t="s">
        <v>426</v>
      </c>
      <c r="K2065" s="18" t="s">
        <v>428</v>
      </c>
      <c r="L2065" s="27" t="n">
        <v>2</v>
      </c>
      <c r="M2065" s="41" t="s">
        <v>429</v>
      </c>
      <c r="N2065" s="18" t="s">
        <v>430</v>
      </c>
      <c r="O2065" s="27" t="n">
        <v>2</v>
      </c>
      <c r="P2065" s="15" t="n">
        <f aca="false">IF(A2065="","",IF(O2065&lt;&gt;"",O2065,IF(L2065&lt;&gt;"",L2065,F2065)))</f>
        <v>2</v>
      </c>
    </row>
    <row r="2066" customFormat="false" ht="15" hidden="false" customHeight="true" outlineLevel="0" collapsed="false">
      <c r="A2066" s="30" t="s">
        <v>249</v>
      </c>
      <c r="B2066" s="30" t="s">
        <v>250</v>
      </c>
      <c r="C2066" s="21" t="n">
        <f aca="false">IF(A2066="","",IFERROR(VLOOKUP(A2066,'Recert Status'!$A$8:$C$400,3,FALSE()),""))</f>
        <v>46387</v>
      </c>
      <c r="D2066" s="31" t="s">
        <v>1603</v>
      </c>
      <c r="E2066" s="30" t="s">
        <v>389</v>
      </c>
      <c r="F2066" s="32" t="n">
        <v>1</v>
      </c>
      <c r="G2066" s="33" t="n">
        <v>45937</v>
      </c>
      <c r="H2066" s="33" t="n">
        <v>45937</v>
      </c>
      <c r="I2066" s="31" t="s">
        <v>1604</v>
      </c>
      <c r="J2066" s="30" t="s">
        <v>389</v>
      </c>
      <c r="K2066" s="31" t="s">
        <v>766</v>
      </c>
      <c r="L2066" s="32" t="n">
        <v>1</v>
      </c>
      <c r="M2066" s="35" t="s">
        <v>386</v>
      </c>
      <c r="N2066" s="31" t="s">
        <v>387</v>
      </c>
      <c r="O2066" s="32" t="n">
        <v>1</v>
      </c>
      <c r="P2066" s="15" t="n">
        <f aca="false">IF(A2066="","",IF(O2066&lt;&gt;"",O2066,IF(L2066&lt;&gt;"",L2066,F2066)))</f>
        <v>1</v>
      </c>
    </row>
    <row r="2067" customFormat="false" ht="15" hidden="false" customHeight="true" outlineLevel="0" collapsed="false">
      <c r="A2067" s="26" t="s">
        <v>249</v>
      </c>
      <c r="B2067" s="26" t="s">
        <v>250</v>
      </c>
      <c r="C2067" s="14" t="n">
        <f aca="false">IF(A2067="","",IFERROR(VLOOKUP(A2067,'Recert Status'!$A$8:$C$400,3,FALSE()),""))</f>
        <v>46387</v>
      </c>
      <c r="D2067" s="18" t="s">
        <v>1605</v>
      </c>
      <c r="E2067" s="26" t="s">
        <v>389</v>
      </c>
      <c r="F2067" s="27" t="n">
        <v>1</v>
      </c>
      <c r="G2067" s="28" t="n">
        <v>45938</v>
      </c>
      <c r="H2067" s="28" t="n">
        <v>45938</v>
      </c>
      <c r="I2067" s="18" t="s">
        <v>1606</v>
      </c>
      <c r="J2067" s="26" t="s">
        <v>389</v>
      </c>
      <c r="K2067" s="18" t="s">
        <v>495</v>
      </c>
      <c r="L2067" s="27" t="n">
        <v>1</v>
      </c>
      <c r="M2067" s="35" t="s">
        <v>386</v>
      </c>
      <c r="N2067" s="18" t="s">
        <v>387</v>
      </c>
      <c r="O2067" s="27" t="n">
        <v>1</v>
      </c>
      <c r="P2067" s="15" t="n">
        <f aca="false">IF(A2067="","",IF(O2067&lt;&gt;"",O2067,IF(L2067&lt;&gt;"",L2067,F2067)))</f>
        <v>1</v>
      </c>
    </row>
    <row r="2068" customFormat="false" ht="15" hidden="false" customHeight="true" outlineLevel="0" collapsed="false">
      <c r="A2068" s="30" t="s">
        <v>249</v>
      </c>
      <c r="B2068" s="30" t="s">
        <v>250</v>
      </c>
      <c r="C2068" s="21" t="n">
        <f aca="false">IF(A2068="","",IFERROR(VLOOKUP(A2068,'Recert Status'!$A$8:$C$400,3,FALSE()),""))</f>
        <v>46387</v>
      </c>
      <c r="D2068" s="31" t="s">
        <v>1607</v>
      </c>
      <c r="E2068" s="30" t="s">
        <v>389</v>
      </c>
      <c r="F2068" s="32" t="n">
        <v>1</v>
      </c>
      <c r="G2068" s="33" t="n">
        <v>46071</v>
      </c>
      <c r="H2068" s="33" t="n">
        <v>46071</v>
      </c>
      <c r="I2068" s="31" t="s">
        <v>1608</v>
      </c>
      <c r="J2068" s="30" t="s">
        <v>389</v>
      </c>
      <c r="K2068" s="31" t="s">
        <v>395</v>
      </c>
      <c r="L2068" s="32" t="n">
        <v>1</v>
      </c>
      <c r="M2068" s="35" t="s">
        <v>386</v>
      </c>
      <c r="N2068" s="31" t="s">
        <v>387</v>
      </c>
      <c r="O2068" s="32" t="n">
        <v>1</v>
      </c>
      <c r="P2068" s="15" t="n">
        <f aca="false">IF(A2068="","",IF(O2068&lt;&gt;"",O2068,IF(L2068&lt;&gt;"",L2068,F2068)))</f>
        <v>1</v>
      </c>
    </row>
    <row r="2069" customFormat="false" ht="15" hidden="false" customHeight="true" outlineLevel="0" collapsed="false">
      <c r="A2069" s="26" t="s">
        <v>249</v>
      </c>
      <c r="B2069" s="26" t="s">
        <v>250</v>
      </c>
      <c r="C2069" s="14" t="n">
        <f aca="false">IF(A2069="","",IFERROR(VLOOKUP(A2069,'Recert Status'!$A$8:$C$400,3,FALSE()),""))</f>
        <v>46387</v>
      </c>
      <c r="D2069" s="18" t="s">
        <v>662</v>
      </c>
      <c r="E2069" s="26" t="s">
        <v>452</v>
      </c>
      <c r="F2069" s="27" t="n">
        <v>1</v>
      </c>
      <c r="G2069" s="28" t="n">
        <v>45896</v>
      </c>
      <c r="H2069" s="28" t="n">
        <v>45896</v>
      </c>
      <c r="I2069" s="18" t="s">
        <v>1609</v>
      </c>
      <c r="J2069" s="26" t="s">
        <v>452</v>
      </c>
      <c r="K2069" s="18" t="s">
        <v>1320</v>
      </c>
      <c r="L2069" s="27" t="n">
        <v>1</v>
      </c>
      <c r="M2069" s="36" t="s">
        <v>396</v>
      </c>
      <c r="N2069" s="18" t="s">
        <v>397</v>
      </c>
      <c r="O2069" s="27" t="n">
        <v>1</v>
      </c>
      <c r="P2069" s="15" t="n">
        <f aca="false">IF(A2069="","",IF(O2069&lt;&gt;"",O2069,IF(L2069&lt;&gt;"",L2069,F2069)))</f>
        <v>1</v>
      </c>
    </row>
    <row r="2070" customFormat="false" ht="15" hidden="false" customHeight="true" outlineLevel="0" collapsed="false">
      <c r="A2070" s="30" t="s">
        <v>249</v>
      </c>
      <c r="B2070" s="30" t="s">
        <v>250</v>
      </c>
      <c r="C2070" s="21" t="n">
        <f aca="false">IF(A2070="","",IFERROR(VLOOKUP(A2070,'Recert Status'!$A$8:$C$400,3,FALSE()),""))</f>
        <v>46387</v>
      </c>
      <c r="D2070" s="31" t="s">
        <v>714</v>
      </c>
      <c r="E2070" s="30" t="s">
        <v>452</v>
      </c>
      <c r="F2070" s="32" t="n">
        <v>1</v>
      </c>
      <c r="G2070" s="33" t="n">
        <v>45936</v>
      </c>
      <c r="H2070" s="33" t="n">
        <v>45936</v>
      </c>
      <c r="I2070" s="31" t="s">
        <v>1610</v>
      </c>
      <c r="J2070" s="30" t="s">
        <v>452</v>
      </c>
      <c r="K2070" s="31" t="s">
        <v>385</v>
      </c>
      <c r="L2070" s="32" t="n">
        <v>1</v>
      </c>
      <c r="M2070" s="36" t="s">
        <v>396</v>
      </c>
      <c r="N2070" s="31" t="s">
        <v>397</v>
      </c>
      <c r="O2070" s="32" t="n">
        <v>1</v>
      </c>
      <c r="P2070" s="15" t="n">
        <f aca="false">IF(A2070="","",IF(O2070&lt;&gt;"",O2070,IF(L2070&lt;&gt;"",L2070,F2070)))</f>
        <v>1</v>
      </c>
    </row>
    <row r="2071" customFormat="false" ht="15" hidden="false" customHeight="true" outlineLevel="0" collapsed="false">
      <c r="A2071" s="26" t="s">
        <v>249</v>
      </c>
      <c r="B2071" s="26" t="s">
        <v>250</v>
      </c>
      <c r="C2071" s="14" t="n">
        <f aca="false">IF(A2071="","",IFERROR(VLOOKUP(A2071,'Recert Status'!$A$8:$C$400,3,FALSE()),""))</f>
        <v>46387</v>
      </c>
      <c r="D2071" s="18" t="s">
        <v>597</v>
      </c>
      <c r="E2071" s="26" t="n">
        <v>29735</v>
      </c>
      <c r="F2071" s="27" t="n">
        <v>4</v>
      </c>
      <c r="G2071" s="28" t="n">
        <v>45961</v>
      </c>
      <c r="H2071" s="28" t="n">
        <v>45961</v>
      </c>
      <c r="I2071" s="18" t="s">
        <v>598</v>
      </c>
      <c r="J2071" s="26" t="s">
        <v>599</v>
      </c>
      <c r="K2071" s="18" t="s">
        <v>600</v>
      </c>
      <c r="L2071" s="27" t="n">
        <v>4</v>
      </c>
      <c r="M2071" s="36" t="s">
        <v>396</v>
      </c>
      <c r="N2071" s="18" t="s">
        <v>397</v>
      </c>
      <c r="O2071" s="27" t="n">
        <v>4</v>
      </c>
      <c r="P2071" s="15" t="n">
        <f aca="false">IF(A2071="","",IF(O2071&lt;&gt;"",O2071,IF(L2071&lt;&gt;"",L2071,F2071)))</f>
        <v>4</v>
      </c>
    </row>
    <row r="2072" customFormat="false" ht="15" hidden="false" customHeight="true" outlineLevel="0" collapsed="false">
      <c r="A2072" s="30" t="s">
        <v>249</v>
      </c>
      <c r="B2072" s="30" t="s">
        <v>250</v>
      </c>
      <c r="C2072" s="21" t="n">
        <f aca="false">IF(A2072="","",IFERROR(VLOOKUP(A2072,'Recert Status'!$A$8:$C$400,3,FALSE()),""))</f>
        <v>46387</v>
      </c>
      <c r="D2072" s="31" t="s">
        <v>822</v>
      </c>
      <c r="E2072" s="30" t="s">
        <v>416</v>
      </c>
      <c r="F2072" s="32" t="n">
        <v>2</v>
      </c>
      <c r="G2072" s="33" t="n">
        <v>45861</v>
      </c>
      <c r="H2072" s="33" t="n">
        <v>45861</v>
      </c>
      <c r="I2072" s="31" t="s">
        <v>823</v>
      </c>
      <c r="J2072" s="30" t="s">
        <v>416</v>
      </c>
      <c r="K2072" s="31" t="s">
        <v>523</v>
      </c>
      <c r="L2072" s="32" t="n">
        <v>2</v>
      </c>
      <c r="M2072" s="39" t="s">
        <v>413</v>
      </c>
      <c r="N2072" s="31" t="s">
        <v>414</v>
      </c>
      <c r="O2072" s="32" t="n">
        <v>2</v>
      </c>
      <c r="P2072" s="15" t="n">
        <f aca="false">IF(A2072="","",IF(O2072&lt;&gt;"",O2072,IF(L2072&lt;&gt;"",L2072,F2072)))</f>
        <v>2</v>
      </c>
    </row>
    <row r="2073" customFormat="false" ht="15" hidden="false" customHeight="true" outlineLevel="0" collapsed="false">
      <c r="A2073" s="26" t="s">
        <v>249</v>
      </c>
      <c r="B2073" s="26" t="s">
        <v>250</v>
      </c>
      <c r="C2073" s="14" t="n">
        <f aca="false">IF(A2073="","",IFERROR(VLOOKUP(A2073,'Recert Status'!$A$8:$C$400,3,FALSE()),""))</f>
        <v>46387</v>
      </c>
      <c r="D2073" s="18" t="s">
        <v>415</v>
      </c>
      <c r="E2073" s="26" t="s">
        <v>416</v>
      </c>
      <c r="F2073" s="27" t="n">
        <v>2</v>
      </c>
      <c r="G2073" s="28" t="n">
        <v>46071</v>
      </c>
      <c r="H2073" s="28" t="n">
        <v>46071</v>
      </c>
      <c r="I2073" s="18" t="s">
        <v>1611</v>
      </c>
      <c r="J2073" s="26" t="s">
        <v>416</v>
      </c>
      <c r="K2073" s="18" t="s">
        <v>674</v>
      </c>
      <c r="L2073" s="27" t="n">
        <v>2</v>
      </c>
      <c r="M2073" s="39" t="s">
        <v>413</v>
      </c>
      <c r="N2073" s="18" t="s">
        <v>414</v>
      </c>
      <c r="O2073" s="27" t="n">
        <v>2</v>
      </c>
      <c r="P2073" s="15" t="n">
        <f aca="false">IF(A2073="","",IF(O2073&lt;&gt;"",O2073,IF(L2073&lt;&gt;"",L2073,F2073)))</f>
        <v>2</v>
      </c>
    </row>
    <row r="2074" customFormat="false" ht="15" hidden="false" customHeight="true" outlineLevel="0" collapsed="false">
      <c r="A2074" s="30" t="s">
        <v>249</v>
      </c>
      <c r="B2074" s="30" t="s">
        <v>250</v>
      </c>
      <c r="C2074" s="21" t="n">
        <f aca="false">IF(A2074="","",IFERROR(VLOOKUP(A2074,'Recert Status'!$A$8:$C$400,3,FALSE()),""))</f>
        <v>46387</v>
      </c>
      <c r="D2074" s="31" t="s">
        <v>488</v>
      </c>
      <c r="E2074" s="30" t="s">
        <v>416</v>
      </c>
      <c r="F2074" s="32" t="n">
        <v>1</v>
      </c>
      <c r="G2074" s="33" t="n">
        <v>46139</v>
      </c>
      <c r="H2074" s="33" t="n">
        <v>46139</v>
      </c>
      <c r="I2074" s="31" t="s">
        <v>610</v>
      </c>
      <c r="J2074" s="30" t="s">
        <v>416</v>
      </c>
      <c r="K2074" s="31" t="s">
        <v>490</v>
      </c>
      <c r="L2074" s="32" t="n">
        <v>1</v>
      </c>
      <c r="M2074" s="39" t="s">
        <v>413</v>
      </c>
      <c r="N2074" s="31" t="s">
        <v>414</v>
      </c>
      <c r="O2074" s="32" t="n">
        <v>1</v>
      </c>
      <c r="P2074" s="15" t="n">
        <f aca="false">IF(A2074="","",IF(O2074&lt;&gt;"",O2074,IF(L2074&lt;&gt;"",L2074,F2074)))</f>
        <v>1</v>
      </c>
    </row>
    <row r="2075" customFormat="false" ht="15" hidden="false" customHeight="true" outlineLevel="0" collapsed="false">
      <c r="A2075" s="26" t="s">
        <v>249</v>
      </c>
      <c r="B2075" s="26" t="s">
        <v>250</v>
      </c>
      <c r="C2075" s="14" t="n">
        <f aca="false">IF(A2075="","",IFERROR(VLOOKUP(A2075,'Recert Status'!$A$8:$C$400,3,FALSE()),""))</f>
        <v>46387</v>
      </c>
      <c r="D2075" s="18" t="s">
        <v>414</v>
      </c>
      <c r="E2075" s="26" t="s">
        <v>416</v>
      </c>
      <c r="F2075" s="27" t="n">
        <v>4</v>
      </c>
      <c r="G2075" s="28" t="n">
        <v>46217</v>
      </c>
      <c r="H2075" s="28" t="n">
        <v>46217</v>
      </c>
      <c r="I2075" s="18" t="s">
        <v>611</v>
      </c>
      <c r="J2075" s="26" t="s">
        <v>416</v>
      </c>
      <c r="K2075" s="18" t="s">
        <v>418</v>
      </c>
      <c r="L2075" s="27" t="n">
        <v>4</v>
      </c>
      <c r="M2075" s="39" t="s">
        <v>413</v>
      </c>
      <c r="N2075" s="18" t="s">
        <v>414</v>
      </c>
      <c r="O2075" s="27" t="n">
        <v>4</v>
      </c>
      <c r="P2075" s="15" t="n">
        <f aca="false">IF(A2075="","",IF(O2075&lt;&gt;"",O2075,IF(L2075&lt;&gt;"",L2075,F2075)))</f>
        <v>4</v>
      </c>
    </row>
    <row r="2076" customFormat="false" ht="15" hidden="false" customHeight="true" outlineLevel="0" collapsed="false">
      <c r="A2076" s="30" t="s">
        <v>249</v>
      </c>
      <c r="B2076" s="30" t="s">
        <v>250</v>
      </c>
      <c r="C2076" s="21" t="n">
        <f aca="false">IF(A2076="","",IFERROR(VLOOKUP(A2076,'Recert Status'!$A$8:$C$400,3,FALSE()),""))</f>
        <v>46387</v>
      </c>
      <c r="D2076" s="31" t="s">
        <v>414</v>
      </c>
      <c r="E2076" s="30" t="s">
        <v>416</v>
      </c>
      <c r="F2076" s="32" t="n">
        <v>4</v>
      </c>
      <c r="G2076" s="33" t="n">
        <v>46218</v>
      </c>
      <c r="H2076" s="33" t="n">
        <v>46218</v>
      </c>
      <c r="I2076" s="31" t="s">
        <v>752</v>
      </c>
      <c r="J2076" s="30" t="s">
        <v>416</v>
      </c>
      <c r="K2076" s="31" t="s">
        <v>418</v>
      </c>
      <c r="L2076" s="32" t="n">
        <v>4</v>
      </c>
      <c r="M2076" s="39" t="s">
        <v>413</v>
      </c>
      <c r="N2076" s="31" t="s">
        <v>414</v>
      </c>
      <c r="O2076" s="32" t="n">
        <v>4</v>
      </c>
      <c r="P2076" s="15" t="n">
        <f aca="false">IF(A2076="","",IF(O2076&lt;&gt;"",O2076,IF(L2076&lt;&gt;"",L2076,F2076)))</f>
        <v>4</v>
      </c>
    </row>
    <row r="2077" customFormat="false" ht="15" hidden="false" customHeight="true" outlineLevel="0" collapsed="false">
      <c r="A2077" s="26" t="s">
        <v>251</v>
      </c>
      <c r="B2077" s="26" t="s">
        <v>252</v>
      </c>
      <c r="C2077" s="14" t="n">
        <f aca="false">IF(A2077="","",IFERROR(VLOOKUP(A2077,'Recert Status'!$A$8:$C$400,3,FALSE()),""))</f>
        <v>46752</v>
      </c>
      <c r="D2077" s="18" t="s">
        <v>1092</v>
      </c>
      <c r="E2077" s="26" t="s">
        <v>363</v>
      </c>
      <c r="F2077" s="27" t="n">
        <v>3</v>
      </c>
      <c r="G2077" s="28" t="n">
        <v>46213</v>
      </c>
      <c r="H2077" s="28" t="n">
        <v>46213</v>
      </c>
      <c r="I2077" s="18" t="s">
        <v>1093</v>
      </c>
      <c r="J2077" s="26" t="s">
        <v>363</v>
      </c>
      <c r="K2077" s="18" t="s">
        <v>1036</v>
      </c>
      <c r="L2077" s="27" t="n">
        <v>3</v>
      </c>
      <c r="M2077" s="29" t="s">
        <v>366</v>
      </c>
      <c r="N2077" s="18" t="s">
        <v>367</v>
      </c>
      <c r="O2077" s="27" t="n">
        <v>3</v>
      </c>
      <c r="P2077" s="15" t="n">
        <f aca="false">IF(A2077="","",IF(O2077&lt;&gt;"",O2077,IF(L2077&lt;&gt;"",L2077,F2077)))</f>
        <v>3</v>
      </c>
    </row>
    <row r="2078" customFormat="false" ht="15" hidden="false" customHeight="true" outlineLevel="0" collapsed="false">
      <c r="A2078" s="30" t="s">
        <v>251</v>
      </c>
      <c r="B2078" s="30" t="s">
        <v>252</v>
      </c>
      <c r="C2078" s="21" t="n">
        <f aca="false">IF(A2078="","",IFERROR(VLOOKUP(A2078,'Recert Status'!$A$8:$C$400,3,FALSE()),""))</f>
        <v>46752</v>
      </c>
      <c r="D2078" s="31" t="s">
        <v>1125</v>
      </c>
      <c r="E2078" s="30" t="s">
        <v>542</v>
      </c>
      <c r="F2078" s="32" t="n">
        <v>0.5</v>
      </c>
      <c r="G2078" s="33" t="n">
        <v>45745</v>
      </c>
      <c r="H2078" s="33" t="n">
        <v>45745</v>
      </c>
      <c r="I2078" s="31" t="s">
        <v>1126</v>
      </c>
      <c r="J2078" s="30" t="s">
        <v>542</v>
      </c>
      <c r="K2078" s="31" t="s">
        <v>422</v>
      </c>
      <c r="L2078" s="32" t="n">
        <v>0.5</v>
      </c>
      <c r="M2078" s="40" t="s">
        <v>423</v>
      </c>
      <c r="N2078" s="31" t="s">
        <v>424</v>
      </c>
      <c r="O2078" s="32" t="n">
        <v>0.5</v>
      </c>
      <c r="P2078" s="15" t="n">
        <f aca="false">IF(A2078="","",IF(O2078&lt;&gt;"",O2078,IF(L2078&lt;&gt;"",L2078,F2078)))</f>
        <v>0.5</v>
      </c>
    </row>
    <row r="2079" customFormat="false" ht="15" hidden="false" customHeight="true" outlineLevel="0" collapsed="false">
      <c r="A2079" s="26" t="s">
        <v>251</v>
      </c>
      <c r="B2079" s="26" t="s">
        <v>252</v>
      </c>
      <c r="C2079" s="14" t="n">
        <f aca="false">IF(A2079="","",IFERROR(VLOOKUP(A2079,'Recert Status'!$A$8:$C$400,3,FALSE()),""))</f>
        <v>46752</v>
      </c>
      <c r="D2079" s="18" t="s">
        <v>732</v>
      </c>
      <c r="E2079" s="26" t="n">
        <v>29740</v>
      </c>
      <c r="F2079" s="27" t="n">
        <v>1</v>
      </c>
      <c r="G2079" s="28" t="n">
        <v>46174</v>
      </c>
      <c r="H2079" s="28" t="n">
        <v>46174</v>
      </c>
      <c r="I2079" s="18" t="s">
        <v>1129</v>
      </c>
      <c r="J2079" s="26" t="s">
        <v>394</v>
      </c>
      <c r="K2079" s="18" t="s">
        <v>1130</v>
      </c>
      <c r="L2079" s="27" t="n">
        <v>1</v>
      </c>
      <c r="M2079" s="34" t="s">
        <v>375</v>
      </c>
      <c r="N2079" s="18" t="s">
        <v>514</v>
      </c>
      <c r="O2079" s="27" t="n">
        <v>1</v>
      </c>
      <c r="P2079" s="15" t="n">
        <f aca="false">IF(A2079="","",IF(O2079&lt;&gt;"",O2079,IF(L2079&lt;&gt;"",L2079,F2079)))</f>
        <v>1</v>
      </c>
    </row>
    <row r="2080" customFormat="false" ht="15" hidden="false" customHeight="true" outlineLevel="0" collapsed="false">
      <c r="A2080" s="30" t="s">
        <v>251</v>
      </c>
      <c r="B2080" s="30" t="s">
        <v>252</v>
      </c>
      <c r="C2080" s="21" t="n">
        <f aca="false">IF(A2080="","",IFERROR(VLOOKUP(A2080,'Recert Status'!$A$8:$C$400,3,FALSE()),""))</f>
        <v>46752</v>
      </c>
      <c r="D2080" s="31" t="s">
        <v>449</v>
      </c>
      <c r="E2080" s="30" t="s">
        <v>389</v>
      </c>
      <c r="F2080" s="32" t="n">
        <v>0.5</v>
      </c>
      <c r="G2080" s="33" t="n">
        <v>45698</v>
      </c>
      <c r="H2080" s="33" t="n">
        <v>45698</v>
      </c>
      <c r="I2080" s="31" t="s">
        <v>1216</v>
      </c>
      <c r="J2080" s="30" t="s">
        <v>389</v>
      </c>
      <c r="K2080" s="31" t="s">
        <v>395</v>
      </c>
      <c r="L2080" s="32" t="n">
        <v>0.5</v>
      </c>
      <c r="M2080" s="35" t="s">
        <v>386</v>
      </c>
      <c r="N2080" s="31" t="s">
        <v>387</v>
      </c>
      <c r="O2080" s="32" t="n">
        <v>0.5</v>
      </c>
      <c r="P2080" s="15" t="n">
        <f aca="false">IF(A2080="","",IF(O2080&lt;&gt;"",O2080,IF(L2080&lt;&gt;"",L2080,F2080)))</f>
        <v>0.5</v>
      </c>
    </row>
    <row r="2081" customFormat="false" ht="15" hidden="false" customHeight="true" outlineLevel="0" collapsed="false">
      <c r="A2081" s="26" t="s">
        <v>251</v>
      </c>
      <c r="B2081" s="26" t="s">
        <v>252</v>
      </c>
      <c r="C2081" s="14" t="n">
        <f aca="false">IF(A2081="","",IFERROR(VLOOKUP(A2081,'Recert Status'!$A$8:$C$400,3,FALSE()),""))</f>
        <v>46752</v>
      </c>
      <c r="D2081" s="18" t="s">
        <v>387</v>
      </c>
      <c r="E2081" s="26" t="s">
        <v>389</v>
      </c>
      <c r="F2081" s="27" t="n">
        <v>1</v>
      </c>
      <c r="G2081" s="28" t="n">
        <v>46240</v>
      </c>
      <c r="H2081" s="28" t="n">
        <v>46240</v>
      </c>
      <c r="I2081" s="18" t="s">
        <v>1137</v>
      </c>
      <c r="J2081" s="26" t="s">
        <v>389</v>
      </c>
      <c r="K2081" s="18" t="s">
        <v>451</v>
      </c>
      <c r="L2081" s="27" t="n">
        <v>1</v>
      </c>
      <c r="M2081" s="35" t="s">
        <v>386</v>
      </c>
      <c r="N2081" s="18" t="s">
        <v>387</v>
      </c>
      <c r="O2081" s="27" t="n">
        <v>1</v>
      </c>
      <c r="P2081" s="15" t="n">
        <f aca="false">IF(A2081="","",IF(O2081&lt;&gt;"",O2081,IF(L2081&lt;&gt;"",L2081,F2081)))</f>
        <v>1</v>
      </c>
    </row>
    <row r="2082" customFormat="false" ht="15" hidden="false" customHeight="true" outlineLevel="0" collapsed="false">
      <c r="A2082" s="30" t="s">
        <v>251</v>
      </c>
      <c r="B2082" s="30" t="s">
        <v>252</v>
      </c>
      <c r="C2082" s="21" t="n">
        <f aca="false">IF(A2082="","",IFERROR(VLOOKUP(A2082,'Recert Status'!$A$8:$C$400,3,FALSE()),""))</f>
        <v>46752</v>
      </c>
      <c r="D2082" s="31" t="s">
        <v>595</v>
      </c>
      <c r="E2082" s="30" t="n">
        <v>57394</v>
      </c>
      <c r="F2082" s="32" t="n">
        <v>1</v>
      </c>
      <c r="G2082" s="33" t="n">
        <v>45946</v>
      </c>
      <c r="H2082" s="33" t="n">
        <v>45946</v>
      </c>
      <c r="I2082" s="31" t="s">
        <v>596</v>
      </c>
      <c r="J2082" s="30" t="s">
        <v>503</v>
      </c>
      <c r="K2082" s="31" t="s">
        <v>385</v>
      </c>
      <c r="L2082" s="32" t="n">
        <v>1</v>
      </c>
      <c r="M2082" s="36" t="s">
        <v>396</v>
      </c>
      <c r="N2082" s="31" t="s">
        <v>397</v>
      </c>
      <c r="O2082" s="32" t="n">
        <v>1</v>
      </c>
      <c r="P2082" s="15" t="n">
        <f aca="false">IF(A2082="","",IF(O2082&lt;&gt;"",O2082,IF(L2082&lt;&gt;"",L2082,F2082)))</f>
        <v>1</v>
      </c>
    </row>
    <row r="2083" customFormat="false" ht="15" hidden="false" customHeight="true" outlineLevel="0" collapsed="false">
      <c r="A2083" s="26" t="s">
        <v>251</v>
      </c>
      <c r="B2083" s="26" t="s">
        <v>252</v>
      </c>
      <c r="C2083" s="14" t="n">
        <f aca="false">IF(A2083="","",IFERROR(VLOOKUP(A2083,'Recert Status'!$A$8:$C$400,3,FALSE()),""))</f>
        <v>46752</v>
      </c>
      <c r="D2083" s="18" t="s">
        <v>397</v>
      </c>
      <c r="E2083" s="26" t="s">
        <v>452</v>
      </c>
      <c r="F2083" s="27" t="n">
        <v>1</v>
      </c>
      <c r="G2083" s="28" t="n">
        <v>46246</v>
      </c>
      <c r="H2083" s="28" t="n">
        <v>46246</v>
      </c>
      <c r="I2083" s="18" t="s">
        <v>478</v>
      </c>
      <c r="J2083" s="26" t="s">
        <v>452</v>
      </c>
      <c r="K2083" s="18" t="s">
        <v>385</v>
      </c>
      <c r="L2083" s="27" t="n">
        <v>1</v>
      </c>
      <c r="M2083" s="36" t="s">
        <v>396</v>
      </c>
      <c r="N2083" s="18" t="s">
        <v>397</v>
      </c>
      <c r="O2083" s="27" t="n">
        <v>1</v>
      </c>
      <c r="P2083" s="15" t="n">
        <f aca="false">IF(A2083="","",IF(O2083&lt;&gt;"",O2083,IF(L2083&lt;&gt;"",L2083,F2083)))</f>
        <v>1</v>
      </c>
    </row>
    <row r="2084" customFormat="false" ht="15" hidden="false" customHeight="true" outlineLevel="0" collapsed="false">
      <c r="A2084" s="30" t="s">
        <v>251</v>
      </c>
      <c r="B2084" s="30" t="s">
        <v>252</v>
      </c>
      <c r="C2084" s="21" t="n">
        <f aca="false">IF(A2084="","",IFERROR(VLOOKUP(A2084,'Recert Status'!$A$8:$C$400,3,FALSE()),""))</f>
        <v>46752</v>
      </c>
      <c r="D2084" s="31" t="s">
        <v>397</v>
      </c>
      <c r="E2084" s="30" t="s">
        <v>452</v>
      </c>
      <c r="F2084" s="32" t="n">
        <v>1</v>
      </c>
      <c r="G2084" s="33" t="n">
        <v>46246</v>
      </c>
      <c r="H2084" s="33" t="n">
        <v>46246</v>
      </c>
      <c r="I2084" s="31" t="s">
        <v>478</v>
      </c>
      <c r="J2084" s="30" t="s">
        <v>452</v>
      </c>
      <c r="K2084" s="31" t="s">
        <v>385</v>
      </c>
      <c r="L2084" s="32" t="n">
        <v>1</v>
      </c>
      <c r="M2084" s="36" t="s">
        <v>396</v>
      </c>
      <c r="N2084" s="31" t="s">
        <v>397</v>
      </c>
      <c r="O2084" s="32" t="n">
        <v>1</v>
      </c>
      <c r="P2084" s="15" t="n">
        <f aca="false">IF(A2084="","",IF(O2084&lt;&gt;"",O2084,IF(L2084&lt;&gt;"",L2084,F2084)))</f>
        <v>1</v>
      </c>
    </row>
    <row r="2085" customFormat="false" ht="15" hidden="false" customHeight="true" outlineLevel="0" collapsed="false">
      <c r="A2085" s="26" t="s">
        <v>251</v>
      </c>
      <c r="B2085" s="26" t="s">
        <v>252</v>
      </c>
      <c r="C2085" s="14" t="n">
        <f aca="false">IF(A2085="","",IFERROR(VLOOKUP(A2085,'Recert Status'!$A$8:$C$400,3,FALSE()),""))</f>
        <v>46752</v>
      </c>
      <c r="D2085" s="18" t="s">
        <v>717</v>
      </c>
      <c r="E2085" s="26" t="s">
        <v>416</v>
      </c>
      <c r="F2085" s="27" t="n">
        <v>1</v>
      </c>
      <c r="G2085" s="28" t="n">
        <v>45826</v>
      </c>
      <c r="H2085" s="28" t="n">
        <v>45826</v>
      </c>
      <c r="I2085" s="18" t="s">
        <v>1227</v>
      </c>
      <c r="J2085" s="26" t="s">
        <v>416</v>
      </c>
      <c r="K2085" s="18" t="s">
        <v>418</v>
      </c>
      <c r="L2085" s="27" t="n">
        <v>1</v>
      </c>
      <c r="M2085" s="39" t="s">
        <v>413</v>
      </c>
      <c r="N2085" s="18" t="s">
        <v>414</v>
      </c>
      <c r="O2085" s="27" t="n">
        <v>1</v>
      </c>
      <c r="P2085" s="15" t="n">
        <f aca="false">IF(A2085="","",IF(O2085&lt;&gt;"",O2085,IF(L2085&lt;&gt;"",L2085,F2085)))</f>
        <v>1</v>
      </c>
    </row>
    <row r="2086" customFormat="false" ht="15" hidden="false" customHeight="true" outlineLevel="0" collapsed="false">
      <c r="A2086" s="30" t="s">
        <v>251</v>
      </c>
      <c r="B2086" s="30" t="s">
        <v>252</v>
      </c>
      <c r="C2086" s="21" t="n">
        <f aca="false">IF(A2086="","",IFERROR(VLOOKUP(A2086,'Recert Status'!$A$8:$C$400,3,FALSE()),""))</f>
        <v>46752</v>
      </c>
      <c r="D2086" s="31" t="s">
        <v>717</v>
      </c>
      <c r="E2086" s="30" t="s">
        <v>416</v>
      </c>
      <c r="F2086" s="32" t="n">
        <v>2</v>
      </c>
      <c r="G2086" s="33" t="n">
        <v>45859</v>
      </c>
      <c r="H2086" s="33" t="n">
        <v>45859</v>
      </c>
      <c r="I2086" s="31" t="s">
        <v>718</v>
      </c>
      <c r="J2086" s="30" t="s">
        <v>416</v>
      </c>
      <c r="K2086" s="31" t="s">
        <v>418</v>
      </c>
      <c r="L2086" s="32" t="n">
        <v>2</v>
      </c>
      <c r="M2086" s="39" t="s">
        <v>413</v>
      </c>
      <c r="N2086" s="31" t="s">
        <v>414</v>
      </c>
      <c r="O2086" s="32" t="n">
        <v>2</v>
      </c>
      <c r="P2086" s="15" t="n">
        <f aca="false">IF(A2086="","",IF(O2086&lt;&gt;"",O2086,IF(L2086&lt;&gt;"",L2086,F2086)))</f>
        <v>2</v>
      </c>
    </row>
    <row r="2087" customFormat="false" ht="15" hidden="false" customHeight="true" outlineLevel="0" collapsed="false">
      <c r="A2087" s="26" t="s">
        <v>251</v>
      </c>
      <c r="B2087" s="26" t="s">
        <v>252</v>
      </c>
      <c r="C2087" s="14" t="n">
        <f aca="false">IF(A2087="","",IFERROR(VLOOKUP(A2087,'Recert Status'!$A$8:$C$400,3,FALSE()),""))</f>
        <v>46752</v>
      </c>
      <c r="D2087" s="18" t="s">
        <v>488</v>
      </c>
      <c r="E2087" s="26" t="s">
        <v>416</v>
      </c>
      <c r="F2087" s="27" t="n">
        <v>1</v>
      </c>
      <c r="G2087" s="28" t="n">
        <v>46126</v>
      </c>
      <c r="H2087" s="28" t="n">
        <v>46126</v>
      </c>
      <c r="I2087" s="18" t="s">
        <v>489</v>
      </c>
      <c r="J2087" s="26" t="s">
        <v>416</v>
      </c>
      <c r="K2087" s="18" t="s">
        <v>490</v>
      </c>
      <c r="L2087" s="27" t="n">
        <v>1</v>
      </c>
      <c r="M2087" s="39" t="s">
        <v>413</v>
      </c>
      <c r="N2087" s="18" t="s">
        <v>414</v>
      </c>
      <c r="O2087" s="27" t="n">
        <v>1</v>
      </c>
      <c r="P2087" s="15" t="n">
        <f aca="false">IF(A2087="","",IF(O2087&lt;&gt;"",O2087,IF(L2087&lt;&gt;"",L2087,F2087)))</f>
        <v>1</v>
      </c>
    </row>
    <row r="2088" customFormat="false" ht="15" hidden="false" customHeight="true" outlineLevel="0" collapsed="false">
      <c r="A2088" s="30" t="s">
        <v>251</v>
      </c>
      <c r="B2088" s="30" t="s">
        <v>252</v>
      </c>
      <c r="C2088" s="21" t="n">
        <f aca="false">IF(A2088="","",IFERROR(VLOOKUP(A2088,'Recert Status'!$A$8:$C$400,3,FALSE()),""))</f>
        <v>46752</v>
      </c>
      <c r="D2088" s="31" t="s">
        <v>414</v>
      </c>
      <c r="E2088" s="30" t="s">
        <v>416</v>
      </c>
      <c r="F2088" s="32" t="n">
        <v>2</v>
      </c>
      <c r="G2088" s="33" t="n">
        <v>46219</v>
      </c>
      <c r="H2088" s="33" t="n">
        <v>46219</v>
      </c>
      <c r="I2088" s="31" t="s">
        <v>567</v>
      </c>
      <c r="J2088" s="30" t="s">
        <v>416</v>
      </c>
      <c r="K2088" s="31" t="s">
        <v>418</v>
      </c>
      <c r="L2088" s="32" t="n">
        <v>2</v>
      </c>
      <c r="M2088" s="39" t="s">
        <v>413</v>
      </c>
      <c r="N2088" s="31" t="s">
        <v>414</v>
      </c>
      <c r="O2088" s="32" t="n">
        <v>2</v>
      </c>
      <c r="P2088" s="15" t="n">
        <f aca="false">IF(A2088="","",IF(O2088&lt;&gt;"",O2088,IF(L2088&lt;&gt;"",L2088,F2088)))</f>
        <v>2</v>
      </c>
    </row>
    <row r="2089" customFormat="false" ht="15" hidden="false" customHeight="true" outlineLevel="0" collapsed="false">
      <c r="A2089" s="26" t="s">
        <v>253</v>
      </c>
      <c r="B2089" s="26" t="s">
        <v>254</v>
      </c>
      <c r="C2089" s="14" t="n">
        <f aca="false">IF(A2089="","",IFERROR(VLOOKUP(A2089,'Recert Status'!$A$8:$C$400,3,FALSE()),""))</f>
        <v>46752</v>
      </c>
      <c r="D2089" s="18" t="s">
        <v>496</v>
      </c>
      <c r="E2089" s="26" t="s">
        <v>542</v>
      </c>
      <c r="F2089" s="27" t="n">
        <v>4</v>
      </c>
      <c r="G2089" s="28" t="n">
        <v>45961</v>
      </c>
      <c r="H2089" s="28" t="n">
        <v>45961</v>
      </c>
      <c r="I2089" s="18" t="s">
        <v>587</v>
      </c>
      <c r="J2089" s="26" t="s">
        <v>542</v>
      </c>
      <c r="K2089" s="18" t="s">
        <v>422</v>
      </c>
      <c r="L2089" s="27" t="n">
        <v>4</v>
      </c>
      <c r="M2089" s="40" t="s">
        <v>423</v>
      </c>
      <c r="N2089" s="18" t="s">
        <v>424</v>
      </c>
      <c r="O2089" s="27" t="n">
        <v>4</v>
      </c>
      <c r="P2089" s="15" t="n">
        <f aca="false">IF(A2089="","",IF(O2089&lt;&gt;"",O2089,IF(L2089&lt;&gt;"",L2089,F2089)))</f>
        <v>4</v>
      </c>
    </row>
    <row r="2090" customFormat="false" ht="15" hidden="false" customHeight="true" outlineLevel="0" collapsed="false">
      <c r="A2090" s="30" t="s">
        <v>253</v>
      </c>
      <c r="B2090" s="30" t="s">
        <v>254</v>
      </c>
      <c r="C2090" s="21" t="n">
        <f aca="false">IF(A2090="","",IFERROR(VLOOKUP(A2090,'Recert Status'!$A$8:$C$400,3,FALSE()),""))</f>
        <v>46752</v>
      </c>
      <c r="D2090" s="31" t="s">
        <v>597</v>
      </c>
      <c r="E2090" s="30" t="n">
        <v>29735</v>
      </c>
      <c r="F2090" s="32" t="n">
        <v>4</v>
      </c>
      <c r="G2090" s="33" t="n">
        <v>45961</v>
      </c>
      <c r="H2090" s="33" t="n">
        <v>45961</v>
      </c>
      <c r="I2090" s="31" t="s">
        <v>598</v>
      </c>
      <c r="J2090" s="30" t="s">
        <v>599</v>
      </c>
      <c r="K2090" s="31" t="s">
        <v>600</v>
      </c>
      <c r="L2090" s="32" t="n">
        <v>4</v>
      </c>
      <c r="M2090" s="36" t="s">
        <v>396</v>
      </c>
      <c r="N2090" s="31" t="s">
        <v>397</v>
      </c>
      <c r="O2090" s="32" t="n">
        <v>4</v>
      </c>
      <c r="P2090" s="15" t="n">
        <f aca="false">IF(A2090="","",IF(O2090&lt;&gt;"",O2090,IF(L2090&lt;&gt;"",L2090,F2090)))</f>
        <v>4</v>
      </c>
    </row>
    <row r="2091" customFormat="false" ht="15" hidden="false" customHeight="true" outlineLevel="0" collapsed="false">
      <c r="A2091" s="26" t="s">
        <v>253</v>
      </c>
      <c r="B2091" s="26" t="s">
        <v>254</v>
      </c>
      <c r="C2091" s="14" t="n">
        <f aca="false">IF(A2091="","",IFERROR(VLOOKUP(A2091,'Recert Status'!$A$8:$C$400,3,FALSE()),""))</f>
        <v>46752</v>
      </c>
      <c r="D2091" s="18" t="s">
        <v>397</v>
      </c>
      <c r="E2091" s="26" t="s">
        <v>452</v>
      </c>
      <c r="F2091" s="27" t="n">
        <v>1</v>
      </c>
      <c r="G2091" s="28" t="n">
        <v>46244</v>
      </c>
      <c r="H2091" s="28" t="n">
        <v>46244</v>
      </c>
      <c r="I2091" s="18" t="s">
        <v>453</v>
      </c>
      <c r="J2091" s="26" t="s">
        <v>452</v>
      </c>
      <c r="K2091" s="18" t="s">
        <v>385</v>
      </c>
      <c r="L2091" s="27" t="n">
        <v>1</v>
      </c>
      <c r="M2091" s="36" t="s">
        <v>396</v>
      </c>
      <c r="N2091" s="18" t="s">
        <v>397</v>
      </c>
      <c r="O2091" s="27" t="n">
        <v>1</v>
      </c>
      <c r="P2091" s="15" t="n">
        <f aca="false">IF(A2091="","",IF(O2091&lt;&gt;"",O2091,IF(L2091&lt;&gt;"",L2091,F2091)))</f>
        <v>1</v>
      </c>
    </row>
    <row r="2092" customFormat="false" ht="15" hidden="false" customHeight="true" outlineLevel="0" collapsed="false">
      <c r="A2092" s="30" t="s">
        <v>253</v>
      </c>
      <c r="B2092" s="30" t="s">
        <v>254</v>
      </c>
      <c r="C2092" s="21" t="n">
        <f aca="false">IF(A2092="","",IFERROR(VLOOKUP(A2092,'Recert Status'!$A$8:$C$400,3,FALSE()),""))</f>
        <v>46752</v>
      </c>
      <c r="D2092" s="31" t="s">
        <v>397</v>
      </c>
      <c r="E2092" s="30" t="s">
        <v>452</v>
      </c>
      <c r="F2092" s="32" t="n">
        <v>1</v>
      </c>
      <c r="G2092" s="33" t="n">
        <v>46274</v>
      </c>
      <c r="H2092" s="33" t="n">
        <v>46274</v>
      </c>
      <c r="I2092" s="31" t="s">
        <v>933</v>
      </c>
      <c r="J2092" s="30" t="s">
        <v>452</v>
      </c>
      <c r="K2092" s="31" t="s">
        <v>385</v>
      </c>
      <c r="L2092" s="32" t="n">
        <v>1</v>
      </c>
      <c r="M2092" s="36" t="s">
        <v>396</v>
      </c>
      <c r="N2092" s="31" t="s">
        <v>397</v>
      </c>
      <c r="O2092" s="32" t="n">
        <v>1</v>
      </c>
      <c r="P2092" s="15" t="n">
        <f aca="false">IF(A2092="","",IF(O2092&lt;&gt;"",O2092,IF(L2092&lt;&gt;"",L2092,F2092)))</f>
        <v>1</v>
      </c>
    </row>
    <row r="2093" customFormat="false" ht="15" hidden="false" customHeight="true" outlineLevel="0" collapsed="false">
      <c r="A2093" s="26" t="s">
        <v>253</v>
      </c>
      <c r="B2093" s="26" t="s">
        <v>254</v>
      </c>
      <c r="C2093" s="14" t="n">
        <f aca="false">IF(A2093="","",IFERROR(VLOOKUP(A2093,'Recert Status'!$A$8:$C$400,3,FALSE()),""))</f>
        <v>46752</v>
      </c>
      <c r="D2093" s="18" t="s">
        <v>488</v>
      </c>
      <c r="E2093" s="26" t="s">
        <v>416</v>
      </c>
      <c r="F2093" s="27" t="n">
        <v>1</v>
      </c>
      <c r="G2093" s="28" t="n">
        <v>46139</v>
      </c>
      <c r="H2093" s="28" t="n">
        <v>46139</v>
      </c>
      <c r="I2093" s="18" t="s">
        <v>610</v>
      </c>
      <c r="J2093" s="26" t="s">
        <v>416</v>
      </c>
      <c r="K2093" s="18" t="s">
        <v>490</v>
      </c>
      <c r="L2093" s="27" t="n">
        <v>1</v>
      </c>
      <c r="M2093" s="39" t="s">
        <v>413</v>
      </c>
      <c r="N2093" s="18" t="s">
        <v>414</v>
      </c>
      <c r="O2093" s="27" t="n">
        <v>1</v>
      </c>
      <c r="P2093" s="15" t="n">
        <f aca="false">IF(A2093="","",IF(O2093&lt;&gt;"",O2093,IF(L2093&lt;&gt;"",L2093,F2093)))</f>
        <v>1</v>
      </c>
    </row>
    <row r="2094" customFormat="false" ht="15" hidden="false" customHeight="true" outlineLevel="0" collapsed="false">
      <c r="A2094" s="30" t="s">
        <v>253</v>
      </c>
      <c r="B2094" s="30" t="s">
        <v>254</v>
      </c>
      <c r="C2094" s="21" t="n">
        <f aca="false">IF(A2094="","",IFERROR(VLOOKUP(A2094,'Recert Status'!$A$8:$C$400,3,FALSE()),""))</f>
        <v>46752</v>
      </c>
      <c r="D2094" s="31" t="s">
        <v>414</v>
      </c>
      <c r="E2094" s="30" t="s">
        <v>416</v>
      </c>
      <c r="F2094" s="32" t="n">
        <v>2</v>
      </c>
      <c r="G2094" s="33" t="n">
        <v>46217</v>
      </c>
      <c r="H2094" s="33" t="n">
        <v>46217</v>
      </c>
      <c r="I2094" s="31" t="s">
        <v>460</v>
      </c>
      <c r="J2094" s="30" t="s">
        <v>416</v>
      </c>
      <c r="K2094" s="31" t="s">
        <v>418</v>
      </c>
      <c r="L2094" s="32" t="n">
        <v>2</v>
      </c>
      <c r="M2094" s="39" t="s">
        <v>413</v>
      </c>
      <c r="N2094" s="31" t="s">
        <v>414</v>
      </c>
      <c r="O2094" s="32" t="n">
        <v>2</v>
      </c>
      <c r="P2094" s="15" t="n">
        <f aca="false">IF(A2094="","",IF(O2094&lt;&gt;"",O2094,IF(L2094&lt;&gt;"",L2094,F2094)))</f>
        <v>2</v>
      </c>
    </row>
    <row r="2095" customFormat="false" ht="15" hidden="false" customHeight="true" outlineLevel="0" collapsed="false">
      <c r="A2095" s="26" t="s">
        <v>255</v>
      </c>
      <c r="B2095" s="26" t="s">
        <v>256</v>
      </c>
      <c r="C2095" s="14" t="n">
        <f aca="false">IF(A2095="","",IFERROR(VLOOKUP(A2095,'Recert Status'!$A$8:$C$400,3,FALSE()),""))</f>
        <v>46387</v>
      </c>
      <c r="D2095" s="18" t="s">
        <v>1161</v>
      </c>
      <c r="E2095" s="26" t="s">
        <v>363</v>
      </c>
      <c r="F2095" s="27" t="n">
        <v>1</v>
      </c>
      <c r="G2095" s="28" t="n">
        <v>45761</v>
      </c>
      <c r="H2095" s="28" t="n">
        <v>45761</v>
      </c>
      <c r="I2095" s="18" t="s">
        <v>1162</v>
      </c>
      <c r="J2095" s="26" t="s">
        <v>363</v>
      </c>
      <c r="K2095" s="18" t="s">
        <v>1036</v>
      </c>
      <c r="L2095" s="27" t="n">
        <v>1</v>
      </c>
      <c r="M2095" s="29" t="s">
        <v>366</v>
      </c>
      <c r="N2095" s="18" t="s">
        <v>367</v>
      </c>
      <c r="O2095" s="27" t="n">
        <v>1</v>
      </c>
      <c r="P2095" s="15" t="n">
        <f aca="false">IF(A2095="","",IF(O2095&lt;&gt;"",O2095,IF(L2095&lt;&gt;"",L2095,F2095)))</f>
        <v>1</v>
      </c>
    </row>
    <row r="2096" customFormat="false" ht="15" hidden="false" customHeight="true" outlineLevel="0" collapsed="false">
      <c r="A2096" s="30" t="s">
        <v>255</v>
      </c>
      <c r="B2096" s="30" t="s">
        <v>256</v>
      </c>
      <c r="C2096" s="21" t="n">
        <f aca="false">IF(A2096="","",IFERROR(VLOOKUP(A2096,'Recert Status'!$A$8:$C$400,3,FALSE()),""))</f>
        <v>46387</v>
      </c>
      <c r="D2096" s="31" t="s">
        <v>880</v>
      </c>
      <c r="E2096" s="30" t="n">
        <v>29740</v>
      </c>
      <c r="F2096" s="32" t="n">
        <v>1</v>
      </c>
      <c r="G2096" s="33" t="n">
        <v>45899</v>
      </c>
      <c r="H2096" s="33" t="n">
        <v>45899</v>
      </c>
      <c r="I2096" s="31" t="s">
        <v>881</v>
      </c>
      <c r="J2096" s="30" t="s">
        <v>394</v>
      </c>
      <c r="K2096" s="31" t="s">
        <v>882</v>
      </c>
      <c r="L2096" s="32" t="n">
        <v>1</v>
      </c>
      <c r="M2096" s="29" t="s">
        <v>366</v>
      </c>
      <c r="N2096" s="31" t="s">
        <v>367</v>
      </c>
      <c r="O2096" s="32" t="n">
        <v>1</v>
      </c>
      <c r="P2096" s="15" t="n">
        <f aca="false">IF(A2096="","",IF(O2096&lt;&gt;"",O2096,IF(L2096&lt;&gt;"",L2096,F2096)))</f>
        <v>1</v>
      </c>
    </row>
    <row r="2097" customFormat="false" ht="15" hidden="false" customHeight="true" outlineLevel="0" collapsed="false">
      <c r="A2097" s="26" t="s">
        <v>255</v>
      </c>
      <c r="B2097" s="26" t="s">
        <v>256</v>
      </c>
      <c r="C2097" s="14" t="n">
        <f aca="false">IF(A2097="","",IFERROR(VLOOKUP(A2097,'Recert Status'!$A$8:$C$400,3,FALSE()),""))</f>
        <v>46387</v>
      </c>
      <c r="D2097" s="18" t="s">
        <v>936</v>
      </c>
      <c r="E2097" s="26" t="s">
        <v>363</v>
      </c>
      <c r="F2097" s="27" t="n">
        <v>1</v>
      </c>
      <c r="G2097" s="28" t="n">
        <v>45950</v>
      </c>
      <c r="H2097" s="28" t="n">
        <v>45950</v>
      </c>
      <c r="I2097" s="18" t="s">
        <v>937</v>
      </c>
      <c r="J2097" s="26" t="s">
        <v>363</v>
      </c>
      <c r="K2097" s="18" t="s">
        <v>365</v>
      </c>
      <c r="L2097" s="27" t="n">
        <v>0.5</v>
      </c>
      <c r="M2097" s="29" t="s">
        <v>366</v>
      </c>
      <c r="N2097" s="18" t="s">
        <v>923</v>
      </c>
      <c r="O2097" s="27" t="n">
        <v>1</v>
      </c>
      <c r="P2097" s="15" t="n">
        <f aca="false">IF(A2097="","",IF(O2097&lt;&gt;"",O2097,IF(L2097&lt;&gt;"",L2097,F2097)))</f>
        <v>1</v>
      </c>
    </row>
    <row r="2098" customFormat="false" ht="15" hidden="false" customHeight="true" outlineLevel="0" collapsed="false">
      <c r="A2098" s="30" t="s">
        <v>255</v>
      </c>
      <c r="B2098" s="30" t="s">
        <v>256</v>
      </c>
      <c r="C2098" s="21" t="n">
        <f aca="false">IF(A2098="","",IFERROR(VLOOKUP(A2098,'Recert Status'!$A$8:$C$400,3,FALSE()),""))</f>
        <v>46387</v>
      </c>
      <c r="D2098" s="31" t="s">
        <v>938</v>
      </c>
      <c r="E2098" s="30" t="n">
        <v>57394</v>
      </c>
      <c r="F2098" s="32" t="n">
        <v>8</v>
      </c>
      <c r="G2098" s="33" t="n">
        <v>45971</v>
      </c>
      <c r="H2098" s="33" t="n">
        <v>45971</v>
      </c>
      <c r="I2098" s="31" t="s">
        <v>939</v>
      </c>
      <c r="J2098" s="30" t="s">
        <v>503</v>
      </c>
      <c r="K2098" s="31" t="s">
        <v>940</v>
      </c>
      <c r="L2098" s="32" t="n">
        <v>3</v>
      </c>
      <c r="M2098" s="29" t="s">
        <v>366</v>
      </c>
      <c r="N2098" s="31" t="s">
        <v>941</v>
      </c>
      <c r="O2098" s="32" t="n">
        <v>8</v>
      </c>
      <c r="P2098" s="15" t="n">
        <f aca="false">IF(A2098="","",IF(O2098&lt;&gt;"",O2098,IF(L2098&lt;&gt;"",L2098,F2098)))</f>
        <v>8</v>
      </c>
    </row>
    <row r="2099" customFormat="false" ht="15" hidden="false" customHeight="true" outlineLevel="0" collapsed="false">
      <c r="A2099" s="26" t="s">
        <v>255</v>
      </c>
      <c r="B2099" s="26" t="s">
        <v>256</v>
      </c>
      <c r="C2099" s="14" t="n">
        <f aca="false">IF(A2099="","",IFERROR(VLOOKUP(A2099,'Recert Status'!$A$8:$C$400,3,FALSE()),""))</f>
        <v>46387</v>
      </c>
      <c r="D2099" s="18" t="s">
        <v>367</v>
      </c>
      <c r="E2099" s="26" t="s">
        <v>363</v>
      </c>
      <c r="F2099" s="27" t="n">
        <v>1</v>
      </c>
      <c r="G2099" s="28" t="n">
        <v>46286</v>
      </c>
      <c r="H2099" s="28" t="n">
        <v>46286</v>
      </c>
      <c r="I2099" s="18" t="s">
        <v>883</v>
      </c>
      <c r="J2099" s="26" t="s">
        <v>363</v>
      </c>
      <c r="K2099" s="18" t="s">
        <v>365</v>
      </c>
      <c r="L2099" s="27" t="n">
        <v>1</v>
      </c>
      <c r="M2099" s="29" t="s">
        <v>366</v>
      </c>
      <c r="N2099" s="18" t="s">
        <v>367</v>
      </c>
      <c r="O2099" s="27" t="n">
        <v>1</v>
      </c>
      <c r="P2099" s="15" t="n">
        <f aca="false">IF(A2099="","",IF(O2099&lt;&gt;"",O2099,IF(L2099&lt;&gt;"",L2099,F2099)))</f>
        <v>1</v>
      </c>
    </row>
    <row r="2100" customFormat="false" ht="15" hidden="false" customHeight="true" outlineLevel="0" collapsed="false">
      <c r="A2100" s="30" t="s">
        <v>255</v>
      </c>
      <c r="B2100" s="30" t="s">
        <v>256</v>
      </c>
      <c r="C2100" s="21" t="n">
        <f aca="false">IF(A2100="","",IFERROR(VLOOKUP(A2100,'Recert Status'!$A$8:$C$400,3,FALSE()),""))</f>
        <v>46387</v>
      </c>
      <c r="D2100" s="31" t="s">
        <v>1165</v>
      </c>
      <c r="E2100" s="30" t="s">
        <v>426</v>
      </c>
      <c r="F2100" s="32" t="n">
        <v>1</v>
      </c>
      <c r="G2100" s="33" t="n">
        <v>45761</v>
      </c>
      <c r="H2100" s="33" t="n">
        <v>45761</v>
      </c>
      <c r="I2100" s="31" t="s">
        <v>1166</v>
      </c>
      <c r="J2100" s="30" t="s">
        <v>426</v>
      </c>
      <c r="K2100" s="31" t="s">
        <v>526</v>
      </c>
      <c r="L2100" s="32" t="n">
        <v>1</v>
      </c>
      <c r="M2100" s="41" t="s">
        <v>429</v>
      </c>
      <c r="N2100" s="31" t="s">
        <v>430</v>
      </c>
      <c r="O2100" s="32" t="n">
        <v>1</v>
      </c>
      <c r="P2100" s="15" t="n">
        <f aca="false">IF(A2100="","",IF(O2100&lt;&gt;"",O2100,IF(L2100&lt;&gt;"",L2100,F2100)))</f>
        <v>1</v>
      </c>
    </row>
    <row r="2101" customFormat="false" ht="15" hidden="false" customHeight="true" outlineLevel="0" collapsed="false">
      <c r="A2101" s="26" t="s">
        <v>255</v>
      </c>
      <c r="B2101" s="26" t="s">
        <v>256</v>
      </c>
      <c r="C2101" s="14" t="n">
        <f aca="false">IF(A2101="","",IFERROR(VLOOKUP(A2101,'Recert Status'!$A$8:$C$400,3,FALSE()),""))</f>
        <v>46387</v>
      </c>
      <c r="D2101" s="18" t="s">
        <v>524</v>
      </c>
      <c r="E2101" s="26" t="s">
        <v>426</v>
      </c>
      <c r="F2101" s="27" t="n">
        <v>0.5</v>
      </c>
      <c r="G2101" s="28" t="n">
        <v>45881</v>
      </c>
      <c r="H2101" s="28" t="n">
        <v>45881</v>
      </c>
      <c r="I2101" s="18" t="s">
        <v>525</v>
      </c>
      <c r="J2101" s="26" t="s">
        <v>426</v>
      </c>
      <c r="K2101" s="18" t="s">
        <v>526</v>
      </c>
      <c r="L2101" s="27" t="n">
        <v>0.5</v>
      </c>
      <c r="M2101" s="41" t="s">
        <v>429</v>
      </c>
      <c r="N2101" s="18" t="s">
        <v>430</v>
      </c>
      <c r="O2101" s="27" t="n">
        <v>0.5</v>
      </c>
      <c r="P2101" s="15" t="n">
        <f aca="false">IF(A2101="","",IF(O2101&lt;&gt;"",O2101,IF(L2101&lt;&gt;"",L2101,F2101)))</f>
        <v>0.5</v>
      </c>
    </row>
    <row r="2102" customFormat="false" ht="15" hidden="false" customHeight="true" outlineLevel="0" collapsed="false">
      <c r="A2102" s="30" t="s">
        <v>255</v>
      </c>
      <c r="B2102" s="30" t="s">
        <v>256</v>
      </c>
      <c r="C2102" s="21" t="n">
        <f aca="false">IF(A2102="","",IFERROR(VLOOKUP(A2102,'Recert Status'!$A$8:$C$400,3,FALSE()),""))</f>
        <v>46387</v>
      </c>
      <c r="D2102" s="31" t="s">
        <v>884</v>
      </c>
      <c r="E2102" s="30" t="s">
        <v>426</v>
      </c>
      <c r="F2102" s="32" t="n">
        <v>2</v>
      </c>
      <c r="G2102" s="33" t="n">
        <v>45929</v>
      </c>
      <c r="H2102" s="33" t="n">
        <v>45929</v>
      </c>
      <c r="I2102" s="31" t="s">
        <v>885</v>
      </c>
      <c r="J2102" s="30" t="s">
        <v>426</v>
      </c>
      <c r="K2102" s="31" t="s">
        <v>428</v>
      </c>
      <c r="L2102" s="32" t="n">
        <v>2</v>
      </c>
      <c r="M2102" s="41" t="s">
        <v>429</v>
      </c>
      <c r="N2102" s="31" t="s">
        <v>430</v>
      </c>
      <c r="O2102" s="32" t="n">
        <v>2</v>
      </c>
      <c r="P2102" s="15" t="n">
        <f aca="false">IF(A2102="","",IF(O2102&lt;&gt;"",O2102,IF(L2102&lt;&gt;"",L2102,F2102)))</f>
        <v>2</v>
      </c>
    </row>
    <row r="2103" customFormat="false" ht="15" hidden="false" customHeight="true" outlineLevel="0" collapsed="false">
      <c r="A2103" s="26" t="s">
        <v>255</v>
      </c>
      <c r="B2103" s="26" t="s">
        <v>256</v>
      </c>
      <c r="C2103" s="14" t="n">
        <f aca="false">IF(A2103="","",IFERROR(VLOOKUP(A2103,'Recert Status'!$A$8:$C$400,3,FALSE()),""))</f>
        <v>46387</v>
      </c>
      <c r="D2103" s="18" t="s">
        <v>938</v>
      </c>
      <c r="E2103" s="26" t="n">
        <v>57394</v>
      </c>
      <c r="F2103" s="27" t="n">
        <v>8</v>
      </c>
      <c r="G2103" s="28" t="n">
        <v>45971</v>
      </c>
      <c r="H2103" s="28" t="n">
        <v>45971</v>
      </c>
      <c r="I2103" s="18" t="s">
        <v>939</v>
      </c>
      <c r="J2103" s="26" t="s">
        <v>503</v>
      </c>
      <c r="K2103" s="18" t="s">
        <v>940</v>
      </c>
      <c r="L2103" s="27" t="n">
        <v>2</v>
      </c>
      <c r="M2103" s="41" t="s">
        <v>429</v>
      </c>
      <c r="N2103" s="18" t="s">
        <v>941</v>
      </c>
      <c r="O2103" s="27" t="n">
        <v>8</v>
      </c>
      <c r="P2103" s="15" t="n">
        <f aca="false">IF(A2103="","",IF(O2103&lt;&gt;"",O2103,IF(L2103&lt;&gt;"",L2103,F2103)))</f>
        <v>8</v>
      </c>
    </row>
    <row r="2104" customFormat="false" ht="15" hidden="false" customHeight="true" outlineLevel="0" collapsed="false">
      <c r="A2104" s="30" t="s">
        <v>255</v>
      </c>
      <c r="B2104" s="30" t="s">
        <v>256</v>
      </c>
      <c r="C2104" s="21" t="n">
        <f aca="false">IF(A2104="","",IFERROR(VLOOKUP(A2104,'Recert Status'!$A$8:$C$400,3,FALSE()),""))</f>
        <v>46387</v>
      </c>
      <c r="D2104" s="31" t="s">
        <v>888</v>
      </c>
      <c r="E2104" s="30" t="s">
        <v>426</v>
      </c>
      <c r="F2104" s="32" t="n">
        <v>1</v>
      </c>
      <c r="G2104" s="33" t="n">
        <v>46001</v>
      </c>
      <c r="H2104" s="33" t="n">
        <v>46001</v>
      </c>
      <c r="I2104" s="31" t="s">
        <v>889</v>
      </c>
      <c r="J2104" s="30" t="s">
        <v>426</v>
      </c>
      <c r="K2104" s="31" t="s">
        <v>428</v>
      </c>
      <c r="L2104" s="32" t="n">
        <v>1</v>
      </c>
      <c r="M2104" s="41" t="s">
        <v>429</v>
      </c>
      <c r="N2104" s="31" t="s">
        <v>430</v>
      </c>
      <c r="O2104" s="32" t="n">
        <v>1</v>
      </c>
      <c r="P2104" s="15" t="n">
        <f aca="false">IF(A2104="","",IF(O2104&lt;&gt;"",O2104,IF(L2104&lt;&gt;"",L2104,F2104)))</f>
        <v>1</v>
      </c>
    </row>
    <row r="2105" customFormat="false" ht="15" hidden="false" customHeight="true" outlineLevel="0" collapsed="false">
      <c r="A2105" s="26" t="s">
        <v>255</v>
      </c>
      <c r="B2105" s="26" t="s">
        <v>256</v>
      </c>
      <c r="C2105" s="14" t="n">
        <f aca="false">IF(A2105="","",IFERROR(VLOOKUP(A2105,'Recert Status'!$A$8:$C$400,3,FALSE()),""))</f>
        <v>46387</v>
      </c>
      <c r="D2105" s="18" t="s">
        <v>430</v>
      </c>
      <c r="E2105" s="26" t="s">
        <v>426</v>
      </c>
      <c r="F2105" s="27" t="n">
        <v>1</v>
      </c>
      <c r="G2105" s="28" t="n">
        <v>46286</v>
      </c>
      <c r="H2105" s="28" t="n">
        <v>46286</v>
      </c>
      <c r="I2105" s="18" t="s">
        <v>890</v>
      </c>
      <c r="J2105" s="26" t="s">
        <v>426</v>
      </c>
      <c r="K2105" s="18" t="s">
        <v>428</v>
      </c>
      <c r="L2105" s="27" t="n">
        <v>1</v>
      </c>
      <c r="M2105" s="41" t="s">
        <v>429</v>
      </c>
      <c r="N2105" s="18" t="s">
        <v>430</v>
      </c>
      <c r="O2105" s="27" t="n">
        <v>1</v>
      </c>
      <c r="P2105" s="15" t="n">
        <f aca="false">IF(A2105="","",IF(O2105&lt;&gt;"",O2105,IF(L2105&lt;&gt;"",L2105,F2105)))</f>
        <v>1</v>
      </c>
    </row>
    <row r="2106" customFormat="false" ht="15" hidden="false" customHeight="true" outlineLevel="0" collapsed="false">
      <c r="A2106" s="30" t="s">
        <v>255</v>
      </c>
      <c r="B2106" s="30" t="s">
        <v>256</v>
      </c>
      <c r="C2106" s="21" t="n">
        <f aca="false">IF(A2106="","",IFERROR(VLOOKUP(A2106,'Recert Status'!$A$8:$C$400,3,FALSE()),""))</f>
        <v>46387</v>
      </c>
      <c r="D2106" s="31" t="s">
        <v>1168</v>
      </c>
      <c r="E2106" s="30" t="s">
        <v>389</v>
      </c>
      <c r="F2106" s="32" t="n">
        <v>2</v>
      </c>
      <c r="G2106" s="33" t="n">
        <v>45761</v>
      </c>
      <c r="H2106" s="33" t="n">
        <v>45761</v>
      </c>
      <c r="I2106" s="31" t="s">
        <v>1169</v>
      </c>
      <c r="J2106" s="30" t="s">
        <v>389</v>
      </c>
      <c r="K2106" s="31" t="s">
        <v>1170</v>
      </c>
      <c r="L2106" s="32" t="n">
        <v>2</v>
      </c>
      <c r="M2106" s="35" t="s">
        <v>386</v>
      </c>
      <c r="N2106" s="31" t="s">
        <v>387</v>
      </c>
      <c r="O2106" s="32" t="n">
        <v>2</v>
      </c>
      <c r="P2106" s="15" t="n">
        <f aca="false">IF(A2106="","",IF(O2106&lt;&gt;"",O2106,IF(L2106&lt;&gt;"",L2106,F2106)))</f>
        <v>2</v>
      </c>
    </row>
    <row r="2107" customFormat="false" ht="15" hidden="false" customHeight="true" outlineLevel="0" collapsed="false">
      <c r="A2107" s="26" t="s">
        <v>255</v>
      </c>
      <c r="B2107" s="26" t="s">
        <v>256</v>
      </c>
      <c r="C2107" s="14" t="n">
        <f aca="false">IF(A2107="","",IFERROR(VLOOKUP(A2107,'Recert Status'!$A$8:$C$400,3,FALSE()),""))</f>
        <v>46387</v>
      </c>
      <c r="D2107" s="18" t="s">
        <v>437</v>
      </c>
      <c r="E2107" s="26" t="n">
        <v>29743</v>
      </c>
      <c r="F2107" s="27" t="n">
        <v>1</v>
      </c>
      <c r="G2107" s="28" t="n">
        <v>45833</v>
      </c>
      <c r="H2107" s="28" t="n">
        <v>45833</v>
      </c>
      <c r="I2107" s="18" t="s">
        <v>438</v>
      </c>
      <c r="J2107" s="26" t="s">
        <v>439</v>
      </c>
      <c r="K2107" s="18" t="s">
        <v>440</v>
      </c>
      <c r="L2107" s="27" t="n">
        <v>1</v>
      </c>
      <c r="M2107" s="35" t="s">
        <v>386</v>
      </c>
      <c r="N2107" s="18" t="s">
        <v>387</v>
      </c>
      <c r="O2107" s="27" t="n">
        <v>1</v>
      </c>
      <c r="P2107" s="15" t="n">
        <f aca="false">IF(A2107="","",IF(O2107&lt;&gt;"",O2107,IF(L2107&lt;&gt;"",L2107,F2107)))</f>
        <v>1</v>
      </c>
    </row>
    <row r="2108" customFormat="false" ht="15" hidden="false" customHeight="true" outlineLevel="0" collapsed="false">
      <c r="A2108" s="30" t="s">
        <v>255</v>
      </c>
      <c r="B2108" s="30" t="s">
        <v>256</v>
      </c>
      <c r="C2108" s="21" t="n">
        <f aca="false">IF(A2108="","",IFERROR(VLOOKUP(A2108,'Recert Status'!$A$8:$C$400,3,FALSE()),""))</f>
        <v>46387</v>
      </c>
      <c r="D2108" s="31" t="s">
        <v>441</v>
      </c>
      <c r="E2108" s="30" t="n">
        <v>29743</v>
      </c>
      <c r="F2108" s="32" t="n">
        <v>1</v>
      </c>
      <c r="G2108" s="33" t="n">
        <v>45833</v>
      </c>
      <c r="H2108" s="33" t="n">
        <v>45833</v>
      </c>
      <c r="I2108" s="31" t="s">
        <v>442</v>
      </c>
      <c r="J2108" s="30" t="s">
        <v>439</v>
      </c>
      <c r="K2108" s="31" t="s">
        <v>443</v>
      </c>
      <c r="L2108" s="32" t="n">
        <v>1</v>
      </c>
      <c r="M2108" s="35" t="s">
        <v>386</v>
      </c>
      <c r="N2108" s="31" t="s">
        <v>387</v>
      </c>
      <c r="O2108" s="32" t="n">
        <v>1</v>
      </c>
      <c r="P2108" s="15" t="n">
        <f aca="false">IF(A2108="","",IF(O2108&lt;&gt;"",O2108,IF(L2108&lt;&gt;"",L2108,F2108)))</f>
        <v>1</v>
      </c>
    </row>
    <row r="2109" customFormat="false" ht="15" hidden="false" customHeight="true" outlineLevel="0" collapsed="false">
      <c r="A2109" s="26" t="s">
        <v>255</v>
      </c>
      <c r="B2109" s="26" t="s">
        <v>256</v>
      </c>
      <c r="C2109" s="14" t="n">
        <f aca="false">IF(A2109="","",IFERROR(VLOOKUP(A2109,'Recert Status'!$A$8:$C$400,3,FALSE()),""))</f>
        <v>46387</v>
      </c>
      <c r="D2109" s="18" t="s">
        <v>441</v>
      </c>
      <c r="E2109" s="26" t="n">
        <v>29743</v>
      </c>
      <c r="F2109" s="27" t="n">
        <v>1</v>
      </c>
      <c r="G2109" s="28" t="n">
        <v>45911</v>
      </c>
      <c r="H2109" s="28" t="n">
        <v>45911</v>
      </c>
      <c r="I2109" s="18" t="s">
        <v>893</v>
      </c>
      <c r="J2109" s="26" t="s">
        <v>439</v>
      </c>
      <c r="K2109" s="18" t="s">
        <v>791</v>
      </c>
      <c r="L2109" s="27" t="n">
        <v>1</v>
      </c>
      <c r="M2109" s="35" t="s">
        <v>386</v>
      </c>
      <c r="N2109" s="18" t="s">
        <v>387</v>
      </c>
      <c r="O2109" s="27" t="n">
        <v>1</v>
      </c>
      <c r="P2109" s="15" t="n">
        <f aca="false">IF(A2109="","",IF(O2109&lt;&gt;"",O2109,IF(L2109&lt;&gt;"",L2109,F2109)))</f>
        <v>1</v>
      </c>
    </row>
    <row r="2110" customFormat="false" ht="15" hidden="false" customHeight="true" outlineLevel="0" collapsed="false">
      <c r="A2110" s="30" t="s">
        <v>255</v>
      </c>
      <c r="B2110" s="30" t="s">
        <v>256</v>
      </c>
      <c r="C2110" s="21" t="n">
        <f aca="false">IF(A2110="","",IFERROR(VLOOKUP(A2110,'Recert Status'!$A$8:$C$400,3,FALSE()),""))</f>
        <v>46387</v>
      </c>
      <c r="D2110" s="31" t="s">
        <v>938</v>
      </c>
      <c r="E2110" s="30" t="n">
        <v>57394</v>
      </c>
      <c r="F2110" s="32" t="n">
        <v>8</v>
      </c>
      <c r="G2110" s="33" t="n">
        <v>45971</v>
      </c>
      <c r="H2110" s="33" t="n">
        <v>45971</v>
      </c>
      <c r="I2110" s="31" t="s">
        <v>939</v>
      </c>
      <c r="J2110" s="30" t="s">
        <v>503</v>
      </c>
      <c r="K2110" s="31" t="s">
        <v>940</v>
      </c>
      <c r="L2110" s="32" t="n">
        <v>2</v>
      </c>
      <c r="M2110" s="35" t="s">
        <v>386</v>
      </c>
      <c r="N2110" s="31" t="s">
        <v>941</v>
      </c>
      <c r="O2110" s="32" t="n">
        <v>8</v>
      </c>
      <c r="P2110" s="15" t="n">
        <f aca="false">IF(A2110="","",IF(O2110&lt;&gt;"",O2110,IF(L2110&lt;&gt;"",L2110,F2110)))</f>
        <v>8</v>
      </c>
    </row>
    <row r="2111" customFormat="false" ht="15" hidden="false" customHeight="true" outlineLevel="0" collapsed="false">
      <c r="A2111" s="26" t="s">
        <v>255</v>
      </c>
      <c r="B2111" s="26" t="s">
        <v>256</v>
      </c>
      <c r="C2111" s="14" t="n">
        <f aca="false">IF(A2111="","",IFERROR(VLOOKUP(A2111,'Recert Status'!$A$8:$C$400,3,FALSE()),""))</f>
        <v>46387</v>
      </c>
      <c r="D2111" s="18" t="s">
        <v>387</v>
      </c>
      <c r="E2111" s="26" t="s">
        <v>389</v>
      </c>
      <c r="F2111" s="27" t="n">
        <v>1</v>
      </c>
      <c r="G2111" s="28" t="n">
        <v>46274</v>
      </c>
      <c r="H2111" s="28" t="n">
        <v>46274</v>
      </c>
      <c r="I2111" s="18" t="s">
        <v>530</v>
      </c>
      <c r="J2111" s="26" t="s">
        <v>389</v>
      </c>
      <c r="K2111" s="18" t="s">
        <v>451</v>
      </c>
      <c r="L2111" s="27" t="n">
        <v>1</v>
      </c>
      <c r="M2111" s="35" t="s">
        <v>386</v>
      </c>
      <c r="N2111" s="18" t="s">
        <v>387</v>
      </c>
      <c r="O2111" s="27" t="n">
        <v>1</v>
      </c>
      <c r="P2111" s="15" t="n">
        <f aca="false">IF(A2111="","",IF(O2111&lt;&gt;"",O2111,IF(L2111&lt;&gt;"",L2111,F2111)))</f>
        <v>1</v>
      </c>
    </row>
    <row r="2112" customFormat="false" ht="15" hidden="false" customHeight="true" outlineLevel="0" collapsed="false">
      <c r="A2112" s="30" t="s">
        <v>255</v>
      </c>
      <c r="B2112" s="30" t="s">
        <v>256</v>
      </c>
      <c r="C2112" s="21" t="n">
        <f aca="false">IF(A2112="","",IFERROR(VLOOKUP(A2112,'Recert Status'!$A$8:$C$400,3,FALSE()),""))</f>
        <v>46387</v>
      </c>
      <c r="D2112" s="31" t="s">
        <v>387</v>
      </c>
      <c r="E2112" s="30" t="s">
        <v>389</v>
      </c>
      <c r="F2112" s="32" t="n">
        <v>1</v>
      </c>
      <c r="G2112" s="33" t="n">
        <v>46286</v>
      </c>
      <c r="H2112" s="33" t="n">
        <v>46286</v>
      </c>
      <c r="I2112" s="31" t="s">
        <v>903</v>
      </c>
      <c r="J2112" s="30" t="s">
        <v>389</v>
      </c>
      <c r="K2112" s="31" t="s">
        <v>904</v>
      </c>
      <c r="L2112" s="32" t="n">
        <v>1</v>
      </c>
      <c r="M2112" s="35" t="s">
        <v>386</v>
      </c>
      <c r="N2112" s="31" t="s">
        <v>387</v>
      </c>
      <c r="O2112" s="32" t="n">
        <v>1</v>
      </c>
      <c r="P2112" s="15" t="n">
        <f aca="false">IF(A2112="","",IF(O2112&lt;&gt;"",O2112,IF(L2112&lt;&gt;"",L2112,F2112)))</f>
        <v>1</v>
      </c>
    </row>
    <row r="2113" customFormat="false" ht="15" hidden="false" customHeight="true" outlineLevel="0" collapsed="false">
      <c r="A2113" s="26" t="s">
        <v>255</v>
      </c>
      <c r="B2113" s="26" t="s">
        <v>256</v>
      </c>
      <c r="C2113" s="14" t="n">
        <f aca="false">IF(A2113="","",IFERROR(VLOOKUP(A2113,'Recert Status'!$A$8:$C$400,3,FALSE()),""))</f>
        <v>46387</v>
      </c>
      <c r="D2113" s="18" t="s">
        <v>397</v>
      </c>
      <c r="E2113" s="26" t="s">
        <v>452</v>
      </c>
      <c r="F2113" s="27" t="n">
        <v>1</v>
      </c>
      <c r="G2113" s="28" t="n">
        <v>46244</v>
      </c>
      <c r="H2113" s="28" t="n">
        <v>46244</v>
      </c>
      <c r="I2113" s="18" t="s">
        <v>453</v>
      </c>
      <c r="J2113" s="26" t="s">
        <v>452</v>
      </c>
      <c r="K2113" s="18" t="s">
        <v>385</v>
      </c>
      <c r="L2113" s="27" t="n">
        <v>1</v>
      </c>
      <c r="M2113" s="36" t="s">
        <v>396</v>
      </c>
      <c r="N2113" s="18" t="s">
        <v>397</v>
      </c>
      <c r="O2113" s="27" t="n">
        <v>1</v>
      </c>
      <c r="P2113" s="15" t="n">
        <f aca="false">IF(A2113="","",IF(O2113&lt;&gt;"",O2113,IF(L2113&lt;&gt;"",L2113,F2113)))</f>
        <v>1</v>
      </c>
    </row>
    <row r="2114" customFormat="false" ht="15" hidden="false" customHeight="true" outlineLevel="0" collapsed="false">
      <c r="A2114" s="30" t="s">
        <v>255</v>
      </c>
      <c r="B2114" s="30" t="s">
        <v>256</v>
      </c>
      <c r="C2114" s="21" t="n">
        <f aca="false">IF(A2114="","",IFERROR(VLOOKUP(A2114,'Recert Status'!$A$8:$C$400,3,FALSE()),""))</f>
        <v>46387</v>
      </c>
      <c r="D2114" s="31" t="s">
        <v>457</v>
      </c>
      <c r="E2114" s="30" t="s">
        <v>416</v>
      </c>
      <c r="F2114" s="32" t="n">
        <v>2</v>
      </c>
      <c r="G2114" s="33" t="n">
        <v>45860</v>
      </c>
      <c r="H2114" s="33" t="n">
        <v>45860</v>
      </c>
      <c r="I2114" s="31" t="s">
        <v>720</v>
      </c>
      <c r="J2114" s="30" t="s">
        <v>416</v>
      </c>
      <c r="K2114" s="31" t="s">
        <v>459</v>
      </c>
      <c r="L2114" s="32" t="n">
        <v>2</v>
      </c>
      <c r="M2114" s="39" t="s">
        <v>413</v>
      </c>
      <c r="N2114" s="31" t="s">
        <v>414</v>
      </c>
      <c r="O2114" s="32" t="n">
        <v>2</v>
      </c>
      <c r="P2114" s="15" t="n">
        <f aca="false">IF(A2114="","",IF(O2114&lt;&gt;"",O2114,IF(L2114&lt;&gt;"",L2114,F2114)))</f>
        <v>2</v>
      </c>
    </row>
    <row r="2115" customFormat="false" ht="15" hidden="false" customHeight="true" outlineLevel="0" collapsed="false">
      <c r="A2115" s="26" t="s">
        <v>255</v>
      </c>
      <c r="B2115" s="26" t="s">
        <v>256</v>
      </c>
      <c r="C2115" s="14" t="n">
        <f aca="false">IF(A2115="","",IFERROR(VLOOKUP(A2115,'Recert Status'!$A$8:$C$400,3,FALSE()),""))</f>
        <v>46387</v>
      </c>
      <c r="D2115" s="18" t="s">
        <v>705</v>
      </c>
      <c r="E2115" s="26" t="s">
        <v>416</v>
      </c>
      <c r="F2115" s="27" t="n">
        <v>1.5</v>
      </c>
      <c r="G2115" s="28" t="n">
        <v>45896</v>
      </c>
      <c r="H2115" s="28" t="n">
        <v>45896</v>
      </c>
      <c r="I2115" s="18" t="s">
        <v>722</v>
      </c>
      <c r="J2115" s="26" t="s">
        <v>416</v>
      </c>
      <c r="K2115" s="18" t="s">
        <v>723</v>
      </c>
      <c r="L2115" s="27" t="n">
        <v>1.5</v>
      </c>
      <c r="M2115" s="39" t="s">
        <v>413</v>
      </c>
      <c r="N2115" s="18" t="s">
        <v>414</v>
      </c>
      <c r="O2115" s="27" t="n">
        <v>1.5</v>
      </c>
      <c r="P2115" s="15" t="n">
        <f aca="false">IF(A2115="","",IF(O2115&lt;&gt;"",O2115,IF(L2115&lt;&gt;"",L2115,F2115)))</f>
        <v>1.5</v>
      </c>
    </row>
    <row r="2116" customFormat="false" ht="15" hidden="false" customHeight="true" outlineLevel="0" collapsed="false">
      <c r="A2116" s="30" t="s">
        <v>255</v>
      </c>
      <c r="B2116" s="30" t="s">
        <v>256</v>
      </c>
      <c r="C2116" s="21" t="n">
        <f aca="false">IF(A2116="","",IFERROR(VLOOKUP(A2116,'Recert Status'!$A$8:$C$400,3,FALSE()),""))</f>
        <v>46387</v>
      </c>
      <c r="D2116" s="31" t="s">
        <v>750</v>
      </c>
      <c r="E2116" s="30" t="s">
        <v>416</v>
      </c>
      <c r="F2116" s="32" t="n">
        <v>3</v>
      </c>
      <c r="G2116" s="33" t="n">
        <v>46001</v>
      </c>
      <c r="H2116" s="33" t="n">
        <v>46001</v>
      </c>
      <c r="I2116" s="31" t="s">
        <v>751</v>
      </c>
      <c r="J2116" s="30" t="s">
        <v>416</v>
      </c>
      <c r="K2116" s="31" t="s">
        <v>456</v>
      </c>
      <c r="L2116" s="32" t="n">
        <v>3</v>
      </c>
      <c r="M2116" s="39" t="s">
        <v>413</v>
      </c>
      <c r="N2116" s="31" t="s">
        <v>414</v>
      </c>
      <c r="O2116" s="32" t="n">
        <v>3</v>
      </c>
      <c r="P2116" s="15" t="n">
        <f aca="false">IF(A2116="","",IF(O2116&lt;&gt;"",O2116,IF(L2116&lt;&gt;"",L2116,F2116)))</f>
        <v>3</v>
      </c>
    </row>
    <row r="2117" customFormat="false" ht="15" hidden="false" customHeight="true" outlineLevel="0" collapsed="false">
      <c r="A2117" s="26" t="s">
        <v>255</v>
      </c>
      <c r="B2117" s="26" t="s">
        <v>256</v>
      </c>
      <c r="C2117" s="14" t="n">
        <f aca="false">IF(A2117="","",IFERROR(VLOOKUP(A2117,'Recert Status'!$A$8:$C$400,3,FALSE()),""))</f>
        <v>46387</v>
      </c>
      <c r="D2117" s="18" t="s">
        <v>488</v>
      </c>
      <c r="E2117" s="26" t="s">
        <v>416</v>
      </c>
      <c r="F2117" s="27" t="n">
        <v>1</v>
      </c>
      <c r="G2117" s="28" t="n">
        <v>46139</v>
      </c>
      <c r="H2117" s="28" t="n">
        <v>46139</v>
      </c>
      <c r="I2117" s="18" t="s">
        <v>610</v>
      </c>
      <c r="J2117" s="26" t="s">
        <v>416</v>
      </c>
      <c r="K2117" s="18" t="s">
        <v>490</v>
      </c>
      <c r="L2117" s="27" t="n">
        <v>1</v>
      </c>
      <c r="M2117" s="39" t="s">
        <v>413</v>
      </c>
      <c r="N2117" s="18" t="s">
        <v>414</v>
      </c>
      <c r="O2117" s="27" t="n">
        <v>1</v>
      </c>
      <c r="P2117" s="15" t="n">
        <f aca="false">IF(A2117="","",IF(O2117&lt;&gt;"",O2117,IF(L2117&lt;&gt;"",L2117,F2117)))</f>
        <v>1</v>
      </c>
    </row>
    <row r="2118" customFormat="false" ht="15" hidden="false" customHeight="true" outlineLevel="0" collapsed="false">
      <c r="A2118" s="30" t="s">
        <v>255</v>
      </c>
      <c r="B2118" s="30" t="s">
        <v>256</v>
      </c>
      <c r="C2118" s="21" t="n">
        <f aca="false">IF(A2118="","",IFERROR(VLOOKUP(A2118,'Recert Status'!$A$8:$C$400,3,FALSE()),""))</f>
        <v>46387</v>
      </c>
      <c r="D2118" s="31" t="s">
        <v>414</v>
      </c>
      <c r="E2118" s="30" t="s">
        <v>416</v>
      </c>
      <c r="F2118" s="32" t="n">
        <v>2</v>
      </c>
      <c r="G2118" s="33" t="n">
        <v>46217</v>
      </c>
      <c r="H2118" s="33" t="n">
        <v>46217</v>
      </c>
      <c r="I2118" s="31" t="s">
        <v>460</v>
      </c>
      <c r="J2118" s="30" t="s">
        <v>416</v>
      </c>
      <c r="K2118" s="31" t="s">
        <v>418</v>
      </c>
      <c r="L2118" s="32" t="n">
        <v>2</v>
      </c>
      <c r="M2118" s="39" t="s">
        <v>413</v>
      </c>
      <c r="N2118" s="31" t="s">
        <v>414</v>
      </c>
      <c r="O2118" s="32" t="n">
        <v>2</v>
      </c>
      <c r="P2118" s="15" t="n">
        <f aca="false">IF(A2118="","",IF(O2118&lt;&gt;"",O2118,IF(L2118&lt;&gt;"",L2118,F2118)))</f>
        <v>2</v>
      </c>
    </row>
    <row r="2119" customFormat="false" ht="15" hidden="false" customHeight="true" outlineLevel="0" collapsed="false">
      <c r="A2119" s="26" t="s">
        <v>255</v>
      </c>
      <c r="B2119" s="26" t="s">
        <v>256</v>
      </c>
      <c r="C2119" s="14" t="n">
        <f aca="false">IF(A2119="","",IFERROR(VLOOKUP(A2119,'Recert Status'!$A$8:$C$400,3,FALSE()),""))</f>
        <v>46387</v>
      </c>
      <c r="D2119" s="18" t="s">
        <v>414</v>
      </c>
      <c r="E2119" s="26" t="s">
        <v>416</v>
      </c>
      <c r="F2119" s="27" t="n">
        <v>1.5</v>
      </c>
      <c r="G2119" s="28" t="n">
        <v>46241</v>
      </c>
      <c r="H2119" s="28" t="n">
        <v>46241</v>
      </c>
      <c r="I2119" s="18" t="s">
        <v>536</v>
      </c>
      <c r="J2119" s="26" t="s">
        <v>416</v>
      </c>
      <c r="K2119" s="18" t="s">
        <v>418</v>
      </c>
      <c r="L2119" s="27" t="n">
        <v>1.5</v>
      </c>
      <c r="M2119" s="39" t="s">
        <v>413</v>
      </c>
      <c r="N2119" s="18" t="s">
        <v>414</v>
      </c>
      <c r="O2119" s="27" t="n">
        <v>1.5</v>
      </c>
      <c r="P2119" s="15" t="n">
        <f aca="false">IF(A2119="","",IF(O2119&lt;&gt;"",O2119,IF(L2119&lt;&gt;"",L2119,F2119)))</f>
        <v>1.5</v>
      </c>
    </row>
    <row r="2120" customFormat="false" ht="15" hidden="false" customHeight="true" outlineLevel="0" collapsed="false">
      <c r="A2120" s="30" t="s">
        <v>255</v>
      </c>
      <c r="B2120" s="30" t="s">
        <v>256</v>
      </c>
      <c r="C2120" s="21" t="n">
        <f aca="false">IF(A2120="","",IFERROR(VLOOKUP(A2120,'Recert Status'!$A$8:$C$400,3,FALSE()),""))</f>
        <v>46387</v>
      </c>
      <c r="D2120" s="31" t="s">
        <v>414</v>
      </c>
      <c r="E2120" s="30" t="s">
        <v>416</v>
      </c>
      <c r="F2120" s="32" t="n">
        <v>2</v>
      </c>
      <c r="G2120" s="33" t="n">
        <v>46286</v>
      </c>
      <c r="H2120" s="33" t="n">
        <v>46286</v>
      </c>
      <c r="I2120" s="31" t="s">
        <v>907</v>
      </c>
      <c r="J2120" s="30" t="s">
        <v>416</v>
      </c>
      <c r="K2120" s="31" t="s">
        <v>490</v>
      </c>
      <c r="L2120" s="32" t="n">
        <v>2</v>
      </c>
      <c r="M2120" s="39" t="s">
        <v>413</v>
      </c>
      <c r="N2120" s="31" t="s">
        <v>414</v>
      </c>
      <c r="O2120" s="32" t="n">
        <v>2</v>
      </c>
      <c r="P2120" s="15" t="n">
        <f aca="false">IF(A2120="","",IF(O2120&lt;&gt;"",O2120,IF(L2120&lt;&gt;"",L2120,F2120)))</f>
        <v>2</v>
      </c>
    </row>
    <row r="2121" customFormat="false" ht="15" hidden="false" customHeight="true" outlineLevel="0" collapsed="false">
      <c r="A2121" s="26" t="s">
        <v>257</v>
      </c>
      <c r="B2121" s="26" t="s">
        <v>258</v>
      </c>
      <c r="C2121" s="14" t="n">
        <f aca="false">IF(A2121="","",IFERROR(VLOOKUP(A2121,'Recert Status'!$A$8:$C$400,3,FALSE()),""))</f>
        <v>46387</v>
      </c>
      <c r="D2121" s="18" t="s">
        <v>449</v>
      </c>
      <c r="E2121" s="26" t="s">
        <v>426</v>
      </c>
      <c r="F2121" s="27" t="n">
        <v>2.5</v>
      </c>
      <c r="G2121" s="28" t="n">
        <v>45719</v>
      </c>
      <c r="H2121" s="28" t="n">
        <v>45719</v>
      </c>
      <c r="I2121" s="18" t="s">
        <v>1435</v>
      </c>
      <c r="J2121" s="26" t="s">
        <v>426</v>
      </c>
      <c r="K2121" s="18" t="s">
        <v>428</v>
      </c>
      <c r="L2121" s="27" t="n">
        <v>2.5</v>
      </c>
      <c r="M2121" s="41" t="s">
        <v>429</v>
      </c>
      <c r="N2121" s="18" t="s">
        <v>430</v>
      </c>
      <c r="O2121" s="27" t="n">
        <v>2.5</v>
      </c>
      <c r="P2121" s="15" t="n">
        <f aca="false">IF(A2121="","",IF(O2121&lt;&gt;"",O2121,IF(L2121&lt;&gt;"",L2121,F2121)))</f>
        <v>2.5</v>
      </c>
    </row>
    <row r="2122" customFormat="false" ht="15" hidden="false" customHeight="true" outlineLevel="0" collapsed="false">
      <c r="A2122" s="30" t="s">
        <v>257</v>
      </c>
      <c r="B2122" s="30" t="s">
        <v>258</v>
      </c>
      <c r="C2122" s="21" t="n">
        <f aca="false">IF(A2122="","",IFERROR(VLOOKUP(A2122,'Recert Status'!$A$8:$C$400,3,FALSE()),""))</f>
        <v>46387</v>
      </c>
      <c r="D2122" s="31" t="s">
        <v>800</v>
      </c>
      <c r="E2122" s="30" t="s">
        <v>426</v>
      </c>
      <c r="F2122" s="32" t="n">
        <v>2</v>
      </c>
      <c r="G2122" s="33" t="n">
        <v>45929</v>
      </c>
      <c r="H2122" s="33" t="n">
        <v>45929</v>
      </c>
      <c r="I2122" s="31" t="s">
        <v>1580</v>
      </c>
      <c r="J2122" s="30" t="s">
        <v>426</v>
      </c>
      <c r="K2122" s="31" t="s">
        <v>495</v>
      </c>
      <c r="L2122" s="32" t="n">
        <v>2</v>
      </c>
      <c r="M2122" s="41" t="s">
        <v>429</v>
      </c>
      <c r="N2122" s="31" t="s">
        <v>430</v>
      </c>
      <c r="O2122" s="32" t="n">
        <v>2</v>
      </c>
      <c r="P2122" s="15" t="n">
        <f aca="false">IF(A2122="","",IF(O2122&lt;&gt;"",O2122,IF(L2122&lt;&gt;"",L2122,F2122)))</f>
        <v>2</v>
      </c>
    </row>
    <row r="2123" customFormat="false" ht="15" hidden="false" customHeight="true" outlineLevel="0" collapsed="false">
      <c r="A2123" s="26" t="s">
        <v>257</v>
      </c>
      <c r="B2123" s="26" t="s">
        <v>258</v>
      </c>
      <c r="C2123" s="14" t="n">
        <f aca="false">IF(A2123="","",IFERROR(VLOOKUP(A2123,'Recert Status'!$A$8:$C$400,3,FALSE()),""))</f>
        <v>46387</v>
      </c>
      <c r="D2123" s="18" t="s">
        <v>884</v>
      </c>
      <c r="E2123" s="26" t="s">
        <v>426</v>
      </c>
      <c r="F2123" s="27" t="n">
        <v>2</v>
      </c>
      <c r="G2123" s="28" t="n">
        <v>45929</v>
      </c>
      <c r="H2123" s="28" t="n">
        <v>45929</v>
      </c>
      <c r="I2123" s="18" t="s">
        <v>885</v>
      </c>
      <c r="J2123" s="26" t="s">
        <v>426</v>
      </c>
      <c r="K2123" s="18" t="s">
        <v>428</v>
      </c>
      <c r="L2123" s="27" t="n">
        <v>2</v>
      </c>
      <c r="M2123" s="41" t="s">
        <v>429</v>
      </c>
      <c r="N2123" s="18" t="s">
        <v>430</v>
      </c>
      <c r="O2123" s="27" t="n">
        <v>2</v>
      </c>
      <c r="P2123" s="15" t="n">
        <f aca="false">IF(A2123="","",IF(O2123&lt;&gt;"",O2123,IF(L2123&lt;&gt;"",L2123,F2123)))</f>
        <v>2</v>
      </c>
    </row>
    <row r="2124" customFormat="false" ht="15" hidden="false" customHeight="true" outlineLevel="0" collapsed="false">
      <c r="A2124" s="30" t="s">
        <v>257</v>
      </c>
      <c r="B2124" s="30" t="s">
        <v>258</v>
      </c>
      <c r="C2124" s="21" t="n">
        <f aca="false">IF(A2124="","",IFERROR(VLOOKUP(A2124,'Recert Status'!$A$8:$C$400,3,FALSE()),""))</f>
        <v>46387</v>
      </c>
      <c r="D2124" s="31" t="s">
        <v>1335</v>
      </c>
      <c r="E2124" s="30" t="s">
        <v>426</v>
      </c>
      <c r="F2124" s="32" t="n">
        <v>2</v>
      </c>
      <c r="G2124" s="33" t="n">
        <v>46076</v>
      </c>
      <c r="H2124" s="33" t="n">
        <v>46076</v>
      </c>
      <c r="I2124" s="31" t="s">
        <v>1336</v>
      </c>
      <c r="J2124" s="30" t="s">
        <v>426</v>
      </c>
      <c r="K2124" s="31" t="s">
        <v>428</v>
      </c>
      <c r="L2124" s="32" t="n">
        <v>2</v>
      </c>
      <c r="M2124" s="41" t="s">
        <v>429</v>
      </c>
      <c r="N2124" s="31" t="s">
        <v>430</v>
      </c>
      <c r="O2124" s="32" t="n">
        <v>2</v>
      </c>
      <c r="P2124" s="15" t="n">
        <f aca="false">IF(A2124="","",IF(O2124&lt;&gt;"",O2124,IF(L2124&lt;&gt;"",L2124,F2124)))</f>
        <v>2</v>
      </c>
    </row>
    <row r="2125" customFormat="false" ht="15" hidden="false" customHeight="true" outlineLevel="0" collapsed="false">
      <c r="A2125" s="26" t="s">
        <v>257</v>
      </c>
      <c r="B2125" s="26" t="s">
        <v>258</v>
      </c>
      <c r="C2125" s="14" t="n">
        <f aca="false">IF(A2125="","",IFERROR(VLOOKUP(A2125,'Recert Status'!$A$8:$C$400,3,FALSE()),""))</f>
        <v>46387</v>
      </c>
      <c r="D2125" s="18" t="s">
        <v>377</v>
      </c>
      <c r="E2125" s="26" t="s">
        <v>372</v>
      </c>
      <c r="F2125" s="27" t="n">
        <v>1</v>
      </c>
      <c r="G2125" s="28" t="n">
        <v>45941</v>
      </c>
      <c r="H2125" s="28" t="n">
        <v>45941</v>
      </c>
      <c r="I2125" s="18" t="s">
        <v>1612</v>
      </c>
      <c r="J2125" s="26" t="s">
        <v>372</v>
      </c>
      <c r="K2125" s="18" t="s">
        <v>374</v>
      </c>
      <c r="L2125" s="27" t="n">
        <v>1</v>
      </c>
      <c r="M2125" s="34" t="s">
        <v>375</v>
      </c>
      <c r="N2125" s="18" t="s">
        <v>376</v>
      </c>
      <c r="O2125" s="27" t="n">
        <v>1</v>
      </c>
      <c r="P2125" s="15" t="n">
        <f aca="false">IF(A2125="","",IF(O2125&lt;&gt;"",O2125,IF(L2125&lt;&gt;"",L2125,F2125)))</f>
        <v>1</v>
      </c>
    </row>
    <row r="2126" customFormat="false" ht="15" hidden="false" customHeight="true" outlineLevel="0" collapsed="false">
      <c r="A2126" s="30" t="s">
        <v>257</v>
      </c>
      <c r="B2126" s="30" t="s">
        <v>258</v>
      </c>
      <c r="C2126" s="21" t="n">
        <f aca="false">IF(A2126="","",IFERROR(VLOOKUP(A2126,'Recert Status'!$A$8:$C$400,3,FALSE()),""))</f>
        <v>46387</v>
      </c>
      <c r="D2126" s="31" t="s">
        <v>1059</v>
      </c>
      <c r="E2126" s="30" t="s">
        <v>389</v>
      </c>
      <c r="F2126" s="32" t="n">
        <v>0.5</v>
      </c>
      <c r="G2126" s="33" t="n">
        <v>45707</v>
      </c>
      <c r="H2126" s="33" t="n">
        <v>45707</v>
      </c>
      <c r="I2126" s="31" t="s">
        <v>1060</v>
      </c>
      <c r="J2126" s="30" t="s">
        <v>389</v>
      </c>
      <c r="K2126" s="31" t="s">
        <v>451</v>
      </c>
      <c r="L2126" s="32" t="n">
        <v>0.5</v>
      </c>
      <c r="M2126" s="35" t="s">
        <v>386</v>
      </c>
      <c r="N2126" s="31" t="s">
        <v>387</v>
      </c>
      <c r="O2126" s="32" t="n">
        <v>0.5</v>
      </c>
      <c r="P2126" s="15" t="n">
        <f aca="false">IF(A2126="","",IF(O2126&lt;&gt;"",O2126,IF(L2126&lt;&gt;"",L2126,F2126)))</f>
        <v>0.5</v>
      </c>
    </row>
    <row r="2127" customFormat="false" ht="15" hidden="false" customHeight="true" outlineLevel="0" collapsed="false">
      <c r="A2127" s="26" t="s">
        <v>257</v>
      </c>
      <c r="B2127" s="26" t="s">
        <v>258</v>
      </c>
      <c r="C2127" s="14" t="n">
        <f aca="false">IF(A2127="","",IFERROR(VLOOKUP(A2127,'Recert Status'!$A$8:$C$400,3,FALSE()),""))</f>
        <v>46387</v>
      </c>
      <c r="D2127" s="18" t="s">
        <v>449</v>
      </c>
      <c r="E2127" s="26" t="n">
        <v>29675</v>
      </c>
      <c r="F2127" s="27" t="n">
        <v>0.5</v>
      </c>
      <c r="G2127" s="28" t="n">
        <v>45995</v>
      </c>
      <c r="H2127" s="28" t="n">
        <v>45995</v>
      </c>
      <c r="I2127" s="18" t="s">
        <v>450</v>
      </c>
      <c r="J2127" s="26" t="s">
        <v>406</v>
      </c>
      <c r="K2127" s="18" t="s">
        <v>451</v>
      </c>
      <c r="L2127" s="27" t="n">
        <v>0.5</v>
      </c>
      <c r="M2127" s="35" t="s">
        <v>386</v>
      </c>
      <c r="N2127" s="18" t="s">
        <v>387</v>
      </c>
      <c r="O2127" s="27" t="n">
        <v>0.5</v>
      </c>
      <c r="P2127" s="15" t="n">
        <f aca="false">IF(A2127="","",IF(O2127&lt;&gt;"",O2127,IF(L2127&lt;&gt;"",L2127,F2127)))</f>
        <v>0.5</v>
      </c>
    </row>
    <row r="2128" customFormat="false" ht="15" hidden="false" customHeight="true" outlineLevel="0" collapsed="false">
      <c r="A2128" s="30" t="s">
        <v>257</v>
      </c>
      <c r="B2128" s="30" t="s">
        <v>258</v>
      </c>
      <c r="C2128" s="21" t="n">
        <f aca="false">IF(A2128="","",IFERROR(VLOOKUP(A2128,'Recert Status'!$A$8:$C$400,3,FALSE()),""))</f>
        <v>46387</v>
      </c>
      <c r="D2128" s="31" t="s">
        <v>474</v>
      </c>
      <c r="E2128" s="30" t="s">
        <v>389</v>
      </c>
      <c r="F2128" s="32" t="n">
        <v>1</v>
      </c>
      <c r="G2128" s="33" t="n">
        <v>46204</v>
      </c>
      <c r="H2128" s="33" t="n">
        <v>46204</v>
      </c>
      <c r="I2128" s="31" t="s">
        <v>475</v>
      </c>
      <c r="J2128" s="30" t="s">
        <v>389</v>
      </c>
      <c r="K2128" s="31" t="s">
        <v>476</v>
      </c>
      <c r="L2128" s="32" t="n">
        <v>1</v>
      </c>
      <c r="M2128" s="35" t="s">
        <v>386</v>
      </c>
      <c r="N2128" s="31" t="s">
        <v>387</v>
      </c>
      <c r="O2128" s="32" t="n">
        <v>1</v>
      </c>
      <c r="P2128" s="15" t="n">
        <f aca="false">IF(A2128="","",IF(O2128&lt;&gt;"",O2128,IF(L2128&lt;&gt;"",L2128,F2128)))</f>
        <v>1</v>
      </c>
    </row>
    <row r="2129" customFormat="false" ht="15" hidden="false" customHeight="true" outlineLevel="0" collapsed="false">
      <c r="A2129" s="26" t="s">
        <v>257</v>
      </c>
      <c r="B2129" s="26" t="s">
        <v>258</v>
      </c>
      <c r="C2129" s="14" t="n">
        <f aca="false">IF(A2129="","",IFERROR(VLOOKUP(A2129,'Recert Status'!$A$8:$C$400,3,FALSE()),""))</f>
        <v>46387</v>
      </c>
      <c r="D2129" s="18" t="s">
        <v>397</v>
      </c>
      <c r="E2129" s="26" t="s">
        <v>452</v>
      </c>
      <c r="F2129" s="27" t="n">
        <v>1</v>
      </c>
      <c r="G2129" s="28" t="n">
        <v>46244</v>
      </c>
      <c r="H2129" s="28" t="n">
        <v>46244</v>
      </c>
      <c r="I2129" s="18" t="s">
        <v>577</v>
      </c>
      <c r="J2129" s="26" t="s">
        <v>452</v>
      </c>
      <c r="K2129" s="18" t="s">
        <v>385</v>
      </c>
      <c r="L2129" s="27" t="n">
        <v>1</v>
      </c>
      <c r="M2129" s="36" t="s">
        <v>396</v>
      </c>
      <c r="N2129" s="18" t="s">
        <v>397</v>
      </c>
      <c r="O2129" s="27" t="n">
        <v>1</v>
      </c>
      <c r="P2129" s="15" t="n">
        <f aca="false">IF(A2129="","",IF(O2129&lt;&gt;"",O2129,IF(L2129&lt;&gt;"",L2129,F2129)))</f>
        <v>1</v>
      </c>
    </row>
    <row r="2130" customFormat="false" ht="15" hidden="false" customHeight="true" outlineLevel="0" collapsed="false">
      <c r="A2130" s="30" t="s">
        <v>257</v>
      </c>
      <c r="B2130" s="30" t="s">
        <v>258</v>
      </c>
      <c r="C2130" s="21" t="n">
        <f aca="false">IF(A2130="","",IFERROR(VLOOKUP(A2130,'Recert Status'!$A$8:$C$400,3,FALSE()),""))</f>
        <v>46387</v>
      </c>
      <c r="D2130" s="31" t="s">
        <v>457</v>
      </c>
      <c r="E2130" s="30" t="s">
        <v>416</v>
      </c>
      <c r="F2130" s="32" t="n">
        <v>2</v>
      </c>
      <c r="G2130" s="33" t="n">
        <v>45860</v>
      </c>
      <c r="H2130" s="33" t="n">
        <v>45860</v>
      </c>
      <c r="I2130" s="31" t="s">
        <v>533</v>
      </c>
      <c r="J2130" s="30" t="s">
        <v>416</v>
      </c>
      <c r="K2130" s="31" t="s">
        <v>523</v>
      </c>
      <c r="L2130" s="32" t="n">
        <v>2</v>
      </c>
      <c r="M2130" s="39" t="s">
        <v>413</v>
      </c>
      <c r="N2130" s="31" t="s">
        <v>414</v>
      </c>
      <c r="O2130" s="32" t="n">
        <v>2</v>
      </c>
      <c r="P2130" s="15" t="n">
        <f aca="false">IF(A2130="","",IF(O2130&lt;&gt;"",O2130,IF(L2130&lt;&gt;"",L2130,F2130)))</f>
        <v>2</v>
      </c>
    </row>
    <row r="2131" customFormat="false" ht="15" hidden="false" customHeight="true" outlineLevel="0" collapsed="false">
      <c r="A2131" s="26" t="s">
        <v>257</v>
      </c>
      <c r="B2131" s="26" t="s">
        <v>258</v>
      </c>
      <c r="C2131" s="14" t="n">
        <f aca="false">IF(A2131="","",IFERROR(VLOOKUP(A2131,'Recert Status'!$A$8:$C$400,3,FALSE()),""))</f>
        <v>46387</v>
      </c>
      <c r="D2131" s="18" t="s">
        <v>457</v>
      </c>
      <c r="E2131" s="26" t="s">
        <v>416</v>
      </c>
      <c r="F2131" s="27" t="n">
        <v>2</v>
      </c>
      <c r="G2131" s="28" t="n">
        <v>45861</v>
      </c>
      <c r="H2131" s="28" t="n">
        <v>45861</v>
      </c>
      <c r="I2131" s="18" t="s">
        <v>921</v>
      </c>
      <c r="J2131" s="26" t="s">
        <v>416</v>
      </c>
      <c r="K2131" s="18" t="s">
        <v>418</v>
      </c>
      <c r="L2131" s="27" t="n">
        <v>2</v>
      </c>
      <c r="M2131" s="39" t="s">
        <v>413</v>
      </c>
      <c r="N2131" s="18" t="s">
        <v>414</v>
      </c>
      <c r="O2131" s="27" t="n">
        <v>2</v>
      </c>
      <c r="P2131" s="15" t="n">
        <f aca="false">IF(A2131="","",IF(O2131&lt;&gt;"",O2131,IF(L2131&lt;&gt;"",L2131,F2131)))</f>
        <v>2</v>
      </c>
    </row>
    <row r="2132" customFormat="false" ht="15" hidden="false" customHeight="true" outlineLevel="0" collapsed="false">
      <c r="A2132" s="30" t="s">
        <v>257</v>
      </c>
      <c r="B2132" s="30" t="s">
        <v>258</v>
      </c>
      <c r="C2132" s="21" t="n">
        <f aca="false">IF(A2132="","",IFERROR(VLOOKUP(A2132,'Recert Status'!$A$8:$C$400,3,FALSE()),""))</f>
        <v>46387</v>
      </c>
      <c r="D2132" s="31" t="s">
        <v>582</v>
      </c>
      <c r="E2132" s="30" t="s">
        <v>416</v>
      </c>
      <c r="F2132" s="32" t="n">
        <v>2</v>
      </c>
      <c r="G2132" s="33" t="n">
        <v>45861</v>
      </c>
      <c r="H2132" s="33" t="n">
        <v>45861</v>
      </c>
      <c r="I2132" s="31" t="s">
        <v>583</v>
      </c>
      <c r="J2132" s="30" t="s">
        <v>416</v>
      </c>
      <c r="K2132" s="31" t="s">
        <v>418</v>
      </c>
      <c r="L2132" s="32" t="n">
        <v>2</v>
      </c>
      <c r="M2132" s="39" t="s">
        <v>413</v>
      </c>
      <c r="N2132" s="31" t="s">
        <v>414</v>
      </c>
      <c r="O2132" s="32" t="n">
        <v>2</v>
      </c>
      <c r="P2132" s="15" t="n">
        <f aca="false">IF(A2132="","",IF(O2132&lt;&gt;"",O2132,IF(L2132&lt;&gt;"",L2132,F2132)))</f>
        <v>2</v>
      </c>
    </row>
    <row r="2133" customFormat="false" ht="15" hidden="false" customHeight="true" outlineLevel="0" collapsed="false">
      <c r="A2133" s="26" t="s">
        <v>257</v>
      </c>
      <c r="B2133" s="26" t="s">
        <v>258</v>
      </c>
      <c r="C2133" s="14" t="n">
        <f aca="false">IF(A2133="","",IFERROR(VLOOKUP(A2133,'Recert Status'!$A$8:$C$400,3,FALSE()),""))</f>
        <v>46387</v>
      </c>
      <c r="D2133" s="18" t="s">
        <v>488</v>
      </c>
      <c r="E2133" s="26" t="s">
        <v>416</v>
      </c>
      <c r="F2133" s="27" t="n">
        <v>1</v>
      </c>
      <c r="G2133" s="28" t="n">
        <v>46139</v>
      </c>
      <c r="H2133" s="28" t="n">
        <v>46139</v>
      </c>
      <c r="I2133" s="18" t="s">
        <v>610</v>
      </c>
      <c r="J2133" s="26" t="s">
        <v>416</v>
      </c>
      <c r="K2133" s="18" t="s">
        <v>490</v>
      </c>
      <c r="L2133" s="27" t="n">
        <v>1</v>
      </c>
      <c r="M2133" s="39" t="s">
        <v>413</v>
      </c>
      <c r="N2133" s="18" t="s">
        <v>414</v>
      </c>
      <c r="O2133" s="27" t="n">
        <v>1</v>
      </c>
      <c r="P2133" s="15" t="n">
        <f aca="false">IF(A2133="","",IF(O2133&lt;&gt;"",O2133,IF(L2133&lt;&gt;"",L2133,F2133)))</f>
        <v>1</v>
      </c>
    </row>
    <row r="2134" customFormat="false" ht="15" hidden="false" customHeight="true" outlineLevel="0" collapsed="false">
      <c r="A2134" s="30" t="s">
        <v>259</v>
      </c>
      <c r="B2134" s="30" t="s">
        <v>260</v>
      </c>
      <c r="C2134" s="21" t="n">
        <f aca="false">IF(A2134="","",IFERROR(VLOOKUP(A2134,'Recert Status'!$A$8:$C$400,3,FALSE()),""))</f>
        <v>46752</v>
      </c>
      <c r="D2134" s="31" t="s">
        <v>756</v>
      </c>
      <c r="E2134" s="30" t="s">
        <v>363</v>
      </c>
      <c r="F2134" s="32" t="n">
        <v>1</v>
      </c>
      <c r="G2134" s="33" t="n">
        <v>46165</v>
      </c>
      <c r="H2134" s="33" t="n">
        <v>46165</v>
      </c>
      <c r="I2134" s="31" t="s">
        <v>757</v>
      </c>
      <c r="J2134" s="30" t="s">
        <v>363</v>
      </c>
      <c r="K2134" s="31" t="s">
        <v>365</v>
      </c>
      <c r="L2134" s="32" t="n">
        <v>1</v>
      </c>
      <c r="M2134" s="29" t="s">
        <v>366</v>
      </c>
      <c r="N2134" s="31" t="s">
        <v>367</v>
      </c>
      <c r="O2134" s="32" t="n">
        <v>1</v>
      </c>
      <c r="P2134" s="15" t="n">
        <f aca="false">IF(A2134="","",IF(O2134&lt;&gt;"",O2134,IF(L2134&lt;&gt;"",L2134,F2134)))</f>
        <v>1</v>
      </c>
    </row>
    <row r="2135" customFormat="false" ht="15" hidden="false" customHeight="true" outlineLevel="0" collapsed="false">
      <c r="A2135" s="26" t="s">
        <v>259</v>
      </c>
      <c r="B2135" s="26" t="s">
        <v>260</v>
      </c>
      <c r="C2135" s="14" t="n">
        <f aca="false">IF(A2135="","",IFERROR(VLOOKUP(A2135,'Recert Status'!$A$8:$C$400,3,FALSE()),""))</f>
        <v>46752</v>
      </c>
      <c r="D2135" s="18" t="s">
        <v>1092</v>
      </c>
      <c r="E2135" s="26" t="s">
        <v>363</v>
      </c>
      <c r="F2135" s="27" t="n">
        <v>3</v>
      </c>
      <c r="G2135" s="28" t="n">
        <v>46213</v>
      </c>
      <c r="H2135" s="28" t="n">
        <v>46213</v>
      </c>
      <c r="I2135" s="18" t="s">
        <v>1093</v>
      </c>
      <c r="J2135" s="26" t="s">
        <v>363</v>
      </c>
      <c r="K2135" s="18" t="s">
        <v>1036</v>
      </c>
      <c r="L2135" s="27" t="n">
        <v>3</v>
      </c>
      <c r="M2135" s="29" t="s">
        <v>366</v>
      </c>
      <c r="N2135" s="18" t="s">
        <v>367</v>
      </c>
      <c r="O2135" s="27" t="n">
        <v>3</v>
      </c>
      <c r="P2135" s="15" t="n">
        <f aca="false">IF(A2135="","",IF(O2135&lt;&gt;"",O2135,IF(L2135&lt;&gt;"",L2135,F2135)))</f>
        <v>3</v>
      </c>
    </row>
    <row r="2136" customFormat="false" ht="15" hidden="false" customHeight="true" outlineLevel="0" collapsed="false">
      <c r="A2136" s="30" t="s">
        <v>259</v>
      </c>
      <c r="B2136" s="30" t="s">
        <v>260</v>
      </c>
      <c r="C2136" s="21" t="n">
        <f aca="false">IF(A2136="","",IFERROR(VLOOKUP(A2136,'Recert Status'!$A$8:$C$400,3,FALSE()),""))</f>
        <v>46752</v>
      </c>
      <c r="D2136" s="31" t="s">
        <v>367</v>
      </c>
      <c r="E2136" s="30" t="s">
        <v>363</v>
      </c>
      <c r="F2136" s="32" t="n">
        <v>1</v>
      </c>
      <c r="G2136" s="33" t="n">
        <v>46228</v>
      </c>
      <c r="H2136" s="33" t="n">
        <v>46228</v>
      </c>
      <c r="I2136" s="31" t="s">
        <v>758</v>
      </c>
      <c r="J2136" s="30" t="s">
        <v>363</v>
      </c>
      <c r="K2136" s="31" t="s">
        <v>370</v>
      </c>
      <c r="L2136" s="32" t="n">
        <v>1</v>
      </c>
      <c r="M2136" s="29" t="s">
        <v>366</v>
      </c>
      <c r="N2136" s="31" t="s">
        <v>367</v>
      </c>
      <c r="O2136" s="32" t="n">
        <v>1</v>
      </c>
      <c r="P2136" s="15" t="n">
        <f aca="false">IF(A2136="","",IF(O2136&lt;&gt;"",O2136,IF(L2136&lt;&gt;"",L2136,F2136)))</f>
        <v>1</v>
      </c>
    </row>
    <row r="2137" customFormat="false" ht="15" hidden="false" customHeight="true" outlineLevel="0" collapsed="false">
      <c r="A2137" s="26" t="s">
        <v>259</v>
      </c>
      <c r="B2137" s="26" t="s">
        <v>260</v>
      </c>
      <c r="C2137" s="14" t="n">
        <f aca="false">IF(A2137="","",IFERROR(VLOOKUP(A2137,'Recert Status'!$A$8:$C$400,3,FALSE()),""))</f>
        <v>46752</v>
      </c>
      <c r="D2137" s="18" t="s">
        <v>466</v>
      </c>
      <c r="E2137" s="26" t="n">
        <v>29784</v>
      </c>
      <c r="F2137" s="27" t="n">
        <v>0.5</v>
      </c>
      <c r="G2137" s="28" t="n">
        <v>45691</v>
      </c>
      <c r="H2137" s="28" t="n">
        <v>45691</v>
      </c>
      <c r="I2137" s="18" t="s">
        <v>467</v>
      </c>
      <c r="J2137" s="26" t="s">
        <v>435</v>
      </c>
      <c r="K2137" s="18" t="s">
        <v>468</v>
      </c>
      <c r="L2137" s="27" t="n">
        <v>0.5</v>
      </c>
      <c r="M2137" s="35" t="s">
        <v>386</v>
      </c>
      <c r="N2137" s="18" t="s">
        <v>387</v>
      </c>
      <c r="O2137" s="27" t="n">
        <v>0.5</v>
      </c>
      <c r="P2137" s="15" t="n">
        <f aca="false">IF(A2137="","",IF(O2137&lt;&gt;"",O2137,IF(L2137&lt;&gt;"",L2137,F2137)))</f>
        <v>0.5</v>
      </c>
    </row>
    <row r="2138" customFormat="false" ht="15" hidden="false" customHeight="true" outlineLevel="0" collapsed="false">
      <c r="A2138" s="30" t="s">
        <v>259</v>
      </c>
      <c r="B2138" s="30" t="s">
        <v>260</v>
      </c>
      <c r="C2138" s="21" t="n">
        <f aca="false">IF(A2138="","",IFERROR(VLOOKUP(A2138,'Recert Status'!$A$8:$C$400,3,FALSE()),""))</f>
        <v>46752</v>
      </c>
      <c r="D2138" s="31" t="s">
        <v>469</v>
      </c>
      <c r="E2138" s="30" t="n">
        <v>29737</v>
      </c>
      <c r="F2138" s="32" t="n">
        <v>0.5</v>
      </c>
      <c r="G2138" s="33" t="n">
        <v>45841</v>
      </c>
      <c r="H2138" s="33" t="n">
        <v>45841</v>
      </c>
      <c r="I2138" s="31" t="s">
        <v>470</v>
      </c>
      <c r="J2138" s="30" t="s">
        <v>411</v>
      </c>
      <c r="K2138" s="31" t="s">
        <v>412</v>
      </c>
      <c r="L2138" s="32" t="n">
        <v>0.5</v>
      </c>
      <c r="M2138" s="35" t="s">
        <v>386</v>
      </c>
      <c r="N2138" s="31" t="s">
        <v>387</v>
      </c>
      <c r="O2138" s="32" t="n">
        <v>0.5</v>
      </c>
      <c r="P2138" s="15" t="n">
        <f aca="false">IF(A2138="","",IF(O2138&lt;&gt;"",O2138,IF(L2138&lt;&gt;"",L2138,F2138)))</f>
        <v>0.5</v>
      </c>
    </row>
    <row r="2139" customFormat="false" ht="15" hidden="false" customHeight="true" outlineLevel="0" collapsed="false">
      <c r="A2139" s="26" t="s">
        <v>259</v>
      </c>
      <c r="B2139" s="26" t="s">
        <v>260</v>
      </c>
      <c r="C2139" s="14" t="n">
        <f aca="false">IF(A2139="","",IFERROR(VLOOKUP(A2139,'Recert Status'!$A$8:$C$400,3,FALSE()),""))</f>
        <v>46752</v>
      </c>
      <c r="D2139" s="18" t="s">
        <v>1289</v>
      </c>
      <c r="E2139" s="26" t="n">
        <v>29675</v>
      </c>
      <c r="F2139" s="27" t="n">
        <v>4</v>
      </c>
      <c r="G2139" s="28" t="n">
        <v>45986</v>
      </c>
      <c r="H2139" s="28" t="n">
        <v>45986</v>
      </c>
      <c r="I2139" s="18" t="s">
        <v>1074</v>
      </c>
      <c r="J2139" s="26" t="s">
        <v>406</v>
      </c>
      <c r="K2139" s="18" t="s">
        <v>446</v>
      </c>
      <c r="L2139" s="27" t="n">
        <v>1</v>
      </c>
      <c r="M2139" s="35" t="s">
        <v>386</v>
      </c>
      <c r="N2139" s="18" t="s">
        <v>387</v>
      </c>
      <c r="O2139" s="27" t="n">
        <v>1</v>
      </c>
      <c r="P2139" s="15" t="n">
        <f aca="false">IF(A2139="","",IF(O2139&lt;&gt;"",O2139,IF(L2139&lt;&gt;"",L2139,F2139)))</f>
        <v>1</v>
      </c>
    </row>
    <row r="2140" customFormat="false" ht="15" hidden="false" customHeight="true" outlineLevel="0" collapsed="false">
      <c r="A2140" s="30" t="s">
        <v>259</v>
      </c>
      <c r="B2140" s="30" t="s">
        <v>260</v>
      </c>
      <c r="C2140" s="21" t="n">
        <f aca="false">IF(A2140="","",IFERROR(VLOOKUP(A2140,'Recert Status'!$A$8:$C$400,3,FALSE()),""))</f>
        <v>46752</v>
      </c>
      <c r="D2140" s="31" t="s">
        <v>773</v>
      </c>
      <c r="E2140" s="30" t="s">
        <v>389</v>
      </c>
      <c r="F2140" s="32" t="n">
        <v>1</v>
      </c>
      <c r="G2140" s="33" t="n">
        <v>46165</v>
      </c>
      <c r="H2140" s="33" t="n">
        <v>46165</v>
      </c>
      <c r="I2140" s="31" t="s">
        <v>774</v>
      </c>
      <c r="J2140" s="30" t="s">
        <v>389</v>
      </c>
      <c r="K2140" s="31" t="s">
        <v>395</v>
      </c>
      <c r="L2140" s="32" t="n">
        <v>1</v>
      </c>
      <c r="M2140" s="35" t="s">
        <v>386</v>
      </c>
      <c r="N2140" s="31" t="s">
        <v>387</v>
      </c>
      <c r="O2140" s="32" t="n">
        <v>1</v>
      </c>
      <c r="P2140" s="15" t="n">
        <f aca="false">IF(A2140="","",IF(O2140&lt;&gt;"",O2140,IF(L2140&lt;&gt;"",L2140,F2140)))</f>
        <v>1</v>
      </c>
    </row>
    <row r="2141" customFormat="false" ht="15" hidden="false" customHeight="true" outlineLevel="0" collapsed="false">
      <c r="A2141" s="26" t="s">
        <v>259</v>
      </c>
      <c r="B2141" s="26" t="s">
        <v>260</v>
      </c>
      <c r="C2141" s="14" t="n">
        <f aca="false">IF(A2141="","",IFERROR(VLOOKUP(A2141,'Recert Status'!$A$8:$C$400,3,FALSE()),""))</f>
        <v>46752</v>
      </c>
      <c r="D2141" s="18" t="s">
        <v>474</v>
      </c>
      <c r="E2141" s="26" t="s">
        <v>389</v>
      </c>
      <c r="F2141" s="27" t="n">
        <v>1</v>
      </c>
      <c r="G2141" s="28" t="n">
        <v>46204</v>
      </c>
      <c r="H2141" s="28" t="n">
        <v>46204</v>
      </c>
      <c r="I2141" s="18" t="s">
        <v>475</v>
      </c>
      <c r="J2141" s="26" t="s">
        <v>389</v>
      </c>
      <c r="K2141" s="18" t="s">
        <v>476</v>
      </c>
      <c r="L2141" s="27" t="n">
        <v>1</v>
      </c>
      <c r="M2141" s="35" t="s">
        <v>386</v>
      </c>
      <c r="N2141" s="18" t="s">
        <v>387</v>
      </c>
      <c r="O2141" s="27" t="n">
        <v>1</v>
      </c>
      <c r="P2141" s="15" t="n">
        <f aca="false">IF(A2141="","",IF(O2141&lt;&gt;"",O2141,IF(L2141&lt;&gt;"",L2141,F2141)))</f>
        <v>1</v>
      </c>
    </row>
    <row r="2142" customFormat="false" ht="15" hidden="false" customHeight="true" outlineLevel="0" collapsed="false">
      <c r="A2142" s="30" t="s">
        <v>259</v>
      </c>
      <c r="B2142" s="30" t="s">
        <v>260</v>
      </c>
      <c r="C2142" s="21" t="n">
        <f aca="false">IF(A2142="","",IFERROR(VLOOKUP(A2142,'Recert Status'!$A$8:$C$400,3,FALSE()),""))</f>
        <v>46752</v>
      </c>
      <c r="D2142" s="31" t="s">
        <v>397</v>
      </c>
      <c r="E2142" s="30" t="s">
        <v>452</v>
      </c>
      <c r="F2142" s="32" t="n">
        <v>1</v>
      </c>
      <c r="G2142" s="33" t="n">
        <v>46244</v>
      </c>
      <c r="H2142" s="33" t="n">
        <v>46244</v>
      </c>
      <c r="I2142" s="31" t="s">
        <v>453</v>
      </c>
      <c r="J2142" s="30" t="s">
        <v>452</v>
      </c>
      <c r="K2142" s="31" t="s">
        <v>385</v>
      </c>
      <c r="L2142" s="32" t="n">
        <v>1</v>
      </c>
      <c r="M2142" s="36" t="s">
        <v>396</v>
      </c>
      <c r="N2142" s="31" t="s">
        <v>397</v>
      </c>
      <c r="O2142" s="32" t="n">
        <v>1</v>
      </c>
      <c r="P2142" s="15" t="n">
        <f aca="false">IF(A2142="","",IF(O2142&lt;&gt;"",O2142,IF(L2142&lt;&gt;"",L2142,F2142)))</f>
        <v>1</v>
      </c>
    </row>
    <row r="2143" customFormat="false" ht="15" hidden="false" customHeight="true" outlineLevel="0" collapsed="false">
      <c r="A2143" s="26" t="s">
        <v>259</v>
      </c>
      <c r="B2143" s="26" t="s">
        <v>260</v>
      </c>
      <c r="C2143" s="14" t="n">
        <f aca="false">IF(A2143="","",IFERROR(VLOOKUP(A2143,'Recert Status'!$A$8:$C$400,3,FALSE()),""))</f>
        <v>46752</v>
      </c>
      <c r="D2143" s="18" t="s">
        <v>397</v>
      </c>
      <c r="E2143" s="26" t="s">
        <v>452</v>
      </c>
      <c r="F2143" s="27" t="n">
        <v>1</v>
      </c>
      <c r="G2143" s="28" t="n">
        <v>46246</v>
      </c>
      <c r="H2143" s="28" t="n">
        <v>46246</v>
      </c>
      <c r="I2143" s="18" t="s">
        <v>478</v>
      </c>
      <c r="J2143" s="26" t="s">
        <v>452</v>
      </c>
      <c r="K2143" s="18" t="s">
        <v>385</v>
      </c>
      <c r="L2143" s="27" t="n">
        <v>1</v>
      </c>
      <c r="M2143" s="36" t="s">
        <v>396</v>
      </c>
      <c r="N2143" s="18" t="s">
        <v>397</v>
      </c>
      <c r="O2143" s="27" t="n">
        <v>1</v>
      </c>
      <c r="P2143" s="15" t="n">
        <f aca="false">IF(A2143="","",IF(O2143&lt;&gt;"",O2143,IF(L2143&lt;&gt;"",L2143,F2143)))</f>
        <v>1</v>
      </c>
    </row>
    <row r="2144" customFormat="false" ht="15" hidden="false" customHeight="true" outlineLevel="0" collapsed="false">
      <c r="A2144" s="30" t="s">
        <v>259</v>
      </c>
      <c r="B2144" s="30" t="s">
        <v>260</v>
      </c>
      <c r="C2144" s="21" t="n">
        <f aca="false">IF(A2144="","",IFERROR(VLOOKUP(A2144,'Recert Status'!$A$8:$C$400,3,FALSE()),""))</f>
        <v>46752</v>
      </c>
      <c r="D2144" s="31" t="s">
        <v>717</v>
      </c>
      <c r="E2144" s="30" t="s">
        <v>416</v>
      </c>
      <c r="F2144" s="32" t="n">
        <v>1</v>
      </c>
      <c r="G2144" s="33" t="n">
        <v>45826</v>
      </c>
      <c r="H2144" s="33" t="n">
        <v>45826</v>
      </c>
      <c r="I2144" s="31" t="s">
        <v>747</v>
      </c>
      <c r="J2144" s="30" t="s">
        <v>416</v>
      </c>
      <c r="K2144" s="31" t="s">
        <v>418</v>
      </c>
      <c r="L2144" s="32" t="n">
        <v>1</v>
      </c>
      <c r="M2144" s="39" t="s">
        <v>413</v>
      </c>
      <c r="N2144" s="31" t="s">
        <v>414</v>
      </c>
      <c r="O2144" s="32" t="n">
        <v>1</v>
      </c>
      <c r="P2144" s="15" t="n">
        <f aca="false">IF(A2144="","",IF(O2144&lt;&gt;"",O2144,IF(L2144&lt;&gt;"",L2144,F2144)))</f>
        <v>1</v>
      </c>
    </row>
    <row r="2145" customFormat="false" ht="15" hidden="false" customHeight="true" outlineLevel="0" collapsed="false">
      <c r="A2145" s="26" t="s">
        <v>259</v>
      </c>
      <c r="B2145" s="26" t="s">
        <v>260</v>
      </c>
      <c r="C2145" s="14" t="n">
        <f aca="false">IF(A2145="","",IFERROR(VLOOKUP(A2145,'Recert Status'!$A$8:$C$400,3,FALSE()),""))</f>
        <v>46752</v>
      </c>
      <c r="D2145" s="18" t="s">
        <v>486</v>
      </c>
      <c r="E2145" s="26" t="s">
        <v>416</v>
      </c>
      <c r="F2145" s="27" t="n">
        <v>2</v>
      </c>
      <c r="G2145" s="28" t="n">
        <v>45859</v>
      </c>
      <c r="H2145" s="28" t="n">
        <v>45859</v>
      </c>
      <c r="I2145" s="18" t="s">
        <v>487</v>
      </c>
      <c r="J2145" s="26" t="s">
        <v>416</v>
      </c>
      <c r="K2145" s="18" t="s">
        <v>418</v>
      </c>
      <c r="L2145" s="27" t="n">
        <v>2</v>
      </c>
      <c r="M2145" s="39" t="s">
        <v>413</v>
      </c>
      <c r="N2145" s="18" t="s">
        <v>414</v>
      </c>
      <c r="O2145" s="27" t="n">
        <v>2</v>
      </c>
      <c r="P2145" s="15" t="n">
        <f aca="false">IF(A2145="","",IF(O2145&lt;&gt;"",O2145,IF(L2145&lt;&gt;"",L2145,F2145)))</f>
        <v>2</v>
      </c>
    </row>
    <row r="2146" customFormat="false" ht="15" hidden="false" customHeight="true" outlineLevel="0" collapsed="false">
      <c r="A2146" s="30" t="s">
        <v>259</v>
      </c>
      <c r="B2146" s="30" t="s">
        <v>260</v>
      </c>
      <c r="C2146" s="21" t="n">
        <f aca="false">IF(A2146="","",IFERROR(VLOOKUP(A2146,'Recert Status'!$A$8:$C$400,3,FALSE()),""))</f>
        <v>46752</v>
      </c>
      <c r="D2146" s="31" t="s">
        <v>488</v>
      </c>
      <c r="E2146" s="30" t="s">
        <v>416</v>
      </c>
      <c r="F2146" s="32" t="n">
        <v>1</v>
      </c>
      <c r="G2146" s="33" t="n">
        <v>46126</v>
      </c>
      <c r="H2146" s="33" t="n">
        <v>46126</v>
      </c>
      <c r="I2146" s="31" t="s">
        <v>489</v>
      </c>
      <c r="J2146" s="30" t="s">
        <v>416</v>
      </c>
      <c r="K2146" s="31" t="s">
        <v>490</v>
      </c>
      <c r="L2146" s="32" t="n">
        <v>1</v>
      </c>
      <c r="M2146" s="39" t="s">
        <v>413</v>
      </c>
      <c r="N2146" s="31" t="s">
        <v>414</v>
      </c>
      <c r="O2146" s="32" t="n">
        <v>1</v>
      </c>
      <c r="P2146" s="15" t="n">
        <f aca="false">IF(A2146="","",IF(O2146&lt;&gt;"",O2146,IF(L2146&lt;&gt;"",L2146,F2146)))</f>
        <v>1</v>
      </c>
    </row>
    <row r="2147" customFormat="false" ht="15" hidden="false" customHeight="true" outlineLevel="0" collapsed="false">
      <c r="A2147" s="26" t="s">
        <v>259</v>
      </c>
      <c r="B2147" s="26" t="s">
        <v>260</v>
      </c>
      <c r="C2147" s="14" t="n">
        <f aca="false">IF(A2147="","",IFERROR(VLOOKUP(A2147,'Recert Status'!$A$8:$C$400,3,FALSE()),""))</f>
        <v>46752</v>
      </c>
      <c r="D2147" s="18" t="s">
        <v>414</v>
      </c>
      <c r="E2147" s="26" t="s">
        <v>416</v>
      </c>
      <c r="F2147" s="27" t="n">
        <v>2</v>
      </c>
      <c r="G2147" s="28" t="n">
        <v>46219</v>
      </c>
      <c r="H2147" s="28" t="n">
        <v>46219</v>
      </c>
      <c r="I2147" s="18" t="s">
        <v>567</v>
      </c>
      <c r="J2147" s="26" t="s">
        <v>416</v>
      </c>
      <c r="K2147" s="18" t="s">
        <v>418</v>
      </c>
      <c r="L2147" s="27" t="n">
        <v>2</v>
      </c>
      <c r="M2147" s="39" t="s">
        <v>413</v>
      </c>
      <c r="N2147" s="18" t="s">
        <v>414</v>
      </c>
      <c r="O2147" s="27" t="n">
        <v>2</v>
      </c>
      <c r="P2147" s="15" t="n">
        <f aca="false">IF(A2147="","",IF(O2147&lt;&gt;"",O2147,IF(L2147&lt;&gt;"",L2147,F2147)))</f>
        <v>2</v>
      </c>
    </row>
    <row r="2148" customFormat="false" ht="15" hidden="false" customHeight="true" outlineLevel="0" collapsed="false">
      <c r="A2148" s="30" t="s">
        <v>261</v>
      </c>
      <c r="B2148" s="30" t="s">
        <v>262</v>
      </c>
      <c r="C2148" s="21" t="n">
        <f aca="false">IF(A2148="","",IFERROR(VLOOKUP(A2148,'Recert Status'!$A$8:$C$400,3,FALSE()),""))</f>
        <v>46752</v>
      </c>
      <c r="D2148" s="31" t="s">
        <v>1090</v>
      </c>
      <c r="E2148" s="30" t="s">
        <v>363</v>
      </c>
      <c r="F2148" s="32" t="n">
        <v>1</v>
      </c>
      <c r="G2148" s="33" t="n">
        <v>45726</v>
      </c>
      <c r="H2148" s="33" t="n">
        <v>45726</v>
      </c>
      <c r="I2148" s="31" t="s">
        <v>1091</v>
      </c>
      <c r="J2148" s="30" t="s">
        <v>363</v>
      </c>
      <c r="K2148" s="31" t="s">
        <v>365</v>
      </c>
      <c r="L2148" s="32" t="n">
        <v>1</v>
      </c>
      <c r="M2148" s="29" t="s">
        <v>366</v>
      </c>
      <c r="N2148" s="31" t="s">
        <v>367</v>
      </c>
      <c r="O2148" s="32" t="n">
        <v>1</v>
      </c>
      <c r="P2148" s="15" t="n">
        <f aca="false">IF(A2148="","",IF(O2148&lt;&gt;"",O2148,IF(L2148&lt;&gt;"",L2148,F2148)))</f>
        <v>1</v>
      </c>
    </row>
    <row r="2149" customFormat="false" ht="15" hidden="false" customHeight="true" outlineLevel="0" collapsed="false">
      <c r="A2149" s="26" t="s">
        <v>261</v>
      </c>
      <c r="B2149" s="26" t="s">
        <v>262</v>
      </c>
      <c r="C2149" s="14" t="n">
        <f aca="false">IF(A2149="","",IFERROR(VLOOKUP(A2149,'Recert Status'!$A$8:$C$400,3,FALSE()),""))</f>
        <v>46752</v>
      </c>
      <c r="D2149" s="18" t="s">
        <v>623</v>
      </c>
      <c r="E2149" s="26" t="s">
        <v>363</v>
      </c>
      <c r="F2149" s="27" t="n">
        <v>0.5</v>
      </c>
      <c r="G2149" s="28" t="n">
        <v>45783</v>
      </c>
      <c r="H2149" s="28" t="n">
        <v>45783</v>
      </c>
      <c r="I2149" s="18" t="s">
        <v>624</v>
      </c>
      <c r="J2149" s="26" t="s">
        <v>363</v>
      </c>
      <c r="K2149" s="18" t="s">
        <v>365</v>
      </c>
      <c r="L2149" s="27" t="n">
        <v>0.5</v>
      </c>
      <c r="M2149" s="29" t="s">
        <v>366</v>
      </c>
      <c r="N2149" s="18" t="s">
        <v>367</v>
      </c>
      <c r="O2149" s="27" t="n">
        <v>0.5</v>
      </c>
      <c r="P2149" s="15" t="n">
        <f aca="false">IF(A2149="","",IF(O2149&lt;&gt;"",O2149,IF(L2149&lt;&gt;"",L2149,F2149)))</f>
        <v>0.5</v>
      </c>
    </row>
    <row r="2150" customFormat="false" ht="15" hidden="false" customHeight="true" outlineLevel="0" collapsed="false">
      <c r="A2150" s="30" t="s">
        <v>261</v>
      </c>
      <c r="B2150" s="30" t="s">
        <v>262</v>
      </c>
      <c r="C2150" s="21" t="n">
        <f aca="false">IF(A2150="","",IFERROR(VLOOKUP(A2150,'Recert Status'!$A$8:$C$400,3,FALSE()),""))</f>
        <v>46752</v>
      </c>
      <c r="D2150" s="31" t="s">
        <v>1022</v>
      </c>
      <c r="E2150" s="30" t="s">
        <v>426</v>
      </c>
      <c r="F2150" s="32" t="n">
        <v>0.5</v>
      </c>
      <c r="G2150" s="33" t="n">
        <v>45810</v>
      </c>
      <c r="H2150" s="33" t="n">
        <v>45810</v>
      </c>
      <c r="I2150" s="31" t="s">
        <v>1023</v>
      </c>
      <c r="J2150" s="30" t="s">
        <v>426</v>
      </c>
      <c r="K2150" s="31" t="s">
        <v>428</v>
      </c>
      <c r="L2150" s="32" t="n">
        <v>0.5</v>
      </c>
      <c r="M2150" s="41" t="s">
        <v>429</v>
      </c>
      <c r="N2150" s="31" t="s">
        <v>430</v>
      </c>
      <c r="O2150" s="32" t="n">
        <v>0.5</v>
      </c>
      <c r="P2150" s="15" t="n">
        <f aca="false">IF(A2150="","",IF(O2150&lt;&gt;"",O2150,IF(L2150&lt;&gt;"",L2150,F2150)))</f>
        <v>0.5</v>
      </c>
    </row>
    <row r="2151" customFormat="false" ht="15" hidden="false" customHeight="true" outlineLevel="0" collapsed="false">
      <c r="A2151" s="26" t="s">
        <v>261</v>
      </c>
      <c r="B2151" s="26" t="s">
        <v>262</v>
      </c>
      <c r="C2151" s="14" t="n">
        <f aca="false">IF(A2151="","",IFERROR(VLOOKUP(A2151,'Recert Status'!$A$8:$C$400,3,FALSE()),""))</f>
        <v>46752</v>
      </c>
      <c r="D2151" s="18" t="s">
        <v>430</v>
      </c>
      <c r="E2151" s="26" t="s">
        <v>426</v>
      </c>
      <c r="F2151" s="27" t="n">
        <v>2</v>
      </c>
      <c r="G2151" s="28" t="n">
        <v>46215</v>
      </c>
      <c r="H2151" s="28" t="n">
        <v>46215</v>
      </c>
      <c r="I2151" s="18" t="s">
        <v>1095</v>
      </c>
      <c r="J2151" s="26" t="s">
        <v>426</v>
      </c>
      <c r="K2151" s="18" t="s">
        <v>428</v>
      </c>
      <c r="L2151" s="27" t="n">
        <v>2</v>
      </c>
      <c r="M2151" s="41" t="s">
        <v>429</v>
      </c>
      <c r="N2151" s="18" t="s">
        <v>430</v>
      </c>
      <c r="O2151" s="27" t="n">
        <v>2</v>
      </c>
      <c r="P2151" s="15" t="n">
        <f aca="false">IF(A2151="","",IF(O2151&lt;&gt;"",O2151,IF(L2151&lt;&gt;"",L2151,F2151)))</f>
        <v>2</v>
      </c>
    </row>
    <row r="2152" customFormat="false" ht="15" hidden="false" customHeight="true" outlineLevel="0" collapsed="false">
      <c r="A2152" s="30" t="s">
        <v>261</v>
      </c>
      <c r="B2152" s="30" t="s">
        <v>262</v>
      </c>
      <c r="C2152" s="21" t="n">
        <f aca="false">IF(A2152="","",IFERROR(VLOOKUP(A2152,'Recert Status'!$A$8:$C$400,3,FALSE()),""))</f>
        <v>46752</v>
      </c>
      <c r="D2152" s="31" t="s">
        <v>644</v>
      </c>
      <c r="E2152" s="30" t="n">
        <v>29743</v>
      </c>
      <c r="F2152" s="32" t="n">
        <v>1</v>
      </c>
      <c r="G2152" s="33" t="n">
        <v>45777</v>
      </c>
      <c r="H2152" s="33" t="n">
        <v>45777</v>
      </c>
      <c r="I2152" s="31" t="s">
        <v>645</v>
      </c>
      <c r="J2152" s="30" t="s">
        <v>439</v>
      </c>
      <c r="K2152" s="31" t="s">
        <v>646</v>
      </c>
      <c r="L2152" s="32" t="n">
        <v>1</v>
      </c>
      <c r="M2152" s="35" t="s">
        <v>386</v>
      </c>
      <c r="N2152" s="31" t="s">
        <v>387</v>
      </c>
      <c r="O2152" s="32" t="n">
        <v>1</v>
      </c>
      <c r="P2152" s="15" t="n">
        <f aca="false">IF(A2152="","",IF(O2152&lt;&gt;"",O2152,IF(L2152&lt;&gt;"",L2152,F2152)))</f>
        <v>1</v>
      </c>
    </row>
    <row r="2153" customFormat="false" ht="15" hidden="false" customHeight="true" outlineLevel="0" collapsed="false">
      <c r="A2153" s="26" t="s">
        <v>261</v>
      </c>
      <c r="B2153" s="26" t="s">
        <v>262</v>
      </c>
      <c r="C2153" s="14" t="n">
        <f aca="false">IF(A2153="","",IFERROR(VLOOKUP(A2153,'Recert Status'!$A$8:$C$400,3,FALSE()),""))</f>
        <v>46752</v>
      </c>
      <c r="D2153" s="18" t="s">
        <v>989</v>
      </c>
      <c r="E2153" s="26" t="n">
        <v>29784</v>
      </c>
      <c r="F2153" s="27" t="n">
        <v>1</v>
      </c>
      <c r="G2153" s="28" t="n">
        <v>45929</v>
      </c>
      <c r="H2153" s="28" t="n">
        <v>45929</v>
      </c>
      <c r="I2153" s="18" t="s">
        <v>990</v>
      </c>
      <c r="J2153" s="26" t="s">
        <v>435</v>
      </c>
      <c r="K2153" s="18" t="s">
        <v>468</v>
      </c>
      <c r="L2153" s="27" t="n">
        <v>1</v>
      </c>
      <c r="M2153" s="35" t="s">
        <v>386</v>
      </c>
      <c r="N2153" s="18" t="s">
        <v>387</v>
      </c>
      <c r="O2153" s="27" t="n">
        <v>1</v>
      </c>
      <c r="P2153" s="15" t="n">
        <f aca="false">IF(A2153="","",IF(O2153&lt;&gt;"",O2153,IF(L2153&lt;&gt;"",L2153,F2153)))</f>
        <v>1</v>
      </c>
    </row>
    <row r="2154" customFormat="false" ht="15" hidden="false" customHeight="true" outlineLevel="0" collapsed="false">
      <c r="A2154" s="30" t="s">
        <v>261</v>
      </c>
      <c r="B2154" s="30" t="s">
        <v>262</v>
      </c>
      <c r="C2154" s="21" t="n">
        <f aca="false">IF(A2154="","",IFERROR(VLOOKUP(A2154,'Recert Status'!$A$8:$C$400,3,FALSE()),""))</f>
        <v>46752</v>
      </c>
      <c r="D2154" s="31" t="s">
        <v>591</v>
      </c>
      <c r="E2154" s="30" t="n">
        <v>57435</v>
      </c>
      <c r="F2154" s="32" t="n">
        <v>0.5</v>
      </c>
      <c r="G2154" s="33" t="n">
        <v>45985</v>
      </c>
      <c r="H2154" s="33" t="n">
        <v>45985</v>
      </c>
      <c r="I2154" s="31" t="s">
        <v>592</v>
      </c>
      <c r="J2154" s="30" t="s">
        <v>593</v>
      </c>
      <c r="K2154" s="31" t="s">
        <v>446</v>
      </c>
      <c r="L2154" s="32" t="n">
        <v>0.5</v>
      </c>
      <c r="M2154" s="35" t="s">
        <v>386</v>
      </c>
      <c r="N2154" s="31" t="s">
        <v>387</v>
      </c>
      <c r="O2154" s="32" t="n">
        <v>0.5</v>
      </c>
      <c r="P2154" s="15" t="n">
        <f aca="false">IF(A2154="","",IF(O2154&lt;&gt;"",O2154,IF(L2154&lt;&gt;"",L2154,F2154)))</f>
        <v>0.5</v>
      </c>
    </row>
    <row r="2155" customFormat="false" ht="15" hidden="false" customHeight="true" outlineLevel="0" collapsed="false">
      <c r="A2155" s="26" t="s">
        <v>261</v>
      </c>
      <c r="B2155" s="26" t="s">
        <v>262</v>
      </c>
      <c r="C2155" s="14" t="n">
        <f aca="false">IF(A2155="","",IFERROR(VLOOKUP(A2155,'Recert Status'!$A$8:$C$400,3,FALSE()),""))</f>
        <v>46752</v>
      </c>
      <c r="D2155" s="18" t="s">
        <v>388</v>
      </c>
      <c r="E2155" s="26" t="s">
        <v>389</v>
      </c>
      <c r="F2155" s="27" t="n">
        <v>3</v>
      </c>
      <c r="G2155" s="28" t="n">
        <v>46083</v>
      </c>
      <c r="H2155" s="28" t="n">
        <v>46083</v>
      </c>
      <c r="I2155" s="18" t="s">
        <v>685</v>
      </c>
      <c r="J2155" s="26" t="s">
        <v>389</v>
      </c>
      <c r="K2155" s="18" t="s">
        <v>686</v>
      </c>
      <c r="L2155" s="27" t="n">
        <v>3</v>
      </c>
      <c r="M2155" s="35" t="s">
        <v>386</v>
      </c>
      <c r="N2155" s="18" t="s">
        <v>387</v>
      </c>
      <c r="O2155" s="27" t="n">
        <v>3</v>
      </c>
      <c r="P2155" s="15" t="n">
        <f aca="false">IF(A2155="","",IF(O2155&lt;&gt;"",O2155,IF(L2155&lt;&gt;"",L2155,F2155)))</f>
        <v>3</v>
      </c>
    </row>
    <row r="2156" customFormat="false" ht="15" hidden="false" customHeight="true" outlineLevel="0" collapsed="false">
      <c r="A2156" s="30" t="s">
        <v>261</v>
      </c>
      <c r="B2156" s="30" t="s">
        <v>262</v>
      </c>
      <c r="C2156" s="21" t="n">
        <f aca="false">IF(A2156="","",IFERROR(VLOOKUP(A2156,'Recert Status'!$A$8:$C$400,3,FALSE()),""))</f>
        <v>46752</v>
      </c>
      <c r="D2156" s="31" t="s">
        <v>387</v>
      </c>
      <c r="E2156" s="30" t="s">
        <v>389</v>
      </c>
      <c r="F2156" s="32" t="n">
        <v>1</v>
      </c>
      <c r="G2156" s="33" t="n">
        <v>46230</v>
      </c>
      <c r="H2156" s="33" t="n">
        <v>46230</v>
      </c>
      <c r="I2156" s="31" t="s">
        <v>991</v>
      </c>
      <c r="J2156" s="30" t="s">
        <v>389</v>
      </c>
      <c r="K2156" s="31" t="s">
        <v>451</v>
      </c>
      <c r="L2156" s="32" t="n">
        <v>1</v>
      </c>
      <c r="M2156" s="35" t="s">
        <v>386</v>
      </c>
      <c r="N2156" s="31" t="s">
        <v>387</v>
      </c>
      <c r="O2156" s="32" t="n">
        <v>1</v>
      </c>
      <c r="P2156" s="15" t="n">
        <f aca="false">IF(A2156="","",IF(O2156&lt;&gt;"",O2156,IF(L2156&lt;&gt;"",L2156,F2156)))</f>
        <v>1</v>
      </c>
    </row>
    <row r="2157" customFormat="false" ht="15" hidden="false" customHeight="true" outlineLevel="0" collapsed="false">
      <c r="A2157" s="26" t="s">
        <v>261</v>
      </c>
      <c r="B2157" s="26" t="s">
        <v>262</v>
      </c>
      <c r="C2157" s="14" t="n">
        <f aca="false">IF(A2157="","",IFERROR(VLOOKUP(A2157,'Recert Status'!$A$8:$C$400,3,FALSE()),""))</f>
        <v>46752</v>
      </c>
      <c r="D2157" s="18" t="s">
        <v>595</v>
      </c>
      <c r="E2157" s="26" t="n">
        <v>57394</v>
      </c>
      <c r="F2157" s="27" t="n">
        <v>1</v>
      </c>
      <c r="G2157" s="28" t="n">
        <v>45946</v>
      </c>
      <c r="H2157" s="28" t="n">
        <v>45946</v>
      </c>
      <c r="I2157" s="18" t="s">
        <v>596</v>
      </c>
      <c r="J2157" s="26" t="s">
        <v>503</v>
      </c>
      <c r="K2157" s="18" t="s">
        <v>385</v>
      </c>
      <c r="L2157" s="27" t="n">
        <v>1</v>
      </c>
      <c r="M2157" s="36" t="s">
        <v>396</v>
      </c>
      <c r="N2157" s="18" t="s">
        <v>397</v>
      </c>
      <c r="O2157" s="27" t="n">
        <v>1</v>
      </c>
      <c r="P2157" s="15" t="n">
        <f aca="false">IF(A2157="","",IF(O2157&lt;&gt;"",O2157,IF(L2157&lt;&gt;"",L2157,F2157)))</f>
        <v>1</v>
      </c>
    </row>
    <row r="2158" customFormat="false" ht="15" hidden="false" customHeight="true" outlineLevel="0" collapsed="false">
      <c r="A2158" s="30" t="s">
        <v>261</v>
      </c>
      <c r="B2158" s="30" t="s">
        <v>262</v>
      </c>
      <c r="C2158" s="21" t="n">
        <f aca="false">IF(A2158="","",IFERROR(VLOOKUP(A2158,'Recert Status'!$A$8:$C$400,3,FALSE()),""))</f>
        <v>46752</v>
      </c>
      <c r="D2158" s="31" t="s">
        <v>1613</v>
      </c>
      <c r="E2158" s="30" t="s">
        <v>452</v>
      </c>
      <c r="F2158" s="32" t="n">
        <v>1</v>
      </c>
      <c r="G2158" s="33" t="n">
        <v>46122</v>
      </c>
      <c r="H2158" s="33" t="n">
        <v>46122</v>
      </c>
      <c r="I2158" s="31" t="s">
        <v>1614</v>
      </c>
      <c r="J2158" s="30" t="s">
        <v>452</v>
      </c>
      <c r="K2158" s="31" t="s">
        <v>385</v>
      </c>
      <c r="L2158" s="32" t="n">
        <v>1</v>
      </c>
      <c r="M2158" s="36" t="s">
        <v>396</v>
      </c>
      <c r="N2158" s="31" t="s">
        <v>397</v>
      </c>
      <c r="O2158" s="32" t="n">
        <v>1</v>
      </c>
      <c r="P2158" s="15" t="n">
        <f aca="false">IF(A2158="","",IF(O2158&lt;&gt;"",O2158,IF(L2158&lt;&gt;"",L2158,F2158)))</f>
        <v>1</v>
      </c>
    </row>
    <row r="2159" customFormat="false" ht="15" hidden="false" customHeight="true" outlineLevel="0" collapsed="false">
      <c r="A2159" s="26" t="s">
        <v>261</v>
      </c>
      <c r="B2159" s="26" t="s">
        <v>262</v>
      </c>
      <c r="C2159" s="14" t="n">
        <f aca="false">IF(A2159="","",IFERROR(VLOOKUP(A2159,'Recert Status'!$A$8:$C$400,3,FALSE()),""))</f>
        <v>46752</v>
      </c>
      <c r="D2159" s="18" t="s">
        <v>397</v>
      </c>
      <c r="E2159" s="26" t="s">
        <v>452</v>
      </c>
      <c r="F2159" s="27" t="n">
        <v>1</v>
      </c>
      <c r="G2159" s="28" t="n">
        <v>46245</v>
      </c>
      <c r="H2159" s="28" t="n">
        <v>46245</v>
      </c>
      <c r="I2159" s="18" t="s">
        <v>605</v>
      </c>
      <c r="J2159" s="26" t="s">
        <v>452</v>
      </c>
      <c r="K2159" s="18" t="s">
        <v>385</v>
      </c>
      <c r="L2159" s="27" t="n">
        <v>1</v>
      </c>
      <c r="M2159" s="36" t="s">
        <v>396</v>
      </c>
      <c r="N2159" s="18" t="s">
        <v>397</v>
      </c>
      <c r="O2159" s="27" t="n">
        <v>1</v>
      </c>
      <c r="P2159" s="15" t="n">
        <f aca="false">IF(A2159="","",IF(O2159&lt;&gt;"",O2159,IF(L2159&lt;&gt;"",L2159,F2159)))</f>
        <v>1</v>
      </c>
    </row>
    <row r="2160" customFormat="false" ht="15" hidden="false" customHeight="true" outlineLevel="0" collapsed="false">
      <c r="A2160" s="30" t="s">
        <v>261</v>
      </c>
      <c r="B2160" s="30" t="s">
        <v>262</v>
      </c>
      <c r="C2160" s="21" t="n">
        <f aca="false">IF(A2160="","",IFERROR(VLOOKUP(A2160,'Recert Status'!$A$8:$C$400,3,FALSE()),""))</f>
        <v>46752</v>
      </c>
      <c r="D2160" s="31" t="s">
        <v>1615</v>
      </c>
      <c r="E2160" s="30" t="s">
        <v>399</v>
      </c>
      <c r="F2160" s="32" t="n">
        <v>1</v>
      </c>
      <c r="G2160" s="33" t="n">
        <v>45663</v>
      </c>
      <c r="H2160" s="33" t="n">
        <v>45663</v>
      </c>
      <c r="I2160" s="31" t="s">
        <v>1616</v>
      </c>
      <c r="J2160" s="30" t="s">
        <v>399</v>
      </c>
      <c r="K2160" s="31" t="s">
        <v>401</v>
      </c>
      <c r="L2160" s="32" t="n">
        <v>1</v>
      </c>
      <c r="M2160" s="37" t="s">
        <v>402</v>
      </c>
      <c r="N2160" s="31" t="s">
        <v>403</v>
      </c>
      <c r="O2160" s="32" t="n">
        <v>1</v>
      </c>
      <c r="P2160" s="15" t="n">
        <f aca="false">IF(A2160="","",IF(O2160&lt;&gt;"",O2160,IF(L2160&lt;&gt;"",L2160,F2160)))</f>
        <v>1</v>
      </c>
    </row>
    <row r="2161" customFormat="false" ht="15" hidden="false" customHeight="true" outlineLevel="0" collapsed="false">
      <c r="A2161" s="26" t="s">
        <v>261</v>
      </c>
      <c r="B2161" s="26" t="s">
        <v>262</v>
      </c>
      <c r="C2161" s="14" t="n">
        <f aca="false">IF(A2161="","",IFERROR(VLOOKUP(A2161,'Recert Status'!$A$8:$C$400,3,FALSE()),""))</f>
        <v>46752</v>
      </c>
      <c r="D2161" s="18" t="s">
        <v>717</v>
      </c>
      <c r="E2161" s="26" t="s">
        <v>416</v>
      </c>
      <c r="F2161" s="27" t="n">
        <v>1</v>
      </c>
      <c r="G2161" s="28" t="n">
        <v>45826</v>
      </c>
      <c r="H2161" s="28" t="n">
        <v>45826</v>
      </c>
      <c r="I2161" s="18" t="s">
        <v>1227</v>
      </c>
      <c r="J2161" s="26" t="s">
        <v>416</v>
      </c>
      <c r="K2161" s="18" t="s">
        <v>418</v>
      </c>
      <c r="L2161" s="27" t="n">
        <v>1</v>
      </c>
      <c r="M2161" s="39" t="s">
        <v>413</v>
      </c>
      <c r="N2161" s="18" t="s">
        <v>414</v>
      </c>
      <c r="O2161" s="27" t="n">
        <v>1</v>
      </c>
      <c r="P2161" s="15" t="n">
        <f aca="false">IF(A2161="","",IF(O2161&lt;&gt;"",O2161,IF(L2161&lt;&gt;"",L2161,F2161)))</f>
        <v>1</v>
      </c>
    </row>
    <row r="2162" customFormat="false" ht="15" hidden="false" customHeight="true" outlineLevel="0" collapsed="false">
      <c r="A2162" s="30" t="s">
        <v>261</v>
      </c>
      <c r="B2162" s="30" t="s">
        <v>262</v>
      </c>
      <c r="C2162" s="21" t="n">
        <f aca="false">IF(A2162="","",IFERROR(VLOOKUP(A2162,'Recert Status'!$A$8:$C$400,3,FALSE()),""))</f>
        <v>46752</v>
      </c>
      <c r="D2162" s="31" t="s">
        <v>717</v>
      </c>
      <c r="E2162" s="30" t="s">
        <v>416</v>
      </c>
      <c r="F2162" s="32" t="n">
        <v>2</v>
      </c>
      <c r="G2162" s="33" t="n">
        <v>45859</v>
      </c>
      <c r="H2162" s="33" t="n">
        <v>45859</v>
      </c>
      <c r="I2162" s="31" t="s">
        <v>718</v>
      </c>
      <c r="J2162" s="30" t="s">
        <v>416</v>
      </c>
      <c r="K2162" s="31" t="s">
        <v>418</v>
      </c>
      <c r="L2162" s="32" t="n">
        <v>2</v>
      </c>
      <c r="M2162" s="39" t="s">
        <v>413</v>
      </c>
      <c r="N2162" s="31" t="s">
        <v>414</v>
      </c>
      <c r="O2162" s="32" t="n">
        <v>2</v>
      </c>
      <c r="P2162" s="15" t="n">
        <f aca="false">IF(A2162="","",IF(O2162&lt;&gt;"",O2162,IF(L2162&lt;&gt;"",L2162,F2162)))</f>
        <v>2</v>
      </c>
    </row>
    <row r="2163" customFormat="false" ht="15" hidden="false" customHeight="true" outlineLevel="0" collapsed="false">
      <c r="A2163" s="26" t="s">
        <v>261</v>
      </c>
      <c r="B2163" s="26" t="s">
        <v>262</v>
      </c>
      <c r="C2163" s="14" t="n">
        <f aca="false">IF(A2163="","",IFERROR(VLOOKUP(A2163,'Recert Status'!$A$8:$C$400,3,FALSE()),""))</f>
        <v>46752</v>
      </c>
      <c r="D2163" s="18" t="s">
        <v>488</v>
      </c>
      <c r="E2163" s="26" t="s">
        <v>416</v>
      </c>
      <c r="F2163" s="27" t="n">
        <v>1</v>
      </c>
      <c r="G2163" s="28" t="n">
        <v>46125</v>
      </c>
      <c r="H2163" s="28" t="n">
        <v>46125</v>
      </c>
      <c r="I2163" s="18" t="s">
        <v>608</v>
      </c>
      <c r="J2163" s="26" t="s">
        <v>416</v>
      </c>
      <c r="K2163" s="18" t="s">
        <v>490</v>
      </c>
      <c r="L2163" s="27" t="n">
        <v>1</v>
      </c>
      <c r="M2163" s="39" t="s">
        <v>413</v>
      </c>
      <c r="N2163" s="18" t="s">
        <v>414</v>
      </c>
      <c r="O2163" s="27" t="n">
        <v>1</v>
      </c>
      <c r="P2163" s="15" t="n">
        <f aca="false">IF(A2163="","",IF(O2163&lt;&gt;"",O2163,IF(L2163&lt;&gt;"",L2163,F2163)))</f>
        <v>1</v>
      </c>
    </row>
    <row r="2164" customFormat="false" ht="15" hidden="false" customHeight="true" outlineLevel="0" collapsed="false">
      <c r="A2164" s="30" t="s">
        <v>263</v>
      </c>
      <c r="B2164" s="30" t="s">
        <v>264</v>
      </c>
      <c r="C2164" s="21" t="n">
        <f aca="false">IF(A2164="","",IFERROR(VLOOKUP(A2164,'Recert Status'!$A$8:$C$400,3,FALSE()),""))</f>
        <v>46752</v>
      </c>
      <c r="D2164" s="31" t="s">
        <v>362</v>
      </c>
      <c r="E2164" s="30" t="n">
        <v>57394</v>
      </c>
      <c r="F2164" s="32" t="n">
        <v>3</v>
      </c>
      <c r="G2164" s="33" t="n">
        <v>45971</v>
      </c>
      <c r="H2164" s="33" t="n">
        <v>45971</v>
      </c>
      <c r="I2164" s="31" t="s">
        <v>922</v>
      </c>
      <c r="J2164" s="30" t="s">
        <v>503</v>
      </c>
      <c r="K2164" s="31" t="s">
        <v>365</v>
      </c>
      <c r="L2164" s="32" t="n">
        <v>1.5</v>
      </c>
      <c r="M2164" s="29" t="s">
        <v>366</v>
      </c>
      <c r="N2164" s="31" t="s">
        <v>923</v>
      </c>
      <c r="O2164" s="32" t="n">
        <v>3</v>
      </c>
      <c r="P2164" s="15" t="n">
        <f aca="false">IF(A2164="","",IF(O2164&lt;&gt;"",O2164,IF(L2164&lt;&gt;"",L2164,F2164)))</f>
        <v>3</v>
      </c>
    </row>
    <row r="2165" customFormat="false" ht="15" hidden="false" customHeight="true" outlineLevel="0" collapsed="false">
      <c r="A2165" s="26" t="s">
        <v>263</v>
      </c>
      <c r="B2165" s="26" t="s">
        <v>264</v>
      </c>
      <c r="C2165" s="14" t="n">
        <f aca="false">IF(A2165="","",IFERROR(VLOOKUP(A2165,'Recert Status'!$A$8:$C$400,3,FALSE()),""))</f>
        <v>46752</v>
      </c>
      <c r="D2165" s="18" t="s">
        <v>367</v>
      </c>
      <c r="E2165" s="26" t="s">
        <v>363</v>
      </c>
      <c r="F2165" s="27" t="n">
        <v>1</v>
      </c>
      <c r="G2165" s="28" t="n">
        <v>46286</v>
      </c>
      <c r="H2165" s="28" t="n">
        <v>46286</v>
      </c>
      <c r="I2165" s="18" t="s">
        <v>883</v>
      </c>
      <c r="J2165" s="26" t="s">
        <v>363</v>
      </c>
      <c r="K2165" s="18" t="s">
        <v>365</v>
      </c>
      <c r="L2165" s="27" t="n">
        <v>1</v>
      </c>
      <c r="M2165" s="29" t="s">
        <v>366</v>
      </c>
      <c r="N2165" s="18" t="s">
        <v>367</v>
      </c>
      <c r="O2165" s="27" t="n">
        <v>1</v>
      </c>
      <c r="P2165" s="15" t="n">
        <f aca="false">IF(A2165="","",IF(O2165&lt;&gt;"",O2165,IF(L2165&lt;&gt;"",L2165,F2165)))</f>
        <v>1</v>
      </c>
    </row>
    <row r="2166" customFormat="false" ht="15" hidden="false" customHeight="true" outlineLevel="0" collapsed="false">
      <c r="A2166" s="30" t="s">
        <v>263</v>
      </c>
      <c r="B2166" s="30" t="s">
        <v>264</v>
      </c>
      <c r="C2166" s="21" t="n">
        <f aca="false">IF(A2166="","",IFERROR(VLOOKUP(A2166,'Recert Status'!$A$8:$C$400,3,FALSE()),""))</f>
        <v>46752</v>
      </c>
      <c r="D2166" s="31" t="s">
        <v>1418</v>
      </c>
      <c r="E2166" s="30" t="n">
        <v>57433</v>
      </c>
      <c r="F2166" s="32" t="n">
        <v>1</v>
      </c>
      <c r="G2166" s="33" t="n">
        <v>45952</v>
      </c>
      <c r="H2166" s="33" t="n">
        <v>45952</v>
      </c>
      <c r="I2166" s="31" t="s">
        <v>1419</v>
      </c>
      <c r="J2166" s="30" t="s">
        <v>421</v>
      </c>
      <c r="K2166" s="31" t="s">
        <v>428</v>
      </c>
      <c r="L2166" s="32" t="n">
        <v>1</v>
      </c>
      <c r="M2166" s="40" t="s">
        <v>423</v>
      </c>
      <c r="N2166" s="31" t="s">
        <v>424</v>
      </c>
      <c r="O2166" s="32" t="n">
        <v>1</v>
      </c>
      <c r="P2166" s="15" t="n">
        <f aca="false">IF(A2166="","",IF(O2166&lt;&gt;"",O2166,IF(L2166&lt;&gt;"",L2166,F2166)))</f>
        <v>1</v>
      </c>
    </row>
    <row r="2167" customFormat="false" ht="15" hidden="false" customHeight="true" outlineLevel="0" collapsed="false">
      <c r="A2167" s="26" t="s">
        <v>263</v>
      </c>
      <c r="B2167" s="26" t="s">
        <v>264</v>
      </c>
      <c r="C2167" s="14" t="n">
        <f aca="false">IF(A2167="","",IFERROR(VLOOKUP(A2167,'Recert Status'!$A$8:$C$400,3,FALSE()),""))</f>
        <v>46752</v>
      </c>
      <c r="D2167" s="18" t="s">
        <v>425</v>
      </c>
      <c r="E2167" s="26" t="s">
        <v>426</v>
      </c>
      <c r="F2167" s="27" t="n">
        <v>2</v>
      </c>
      <c r="G2167" s="28" t="n">
        <v>45929</v>
      </c>
      <c r="H2167" s="28" t="n">
        <v>45929</v>
      </c>
      <c r="I2167" s="18" t="s">
        <v>427</v>
      </c>
      <c r="J2167" s="26" t="s">
        <v>426</v>
      </c>
      <c r="K2167" s="18" t="s">
        <v>428</v>
      </c>
      <c r="L2167" s="27" t="n">
        <v>2</v>
      </c>
      <c r="M2167" s="41" t="s">
        <v>429</v>
      </c>
      <c r="N2167" s="18" t="s">
        <v>430</v>
      </c>
      <c r="O2167" s="27" t="n">
        <v>2</v>
      </c>
      <c r="P2167" s="15" t="n">
        <f aca="false">IF(A2167="","",IF(O2167&lt;&gt;"",O2167,IF(L2167&lt;&gt;"",L2167,F2167)))</f>
        <v>2</v>
      </c>
    </row>
    <row r="2168" customFormat="false" ht="15" hidden="false" customHeight="true" outlineLevel="0" collapsed="false">
      <c r="A2168" s="30" t="s">
        <v>263</v>
      </c>
      <c r="B2168" s="30" t="s">
        <v>264</v>
      </c>
      <c r="C2168" s="21" t="n">
        <f aca="false">IF(A2168="","",IFERROR(VLOOKUP(A2168,'Recert Status'!$A$8:$C$400,3,FALSE()),""))</f>
        <v>46752</v>
      </c>
      <c r="D2168" s="31" t="s">
        <v>362</v>
      </c>
      <c r="E2168" s="30" t="n">
        <v>57394</v>
      </c>
      <c r="F2168" s="32" t="n">
        <v>3</v>
      </c>
      <c r="G2168" s="33" t="n">
        <v>45971</v>
      </c>
      <c r="H2168" s="33" t="n">
        <v>45971</v>
      </c>
      <c r="I2168" s="31" t="s">
        <v>922</v>
      </c>
      <c r="J2168" s="30" t="s">
        <v>503</v>
      </c>
      <c r="K2168" s="31" t="s">
        <v>365</v>
      </c>
      <c r="L2168" s="32" t="n">
        <v>1.5</v>
      </c>
      <c r="M2168" s="41" t="s">
        <v>429</v>
      </c>
      <c r="N2168" s="31" t="s">
        <v>923</v>
      </c>
      <c r="O2168" s="32" t="n">
        <v>3</v>
      </c>
      <c r="P2168" s="15" t="n">
        <f aca="false">IF(A2168="","",IF(O2168&lt;&gt;"",O2168,IF(L2168&lt;&gt;"",L2168,F2168)))</f>
        <v>3</v>
      </c>
    </row>
    <row r="2169" customFormat="false" ht="15" hidden="false" customHeight="true" outlineLevel="0" collapsed="false">
      <c r="A2169" s="26" t="s">
        <v>263</v>
      </c>
      <c r="B2169" s="26" t="s">
        <v>264</v>
      </c>
      <c r="C2169" s="14" t="n">
        <f aca="false">IF(A2169="","",IFERROR(VLOOKUP(A2169,'Recert Status'!$A$8:$C$400,3,FALSE()),""))</f>
        <v>46752</v>
      </c>
      <c r="D2169" s="18" t="s">
        <v>876</v>
      </c>
      <c r="E2169" s="26" t="s">
        <v>426</v>
      </c>
      <c r="F2169" s="27" t="n">
        <v>1</v>
      </c>
      <c r="G2169" s="28" t="n">
        <v>46001</v>
      </c>
      <c r="H2169" s="28" t="n">
        <v>46001</v>
      </c>
      <c r="I2169" s="18" t="s">
        <v>1617</v>
      </c>
      <c r="J2169" s="26" t="s">
        <v>426</v>
      </c>
      <c r="K2169" s="18" t="s">
        <v>428</v>
      </c>
      <c r="L2169" s="27" t="n">
        <v>1</v>
      </c>
      <c r="M2169" s="41" t="s">
        <v>429</v>
      </c>
      <c r="N2169" s="18" t="s">
        <v>430</v>
      </c>
      <c r="O2169" s="27" t="n">
        <v>1</v>
      </c>
      <c r="P2169" s="15" t="n">
        <f aca="false">IF(A2169="","",IF(O2169&lt;&gt;"",O2169,IF(L2169&lt;&gt;"",L2169,F2169)))</f>
        <v>1</v>
      </c>
    </row>
    <row r="2170" customFormat="false" ht="15" hidden="false" customHeight="true" outlineLevel="0" collapsed="false">
      <c r="A2170" s="30" t="s">
        <v>263</v>
      </c>
      <c r="B2170" s="30" t="s">
        <v>264</v>
      </c>
      <c r="C2170" s="21" t="n">
        <f aca="false">IF(A2170="","",IFERROR(VLOOKUP(A2170,'Recert Status'!$A$8:$C$400,3,FALSE()),""))</f>
        <v>46752</v>
      </c>
      <c r="D2170" s="31" t="s">
        <v>430</v>
      </c>
      <c r="E2170" s="30" t="s">
        <v>426</v>
      </c>
      <c r="F2170" s="32" t="n">
        <v>1</v>
      </c>
      <c r="G2170" s="33" t="n">
        <v>46286</v>
      </c>
      <c r="H2170" s="33" t="n">
        <v>46286</v>
      </c>
      <c r="I2170" s="31" t="s">
        <v>890</v>
      </c>
      <c r="J2170" s="30" t="s">
        <v>426</v>
      </c>
      <c r="K2170" s="31" t="s">
        <v>428</v>
      </c>
      <c r="L2170" s="32" t="n">
        <v>1</v>
      </c>
      <c r="M2170" s="41" t="s">
        <v>429</v>
      </c>
      <c r="N2170" s="31" t="s">
        <v>430</v>
      </c>
      <c r="O2170" s="32" t="n">
        <v>1</v>
      </c>
      <c r="P2170" s="15" t="n">
        <f aca="false">IF(A2170="","",IF(O2170&lt;&gt;"",O2170,IF(L2170&lt;&gt;"",L2170,F2170)))</f>
        <v>1</v>
      </c>
    </row>
    <row r="2171" customFormat="false" ht="15" hidden="false" customHeight="true" outlineLevel="0" collapsed="false">
      <c r="A2171" s="26" t="s">
        <v>263</v>
      </c>
      <c r="B2171" s="26" t="s">
        <v>264</v>
      </c>
      <c r="C2171" s="14" t="n">
        <f aca="false">IF(A2171="","",IFERROR(VLOOKUP(A2171,'Recert Status'!$A$8:$C$400,3,FALSE()),""))</f>
        <v>46752</v>
      </c>
      <c r="D2171" s="18" t="s">
        <v>437</v>
      </c>
      <c r="E2171" s="26" t="n">
        <v>29743</v>
      </c>
      <c r="F2171" s="27" t="n">
        <v>1</v>
      </c>
      <c r="G2171" s="28" t="n">
        <v>45833</v>
      </c>
      <c r="H2171" s="28" t="n">
        <v>45833</v>
      </c>
      <c r="I2171" s="18" t="s">
        <v>438</v>
      </c>
      <c r="J2171" s="26" t="s">
        <v>439</v>
      </c>
      <c r="K2171" s="18" t="s">
        <v>440</v>
      </c>
      <c r="L2171" s="27" t="n">
        <v>1</v>
      </c>
      <c r="M2171" s="35" t="s">
        <v>386</v>
      </c>
      <c r="N2171" s="18" t="s">
        <v>387</v>
      </c>
      <c r="O2171" s="27" t="n">
        <v>1</v>
      </c>
      <c r="P2171" s="15" t="n">
        <f aca="false">IF(A2171="","",IF(O2171&lt;&gt;"",O2171,IF(L2171&lt;&gt;"",L2171,F2171)))</f>
        <v>1</v>
      </c>
    </row>
    <row r="2172" customFormat="false" ht="15" hidden="false" customHeight="true" outlineLevel="0" collapsed="false">
      <c r="A2172" s="30" t="s">
        <v>263</v>
      </c>
      <c r="B2172" s="30" t="s">
        <v>264</v>
      </c>
      <c r="C2172" s="21" t="n">
        <f aca="false">IF(A2172="","",IFERROR(VLOOKUP(A2172,'Recert Status'!$A$8:$C$400,3,FALSE()),""))</f>
        <v>46752</v>
      </c>
      <c r="D2172" s="31" t="s">
        <v>441</v>
      </c>
      <c r="E2172" s="30" t="n">
        <v>29743</v>
      </c>
      <c r="F2172" s="32" t="n">
        <v>1</v>
      </c>
      <c r="G2172" s="33" t="n">
        <v>45833</v>
      </c>
      <c r="H2172" s="33" t="n">
        <v>45833</v>
      </c>
      <c r="I2172" s="31" t="s">
        <v>442</v>
      </c>
      <c r="J2172" s="30" t="s">
        <v>439</v>
      </c>
      <c r="K2172" s="31" t="s">
        <v>443</v>
      </c>
      <c r="L2172" s="32" t="n">
        <v>1</v>
      </c>
      <c r="M2172" s="35" t="s">
        <v>386</v>
      </c>
      <c r="N2172" s="31" t="s">
        <v>387</v>
      </c>
      <c r="O2172" s="32" t="n">
        <v>1</v>
      </c>
      <c r="P2172" s="15" t="n">
        <f aca="false">IF(A2172="","",IF(O2172&lt;&gt;"",O2172,IF(L2172&lt;&gt;"",L2172,F2172)))</f>
        <v>1</v>
      </c>
    </row>
    <row r="2173" customFormat="false" ht="15" hidden="false" customHeight="true" outlineLevel="0" collapsed="false">
      <c r="A2173" s="26" t="s">
        <v>263</v>
      </c>
      <c r="B2173" s="26" t="s">
        <v>264</v>
      </c>
      <c r="C2173" s="14" t="n">
        <f aca="false">IF(A2173="","",IFERROR(VLOOKUP(A2173,'Recert Status'!$A$8:$C$400,3,FALSE()),""))</f>
        <v>46752</v>
      </c>
      <c r="D2173" s="18" t="s">
        <v>1182</v>
      </c>
      <c r="E2173" s="26" t="n">
        <v>29743</v>
      </c>
      <c r="F2173" s="27" t="n">
        <v>1.5</v>
      </c>
      <c r="G2173" s="28" t="n">
        <v>45911</v>
      </c>
      <c r="H2173" s="28" t="n">
        <v>45911</v>
      </c>
      <c r="I2173" s="18" t="s">
        <v>1183</v>
      </c>
      <c r="J2173" s="26" t="s">
        <v>439</v>
      </c>
      <c r="K2173" s="18" t="s">
        <v>385</v>
      </c>
      <c r="L2173" s="27" t="n">
        <v>1.5</v>
      </c>
      <c r="M2173" s="35" t="s">
        <v>386</v>
      </c>
      <c r="N2173" s="18" t="s">
        <v>387</v>
      </c>
      <c r="O2173" s="27" t="n">
        <v>1.5</v>
      </c>
      <c r="P2173" s="15" t="n">
        <f aca="false">IF(A2173="","",IF(O2173&lt;&gt;"",O2173,IF(L2173&lt;&gt;"",L2173,F2173)))</f>
        <v>1.5</v>
      </c>
    </row>
    <row r="2174" customFormat="false" ht="15" hidden="false" customHeight="true" outlineLevel="0" collapsed="false">
      <c r="A2174" s="30" t="s">
        <v>263</v>
      </c>
      <c r="B2174" s="30" t="s">
        <v>264</v>
      </c>
      <c r="C2174" s="21" t="n">
        <f aca="false">IF(A2174="","",IFERROR(VLOOKUP(A2174,'Recert Status'!$A$8:$C$400,3,FALSE()),""))</f>
        <v>46752</v>
      </c>
      <c r="D2174" s="31" t="s">
        <v>682</v>
      </c>
      <c r="E2174" s="30" t="n">
        <v>29675</v>
      </c>
      <c r="F2174" s="32" t="n">
        <v>1</v>
      </c>
      <c r="G2174" s="33" t="n">
        <v>45986</v>
      </c>
      <c r="H2174" s="33" t="n">
        <v>45986</v>
      </c>
      <c r="I2174" s="31" t="s">
        <v>793</v>
      </c>
      <c r="J2174" s="30" t="s">
        <v>406</v>
      </c>
      <c r="K2174" s="31" t="s">
        <v>446</v>
      </c>
      <c r="L2174" s="32" t="n">
        <v>1</v>
      </c>
      <c r="M2174" s="35" t="s">
        <v>386</v>
      </c>
      <c r="N2174" s="31" t="s">
        <v>387</v>
      </c>
      <c r="O2174" s="32" t="n">
        <v>1</v>
      </c>
      <c r="P2174" s="15" t="n">
        <f aca="false">IF(A2174="","",IF(O2174&lt;&gt;"",O2174,IF(L2174&lt;&gt;"",L2174,F2174)))</f>
        <v>1</v>
      </c>
    </row>
    <row r="2175" customFormat="false" ht="15" hidden="false" customHeight="true" outlineLevel="0" collapsed="false">
      <c r="A2175" s="26" t="s">
        <v>263</v>
      </c>
      <c r="B2175" s="26" t="s">
        <v>264</v>
      </c>
      <c r="C2175" s="14" t="n">
        <f aca="false">IF(A2175="","",IFERROR(VLOOKUP(A2175,'Recert Status'!$A$8:$C$400,3,FALSE()),""))</f>
        <v>46752</v>
      </c>
      <c r="D2175" s="18" t="s">
        <v>447</v>
      </c>
      <c r="E2175" s="26" t="n">
        <v>29675</v>
      </c>
      <c r="F2175" s="27" t="n">
        <v>1</v>
      </c>
      <c r="G2175" s="28" t="n">
        <v>45986</v>
      </c>
      <c r="H2175" s="28" t="n">
        <v>45986</v>
      </c>
      <c r="I2175" s="18" t="s">
        <v>448</v>
      </c>
      <c r="J2175" s="26" t="s">
        <v>406</v>
      </c>
      <c r="K2175" s="18" t="s">
        <v>446</v>
      </c>
      <c r="L2175" s="27" t="n">
        <v>1</v>
      </c>
      <c r="M2175" s="35" t="s">
        <v>386</v>
      </c>
      <c r="N2175" s="18" t="s">
        <v>387</v>
      </c>
      <c r="O2175" s="27" t="n">
        <v>1</v>
      </c>
      <c r="P2175" s="15" t="n">
        <f aca="false">IF(A2175="","",IF(O2175&lt;&gt;"",O2175,IF(L2175&lt;&gt;"",L2175,F2175)))</f>
        <v>1</v>
      </c>
    </row>
    <row r="2176" customFormat="false" ht="15" hidden="false" customHeight="true" outlineLevel="0" collapsed="false">
      <c r="A2176" s="30" t="s">
        <v>263</v>
      </c>
      <c r="B2176" s="30" t="s">
        <v>264</v>
      </c>
      <c r="C2176" s="21" t="n">
        <f aca="false">IF(A2176="","",IFERROR(VLOOKUP(A2176,'Recert Status'!$A$8:$C$400,3,FALSE()),""))</f>
        <v>46752</v>
      </c>
      <c r="D2176" s="31" t="s">
        <v>387</v>
      </c>
      <c r="E2176" s="30" t="s">
        <v>389</v>
      </c>
      <c r="F2176" s="32" t="n">
        <v>1</v>
      </c>
      <c r="G2176" s="33" t="n">
        <v>46286</v>
      </c>
      <c r="H2176" s="33" t="n">
        <v>46286</v>
      </c>
      <c r="I2176" s="31" t="s">
        <v>903</v>
      </c>
      <c r="J2176" s="30" t="s">
        <v>389</v>
      </c>
      <c r="K2176" s="31" t="s">
        <v>904</v>
      </c>
      <c r="L2176" s="32" t="n">
        <v>1</v>
      </c>
      <c r="M2176" s="35" t="s">
        <v>386</v>
      </c>
      <c r="N2176" s="31" t="s">
        <v>387</v>
      </c>
      <c r="O2176" s="32" t="n">
        <v>1</v>
      </c>
      <c r="P2176" s="15" t="n">
        <f aca="false">IF(A2176="","",IF(O2176&lt;&gt;"",O2176,IF(L2176&lt;&gt;"",L2176,F2176)))</f>
        <v>1</v>
      </c>
    </row>
    <row r="2177" customFormat="false" ht="15" hidden="false" customHeight="true" outlineLevel="0" collapsed="false">
      <c r="A2177" s="26" t="s">
        <v>263</v>
      </c>
      <c r="B2177" s="26" t="s">
        <v>264</v>
      </c>
      <c r="C2177" s="14" t="n">
        <f aca="false">IF(A2177="","",IFERROR(VLOOKUP(A2177,'Recert Status'!$A$8:$C$400,3,FALSE()),""))</f>
        <v>46752</v>
      </c>
      <c r="D2177" s="18" t="s">
        <v>397</v>
      </c>
      <c r="E2177" s="26" t="s">
        <v>452</v>
      </c>
      <c r="F2177" s="27" t="n">
        <v>2</v>
      </c>
      <c r="G2177" s="28" t="n">
        <v>46236</v>
      </c>
      <c r="H2177" s="28" t="n">
        <v>46236</v>
      </c>
      <c r="I2177" s="18" t="s">
        <v>966</v>
      </c>
      <c r="J2177" s="26" t="s">
        <v>452</v>
      </c>
      <c r="K2177" s="18" t="s">
        <v>385</v>
      </c>
      <c r="L2177" s="27" t="n">
        <v>2</v>
      </c>
      <c r="M2177" s="36" t="s">
        <v>396</v>
      </c>
      <c r="N2177" s="18" t="s">
        <v>397</v>
      </c>
      <c r="O2177" s="27" t="n">
        <v>2</v>
      </c>
      <c r="P2177" s="15" t="n">
        <f aca="false">IF(A2177="","",IF(O2177&lt;&gt;"",O2177,IF(L2177&lt;&gt;"",L2177,F2177)))</f>
        <v>2</v>
      </c>
    </row>
    <row r="2178" customFormat="false" ht="15" hidden="false" customHeight="true" outlineLevel="0" collapsed="false">
      <c r="A2178" s="30" t="s">
        <v>263</v>
      </c>
      <c r="B2178" s="30" t="s">
        <v>264</v>
      </c>
      <c r="C2178" s="21" t="n">
        <f aca="false">IF(A2178="","",IFERROR(VLOOKUP(A2178,'Recert Status'!$A$8:$C$400,3,FALSE()),""))</f>
        <v>46752</v>
      </c>
      <c r="D2178" s="31" t="s">
        <v>397</v>
      </c>
      <c r="E2178" s="30" t="s">
        <v>452</v>
      </c>
      <c r="F2178" s="32" t="n">
        <v>1</v>
      </c>
      <c r="G2178" s="33" t="n">
        <v>46244</v>
      </c>
      <c r="H2178" s="33" t="n">
        <v>46244</v>
      </c>
      <c r="I2178" s="31" t="s">
        <v>453</v>
      </c>
      <c r="J2178" s="30" t="s">
        <v>452</v>
      </c>
      <c r="K2178" s="31" t="s">
        <v>385</v>
      </c>
      <c r="L2178" s="32" t="n">
        <v>1</v>
      </c>
      <c r="M2178" s="36" t="s">
        <v>396</v>
      </c>
      <c r="N2178" s="31" t="s">
        <v>397</v>
      </c>
      <c r="O2178" s="32" t="n">
        <v>1</v>
      </c>
      <c r="P2178" s="15" t="n">
        <f aca="false">IF(A2178="","",IF(O2178&lt;&gt;"",O2178,IF(L2178&lt;&gt;"",L2178,F2178)))</f>
        <v>1</v>
      </c>
    </row>
    <row r="2179" customFormat="false" ht="15" hidden="false" customHeight="true" outlineLevel="0" collapsed="false">
      <c r="A2179" s="26" t="s">
        <v>263</v>
      </c>
      <c r="B2179" s="26" t="s">
        <v>264</v>
      </c>
      <c r="C2179" s="14" t="n">
        <f aca="false">IF(A2179="","",IFERROR(VLOOKUP(A2179,'Recert Status'!$A$8:$C$400,3,FALSE()),""))</f>
        <v>46752</v>
      </c>
      <c r="D2179" s="18" t="s">
        <v>1618</v>
      </c>
      <c r="E2179" s="26" t="s">
        <v>399</v>
      </c>
      <c r="F2179" s="27" t="n">
        <v>1</v>
      </c>
      <c r="G2179" s="28" t="n">
        <v>46007</v>
      </c>
      <c r="H2179" s="28" t="n">
        <v>46007</v>
      </c>
      <c r="I2179" s="18" t="s">
        <v>1619</v>
      </c>
      <c r="J2179" s="26" t="s">
        <v>399</v>
      </c>
      <c r="K2179" s="18" t="s">
        <v>401</v>
      </c>
      <c r="L2179" s="27" t="n">
        <v>1</v>
      </c>
      <c r="M2179" s="37" t="s">
        <v>402</v>
      </c>
      <c r="N2179" s="18" t="s">
        <v>403</v>
      </c>
      <c r="O2179" s="27" t="n">
        <v>1</v>
      </c>
      <c r="P2179" s="15" t="n">
        <f aca="false">IF(A2179="","",IF(O2179&lt;&gt;"",O2179,IF(L2179&lt;&gt;"",L2179,F2179)))</f>
        <v>1</v>
      </c>
    </row>
    <row r="2180" customFormat="false" ht="15" hidden="false" customHeight="true" outlineLevel="0" collapsed="false">
      <c r="A2180" s="30" t="s">
        <v>263</v>
      </c>
      <c r="B2180" s="30" t="s">
        <v>264</v>
      </c>
      <c r="C2180" s="21" t="n">
        <f aca="false">IF(A2180="","",IFERROR(VLOOKUP(A2180,'Recert Status'!$A$8:$C$400,3,FALSE()),""))</f>
        <v>46752</v>
      </c>
      <c r="D2180" s="31" t="s">
        <v>717</v>
      </c>
      <c r="E2180" s="30" t="s">
        <v>416</v>
      </c>
      <c r="F2180" s="32" t="n">
        <v>1</v>
      </c>
      <c r="G2180" s="33" t="n">
        <v>45824</v>
      </c>
      <c r="H2180" s="33" t="n">
        <v>45824</v>
      </c>
      <c r="I2180" s="31" t="s">
        <v>1228</v>
      </c>
      <c r="J2180" s="30" t="s">
        <v>416</v>
      </c>
      <c r="K2180" s="31" t="s">
        <v>418</v>
      </c>
      <c r="L2180" s="32" t="n">
        <v>1</v>
      </c>
      <c r="M2180" s="39" t="s">
        <v>413</v>
      </c>
      <c r="N2180" s="31" t="s">
        <v>414</v>
      </c>
      <c r="O2180" s="32" t="n">
        <v>1</v>
      </c>
      <c r="P2180" s="15" t="n">
        <f aca="false">IF(A2180="","",IF(O2180&lt;&gt;"",O2180,IF(L2180&lt;&gt;"",L2180,F2180)))</f>
        <v>1</v>
      </c>
    </row>
    <row r="2181" customFormat="false" ht="15" hidden="false" customHeight="true" outlineLevel="0" collapsed="false">
      <c r="A2181" s="26" t="s">
        <v>263</v>
      </c>
      <c r="B2181" s="26" t="s">
        <v>264</v>
      </c>
      <c r="C2181" s="14" t="n">
        <f aca="false">IF(A2181="","",IFERROR(VLOOKUP(A2181,'Recert Status'!$A$8:$C$400,3,FALSE()),""))</f>
        <v>46752</v>
      </c>
      <c r="D2181" s="18" t="s">
        <v>415</v>
      </c>
      <c r="E2181" s="26" t="s">
        <v>416</v>
      </c>
      <c r="F2181" s="27" t="n">
        <v>2</v>
      </c>
      <c r="G2181" s="28" t="n">
        <v>45860</v>
      </c>
      <c r="H2181" s="28" t="n">
        <v>45860</v>
      </c>
      <c r="I2181" s="18" t="s">
        <v>721</v>
      </c>
      <c r="J2181" s="26" t="s">
        <v>416</v>
      </c>
      <c r="K2181" s="18" t="s">
        <v>418</v>
      </c>
      <c r="L2181" s="27" t="n">
        <v>2</v>
      </c>
      <c r="M2181" s="39" t="s">
        <v>413</v>
      </c>
      <c r="N2181" s="18" t="s">
        <v>414</v>
      </c>
      <c r="O2181" s="27" t="n">
        <v>2</v>
      </c>
      <c r="P2181" s="15" t="n">
        <f aca="false">IF(A2181="","",IF(O2181&lt;&gt;"",O2181,IF(L2181&lt;&gt;"",L2181,F2181)))</f>
        <v>2</v>
      </c>
    </row>
    <row r="2182" customFormat="false" ht="15" hidden="false" customHeight="true" outlineLevel="0" collapsed="false">
      <c r="A2182" s="30" t="s">
        <v>263</v>
      </c>
      <c r="B2182" s="30" t="s">
        <v>264</v>
      </c>
      <c r="C2182" s="21" t="n">
        <f aca="false">IF(A2182="","",IFERROR(VLOOKUP(A2182,'Recert Status'!$A$8:$C$400,3,FALSE()),""))</f>
        <v>46752</v>
      </c>
      <c r="D2182" s="31" t="s">
        <v>822</v>
      </c>
      <c r="E2182" s="30" t="s">
        <v>416</v>
      </c>
      <c r="F2182" s="32" t="n">
        <v>2</v>
      </c>
      <c r="G2182" s="33" t="n">
        <v>45861</v>
      </c>
      <c r="H2182" s="33" t="n">
        <v>45861</v>
      </c>
      <c r="I2182" s="31" t="s">
        <v>823</v>
      </c>
      <c r="J2182" s="30" t="s">
        <v>416</v>
      </c>
      <c r="K2182" s="31" t="s">
        <v>523</v>
      </c>
      <c r="L2182" s="32" t="n">
        <v>2</v>
      </c>
      <c r="M2182" s="39" t="s">
        <v>413</v>
      </c>
      <c r="N2182" s="31" t="s">
        <v>414</v>
      </c>
      <c r="O2182" s="32" t="n">
        <v>2</v>
      </c>
      <c r="P2182" s="15" t="n">
        <f aca="false">IF(A2182="","",IF(O2182&lt;&gt;"",O2182,IF(L2182&lt;&gt;"",L2182,F2182)))</f>
        <v>2</v>
      </c>
    </row>
    <row r="2183" customFormat="false" ht="15" hidden="false" customHeight="true" outlineLevel="0" collapsed="false">
      <c r="A2183" s="26" t="s">
        <v>263</v>
      </c>
      <c r="B2183" s="26" t="s">
        <v>264</v>
      </c>
      <c r="C2183" s="14" t="n">
        <f aca="false">IF(A2183="","",IFERROR(VLOOKUP(A2183,'Recert Status'!$A$8:$C$400,3,FALSE()),""))</f>
        <v>46752</v>
      </c>
      <c r="D2183" s="18" t="s">
        <v>414</v>
      </c>
      <c r="E2183" s="26" t="s">
        <v>416</v>
      </c>
      <c r="F2183" s="27" t="n">
        <v>2</v>
      </c>
      <c r="G2183" s="28" t="n">
        <v>46217</v>
      </c>
      <c r="H2183" s="28" t="n">
        <v>46217</v>
      </c>
      <c r="I2183" s="18" t="s">
        <v>460</v>
      </c>
      <c r="J2183" s="26" t="s">
        <v>416</v>
      </c>
      <c r="K2183" s="18" t="s">
        <v>418</v>
      </c>
      <c r="L2183" s="27" t="n">
        <v>2</v>
      </c>
      <c r="M2183" s="39" t="s">
        <v>413</v>
      </c>
      <c r="N2183" s="18" t="s">
        <v>414</v>
      </c>
      <c r="O2183" s="27" t="n">
        <v>2</v>
      </c>
      <c r="P2183" s="15" t="n">
        <f aca="false">IF(A2183="","",IF(O2183&lt;&gt;"",O2183,IF(L2183&lt;&gt;"",L2183,F2183)))</f>
        <v>2</v>
      </c>
    </row>
    <row r="2184" customFormat="false" ht="15" hidden="false" customHeight="true" outlineLevel="0" collapsed="false">
      <c r="A2184" s="30" t="s">
        <v>263</v>
      </c>
      <c r="B2184" s="30" t="s">
        <v>264</v>
      </c>
      <c r="C2184" s="21" t="n">
        <f aca="false">IF(A2184="","",IFERROR(VLOOKUP(A2184,'Recert Status'!$A$8:$C$400,3,FALSE()),""))</f>
        <v>46752</v>
      </c>
      <c r="D2184" s="31" t="s">
        <v>414</v>
      </c>
      <c r="E2184" s="30" t="s">
        <v>416</v>
      </c>
      <c r="F2184" s="32" t="n">
        <v>2</v>
      </c>
      <c r="G2184" s="33" t="n">
        <v>46286</v>
      </c>
      <c r="H2184" s="33" t="n">
        <v>46286</v>
      </c>
      <c r="I2184" s="31" t="s">
        <v>907</v>
      </c>
      <c r="J2184" s="30" t="s">
        <v>416</v>
      </c>
      <c r="K2184" s="31" t="s">
        <v>490</v>
      </c>
      <c r="L2184" s="32" t="n">
        <v>2</v>
      </c>
      <c r="M2184" s="39" t="s">
        <v>413</v>
      </c>
      <c r="N2184" s="31" t="s">
        <v>414</v>
      </c>
      <c r="O2184" s="32" t="n">
        <v>2</v>
      </c>
      <c r="P2184" s="15" t="n">
        <f aca="false">IF(A2184="","",IF(O2184&lt;&gt;"",O2184,IF(L2184&lt;&gt;"",L2184,F2184)))</f>
        <v>2</v>
      </c>
    </row>
    <row r="2185" customFormat="false" ht="15" hidden="false" customHeight="true" outlineLevel="0" collapsed="false">
      <c r="A2185" s="26" t="s">
        <v>265</v>
      </c>
      <c r="B2185" s="26" t="s">
        <v>266</v>
      </c>
      <c r="C2185" s="14" t="n">
        <f aca="false">IF(A2185="","",IFERROR(VLOOKUP(A2185,'Recert Status'!$A$8:$C$400,3,FALSE()),""))</f>
        <v>46752</v>
      </c>
      <c r="D2185" s="18" t="s">
        <v>753</v>
      </c>
      <c r="E2185" s="26" t="s">
        <v>363</v>
      </c>
      <c r="F2185" s="27" t="n">
        <v>0.5</v>
      </c>
      <c r="G2185" s="28" t="n">
        <v>45694</v>
      </c>
      <c r="H2185" s="28" t="n">
        <v>45694</v>
      </c>
      <c r="I2185" s="18" t="s">
        <v>754</v>
      </c>
      <c r="J2185" s="26" t="s">
        <v>363</v>
      </c>
      <c r="K2185" s="18" t="s">
        <v>370</v>
      </c>
      <c r="L2185" s="27" t="n">
        <v>0.5</v>
      </c>
      <c r="M2185" s="29" t="s">
        <v>366</v>
      </c>
      <c r="N2185" s="18" t="s">
        <v>367</v>
      </c>
      <c r="O2185" s="27" t="n">
        <v>0.5</v>
      </c>
      <c r="P2185" s="15" t="n">
        <f aca="false">IF(A2185="","",IF(O2185&lt;&gt;"",O2185,IF(L2185&lt;&gt;"",L2185,F2185)))</f>
        <v>0.5</v>
      </c>
    </row>
    <row r="2186" customFormat="false" ht="15" hidden="false" customHeight="true" outlineLevel="0" collapsed="false">
      <c r="A2186" s="30" t="s">
        <v>265</v>
      </c>
      <c r="B2186" s="30" t="s">
        <v>266</v>
      </c>
      <c r="C2186" s="21" t="n">
        <f aca="false">IF(A2186="","",IFERROR(VLOOKUP(A2186,'Recert Status'!$A$8:$C$400,3,FALSE()),""))</f>
        <v>46752</v>
      </c>
      <c r="D2186" s="31" t="s">
        <v>362</v>
      </c>
      <c r="E2186" s="30" t="s">
        <v>363</v>
      </c>
      <c r="F2186" s="32" t="n">
        <v>1</v>
      </c>
      <c r="G2186" s="33" t="n">
        <v>45832</v>
      </c>
      <c r="H2186" s="33" t="n">
        <v>45832</v>
      </c>
      <c r="I2186" s="31" t="s">
        <v>461</v>
      </c>
      <c r="J2186" s="30" t="s">
        <v>363</v>
      </c>
      <c r="K2186" s="31" t="s">
        <v>365</v>
      </c>
      <c r="L2186" s="32" t="n">
        <v>1</v>
      </c>
      <c r="M2186" s="29" t="s">
        <v>366</v>
      </c>
      <c r="N2186" s="31" t="s">
        <v>367</v>
      </c>
      <c r="O2186" s="32" t="n">
        <v>1</v>
      </c>
      <c r="P2186" s="15" t="n">
        <f aca="false">IF(A2186="","",IF(O2186&lt;&gt;"",O2186,IF(L2186&lt;&gt;"",L2186,F2186)))</f>
        <v>1</v>
      </c>
    </row>
    <row r="2187" customFormat="false" ht="15" hidden="false" customHeight="true" outlineLevel="0" collapsed="false">
      <c r="A2187" s="26" t="s">
        <v>265</v>
      </c>
      <c r="B2187" s="26" t="s">
        <v>266</v>
      </c>
      <c r="C2187" s="14" t="n">
        <f aca="false">IF(A2187="","",IFERROR(VLOOKUP(A2187,'Recert Status'!$A$8:$C$400,3,FALSE()),""))</f>
        <v>46752</v>
      </c>
      <c r="D2187" s="18" t="s">
        <v>1357</v>
      </c>
      <c r="E2187" s="26" t="s">
        <v>363</v>
      </c>
      <c r="F2187" s="27" t="n">
        <v>1</v>
      </c>
      <c r="G2187" s="28" t="n">
        <v>45869</v>
      </c>
      <c r="H2187" s="28" t="n">
        <v>45869</v>
      </c>
      <c r="I2187" s="18" t="s">
        <v>1358</v>
      </c>
      <c r="J2187" s="26" t="s">
        <v>363</v>
      </c>
      <c r="K2187" s="18" t="s">
        <v>365</v>
      </c>
      <c r="L2187" s="27" t="n">
        <v>1</v>
      </c>
      <c r="M2187" s="29" t="s">
        <v>366</v>
      </c>
      <c r="N2187" s="18" t="s">
        <v>367</v>
      </c>
      <c r="O2187" s="27" t="n">
        <v>1</v>
      </c>
      <c r="P2187" s="15" t="n">
        <f aca="false">IF(A2187="","",IF(O2187&lt;&gt;"",O2187,IF(L2187&lt;&gt;"",L2187,F2187)))</f>
        <v>1</v>
      </c>
    </row>
    <row r="2188" customFormat="false" ht="15" hidden="false" customHeight="true" outlineLevel="0" collapsed="false">
      <c r="A2188" s="30" t="s">
        <v>265</v>
      </c>
      <c r="B2188" s="30" t="s">
        <v>266</v>
      </c>
      <c r="C2188" s="21" t="n">
        <f aca="false">IF(A2188="","",IFERROR(VLOOKUP(A2188,'Recert Status'!$A$8:$C$400,3,FALSE()),""))</f>
        <v>46752</v>
      </c>
      <c r="D2188" s="31" t="s">
        <v>753</v>
      </c>
      <c r="E2188" s="30" t="s">
        <v>363</v>
      </c>
      <c r="F2188" s="32" t="n">
        <v>2</v>
      </c>
      <c r="G2188" s="33" t="n">
        <v>46069</v>
      </c>
      <c r="H2188" s="33" t="n">
        <v>46069</v>
      </c>
      <c r="I2188" s="31" t="s">
        <v>1041</v>
      </c>
      <c r="J2188" s="30" t="s">
        <v>363</v>
      </c>
      <c r="K2188" s="31" t="s">
        <v>1036</v>
      </c>
      <c r="L2188" s="32" t="n">
        <v>2</v>
      </c>
      <c r="M2188" s="29" t="s">
        <v>366</v>
      </c>
      <c r="N2188" s="31" t="s">
        <v>367</v>
      </c>
      <c r="O2188" s="32" t="n">
        <v>2</v>
      </c>
      <c r="P2188" s="15" t="n">
        <f aca="false">IF(A2188="","",IF(O2188&lt;&gt;"",O2188,IF(L2188&lt;&gt;"",L2188,F2188)))</f>
        <v>2</v>
      </c>
    </row>
    <row r="2189" customFormat="false" ht="15" hidden="false" customHeight="true" outlineLevel="0" collapsed="false">
      <c r="A2189" s="26" t="s">
        <v>265</v>
      </c>
      <c r="B2189" s="26" t="s">
        <v>266</v>
      </c>
      <c r="C2189" s="14" t="n">
        <f aca="false">IF(A2189="","",IFERROR(VLOOKUP(A2189,'Recert Status'!$A$8:$C$400,3,FALSE()),""))</f>
        <v>46752</v>
      </c>
      <c r="D2189" s="18" t="s">
        <v>584</v>
      </c>
      <c r="E2189" s="26" t="s">
        <v>542</v>
      </c>
      <c r="F2189" s="27" t="n">
        <v>3</v>
      </c>
      <c r="G2189" s="28" t="n">
        <v>45892</v>
      </c>
      <c r="H2189" s="28" t="n">
        <v>45892</v>
      </c>
      <c r="I2189" s="18" t="s">
        <v>585</v>
      </c>
      <c r="J2189" s="26" t="s">
        <v>542</v>
      </c>
      <c r="K2189" s="18" t="s">
        <v>586</v>
      </c>
      <c r="L2189" s="27" t="n">
        <v>3</v>
      </c>
      <c r="M2189" s="40" t="s">
        <v>423</v>
      </c>
      <c r="N2189" s="18" t="s">
        <v>424</v>
      </c>
      <c r="O2189" s="27" t="n">
        <v>3</v>
      </c>
      <c r="P2189" s="15" t="n">
        <f aca="false">IF(A2189="","",IF(O2189&lt;&gt;"",O2189,IF(L2189&lt;&gt;"",L2189,F2189)))</f>
        <v>3</v>
      </c>
    </row>
    <row r="2190" customFormat="false" ht="15" hidden="false" customHeight="true" outlineLevel="0" collapsed="false">
      <c r="A2190" s="30" t="s">
        <v>265</v>
      </c>
      <c r="B2190" s="30" t="s">
        <v>266</v>
      </c>
      <c r="C2190" s="21" t="n">
        <f aca="false">IF(A2190="","",IFERROR(VLOOKUP(A2190,'Recert Status'!$A$8:$C$400,3,FALSE()),""))</f>
        <v>46752</v>
      </c>
      <c r="D2190" s="31" t="s">
        <v>759</v>
      </c>
      <c r="E2190" s="30" t="s">
        <v>426</v>
      </c>
      <c r="F2190" s="32" t="n">
        <v>0.5</v>
      </c>
      <c r="G2190" s="33" t="n">
        <v>45694</v>
      </c>
      <c r="H2190" s="33" t="n">
        <v>45694</v>
      </c>
      <c r="I2190" s="31" t="s">
        <v>760</v>
      </c>
      <c r="J2190" s="30" t="s">
        <v>426</v>
      </c>
      <c r="K2190" s="31" t="s">
        <v>495</v>
      </c>
      <c r="L2190" s="32" t="n">
        <v>0.5</v>
      </c>
      <c r="M2190" s="41" t="s">
        <v>429</v>
      </c>
      <c r="N2190" s="31" t="s">
        <v>430</v>
      </c>
      <c r="O2190" s="32" t="n">
        <v>0.5</v>
      </c>
      <c r="P2190" s="15" t="n">
        <f aca="false">IF(A2190="","",IF(O2190&lt;&gt;"",O2190,IF(L2190&lt;&gt;"",L2190,F2190)))</f>
        <v>0.5</v>
      </c>
    </row>
    <row r="2191" customFormat="false" ht="15" hidden="false" customHeight="true" outlineLevel="0" collapsed="false">
      <c r="A2191" s="26" t="s">
        <v>265</v>
      </c>
      <c r="B2191" s="26" t="s">
        <v>266</v>
      </c>
      <c r="C2191" s="14" t="n">
        <f aca="false">IF(A2191="","",IFERROR(VLOOKUP(A2191,'Recert Status'!$A$8:$C$400,3,FALSE()),""))</f>
        <v>46752</v>
      </c>
      <c r="D2191" s="18" t="s">
        <v>1310</v>
      </c>
      <c r="E2191" s="26" t="s">
        <v>426</v>
      </c>
      <c r="F2191" s="27" t="n">
        <v>0.5</v>
      </c>
      <c r="G2191" s="28" t="n">
        <v>45826</v>
      </c>
      <c r="H2191" s="28" t="n">
        <v>45826</v>
      </c>
      <c r="I2191" s="18" t="s">
        <v>1311</v>
      </c>
      <c r="J2191" s="26" t="s">
        <v>426</v>
      </c>
      <c r="K2191" s="18" t="s">
        <v>428</v>
      </c>
      <c r="L2191" s="27" t="n">
        <v>0.5</v>
      </c>
      <c r="M2191" s="41" t="s">
        <v>429</v>
      </c>
      <c r="N2191" s="18" t="s">
        <v>430</v>
      </c>
      <c r="O2191" s="27" t="n">
        <v>0.5</v>
      </c>
      <c r="P2191" s="15" t="n">
        <f aca="false">IF(A2191="","",IF(O2191&lt;&gt;"",O2191,IF(L2191&lt;&gt;"",L2191,F2191)))</f>
        <v>0.5</v>
      </c>
    </row>
    <row r="2192" customFormat="false" ht="15" hidden="false" customHeight="true" outlineLevel="0" collapsed="false">
      <c r="A2192" s="30" t="s">
        <v>265</v>
      </c>
      <c r="B2192" s="30" t="s">
        <v>266</v>
      </c>
      <c r="C2192" s="21" t="n">
        <f aca="false">IF(A2192="","",IFERROR(VLOOKUP(A2192,'Recert Status'!$A$8:$C$400,3,FALSE()),""))</f>
        <v>46752</v>
      </c>
      <c r="D2192" s="31" t="s">
        <v>1620</v>
      </c>
      <c r="E2192" s="30" t="s">
        <v>426</v>
      </c>
      <c r="F2192" s="32" t="n">
        <v>1</v>
      </c>
      <c r="G2192" s="33" t="n">
        <v>46014</v>
      </c>
      <c r="H2192" s="33" t="n">
        <v>46014</v>
      </c>
      <c r="I2192" s="31" t="s">
        <v>1621</v>
      </c>
      <c r="J2192" s="30" t="s">
        <v>426</v>
      </c>
      <c r="K2192" s="31" t="s">
        <v>428</v>
      </c>
      <c r="L2192" s="32" t="n">
        <v>1</v>
      </c>
      <c r="M2192" s="41" t="s">
        <v>429</v>
      </c>
      <c r="N2192" s="31" t="s">
        <v>430</v>
      </c>
      <c r="O2192" s="32" t="n">
        <v>1</v>
      </c>
      <c r="P2192" s="15" t="n">
        <f aca="false">IF(A2192="","",IF(O2192&lt;&gt;"",O2192,IF(L2192&lt;&gt;"",L2192,F2192)))</f>
        <v>1</v>
      </c>
    </row>
    <row r="2193" customFormat="false" ht="15" hidden="false" customHeight="true" outlineLevel="0" collapsed="false">
      <c r="A2193" s="26" t="s">
        <v>265</v>
      </c>
      <c r="B2193" s="26" t="s">
        <v>266</v>
      </c>
      <c r="C2193" s="14" t="n">
        <f aca="false">IF(A2193="","",IFERROR(VLOOKUP(A2193,'Recert Status'!$A$8:$C$400,3,FALSE()),""))</f>
        <v>46752</v>
      </c>
      <c r="D2193" s="18" t="s">
        <v>471</v>
      </c>
      <c r="E2193" s="26" t="s">
        <v>389</v>
      </c>
      <c r="F2193" s="27" t="n">
        <v>8</v>
      </c>
      <c r="G2193" s="28" t="n">
        <v>45700</v>
      </c>
      <c r="H2193" s="28" t="n">
        <v>45700</v>
      </c>
      <c r="I2193" s="18" t="s">
        <v>1042</v>
      </c>
      <c r="J2193" s="26" t="s">
        <v>389</v>
      </c>
      <c r="K2193" s="18" t="s">
        <v>495</v>
      </c>
      <c r="L2193" s="27" t="n">
        <v>8</v>
      </c>
      <c r="M2193" s="35" t="s">
        <v>386</v>
      </c>
      <c r="N2193" s="18" t="s">
        <v>387</v>
      </c>
      <c r="O2193" s="27" t="n">
        <v>8</v>
      </c>
      <c r="P2193" s="15" t="n">
        <f aca="false">IF(A2193="","",IF(O2193&lt;&gt;"",O2193,IF(L2193&lt;&gt;"",L2193,F2193)))</f>
        <v>8</v>
      </c>
    </row>
    <row r="2194" customFormat="false" ht="15" hidden="false" customHeight="true" outlineLevel="0" collapsed="false">
      <c r="A2194" s="30" t="s">
        <v>265</v>
      </c>
      <c r="B2194" s="30" t="s">
        <v>266</v>
      </c>
      <c r="C2194" s="21" t="n">
        <f aca="false">IF(A2194="","",IFERROR(VLOOKUP(A2194,'Recert Status'!$A$8:$C$400,3,FALSE()),""))</f>
        <v>46752</v>
      </c>
      <c r="D2194" s="31" t="s">
        <v>469</v>
      </c>
      <c r="E2194" s="30" t="n">
        <v>29737</v>
      </c>
      <c r="F2194" s="32" t="n">
        <v>0.5</v>
      </c>
      <c r="G2194" s="33" t="n">
        <v>45841</v>
      </c>
      <c r="H2194" s="33" t="n">
        <v>45841</v>
      </c>
      <c r="I2194" s="31" t="s">
        <v>470</v>
      </c>
      <c r="J2194" s="30" t="s">
        <v>411</v>
      </c>
      <c r="K2194" s="31" t="s">
        <v>412</v>
      </c>
      <c r="L2194" s="32" t="n">
        <v>0.5</v>
      </c>
      <c r="M2194" s="35" t="s">
        <v>386</v>
      </c>
      <c r="N2194" s="31" t="s">
        <v>387</v>
      </c>
      <c r="O2194" s="32" t="n">
        <v>0.5</v>
      </c>
      <c r="P2194" s="15" t="n">
        <f aca="false">IF(A2194="","",IF(O2194&lt;&gt;"",O2194,IF(L2194&lt;&gt;"",L2194,F2194)))</f>
        <v>0.5</v>
      </c>
    </row>
    <row r="2195" customFormat="false" ht="15" hidden="false" customHeight="true" outlineLevel="0" collapsed="false">
      <c r="A2195" s="26" t="s">
        <v>265</v>
      </c>
      <c r="B2195" s="26" t="s">
        <v>266</v>
      </c>
      <c r="C2195" s="14" t="n">
        <f aca="false">IF(A2195="","",IFERROR(VLOOKUP(A2195,'Recert Status'!$A$8:$C$400,3,FALSE()),""))</f>
        <v>46752</v>
      </c>
      <c r="D2195" s="18" t="s">
        <v>1318</v>
      </c>
      <c r="E2195" s="26" t="n">
        <v>29675</v>
      </c>
      <c r="F2195" s="27" t="n">
        <v>8</v>
      </c>
      <c r="G2195" s="28" t="n">
        <v>45873</v>
      </c>
      <c r="H2195" s="28" t="n">
        <v>45873</v>
      </c>
      <c r="I2195" s="18" t="s">
        <v>1319</v>
      </c>
      <c r="J2195" s="26" t="s">
        <v>406</v>
      </c>
      <c r="K2195" s="18" t="s">
        <v>1320</v>
      </c>
      <c r="L2195" s="27" t="n">
        <v>8</v>
      </c>
      <c r="M2195" s="35" t="s">
        <v>386</v>
      </c>
      <c r="N2195" s="18" t="s">
        <v>514</v>
      </c>
      <c r="O2195" s="27" t="n">
        <v>8</v>
      </c>
      <c r="P2195" s="15" t="n">
        <f aca="false">IF(A2195="","",IF(O2195&lt;&gt;"",O2195,IF(L2195&lt;&gt;"",L2195,F2195)))</f>
        <v>8</v>
      </c>
    </row>
    <row r="2196" customFormat="false" ht="15" hidden="false" customHeight="true" outlineLevel="0" collapsed="false">
      <c r="A2196" s="30" t="s">
        <v>265</v>
      </c>
      <c r="B2196" s="30" t="s">
        <v>266</v>
      </c>
      <c r="C2196" s="21" t="n">
        <f aca="false">IF(A2196="","",IFERROR(VLOOKUP(A2196,'Recert Status'!$A$8:$C$400,3,FALSE()),""))</f>
        <v>46752</v>
      </c>
      <c r="D2196" s="31" t="s">
        <v>1622</v>
      </c>
      <c r="E2196" s="30" t="n">
        <v>57408</v>
      </c>
      <c r="F2196" s="32" t="n">
        <v>2</v>
      </c>
      <c r="G2196" s="33" t="n">
        <v>45932</v>
      </c>
      <c r="H2196" s="33" t="n">
        <v>45932</v>
      </c>
      <c r="I2196" s="31" t="s">
        <v>1623</v>
      </c>
      <c r="J2196" s="30" t="s">
        <v>1068</v>
      </c>
      <c r="K2196" s="31" t="s">
        <v>1624</v>
      </c>
      <c r="L2196" s="32" t="n">
        <v>2</v>
      </c>
      <c r="M2196" s="35" t="s">
        <v>386</v>
      </c>
      <c r="N2196" s="31" t="s">
        <v>514</v>
      </c>
      <c r="O2196" s="32" t="n">
        <v>2</v>
      </c>
      <c r="P2196" s="15" t="n">
        <f aca="false">IF(A2196="","",IF(O2196&lt;&gt;"",O2196,IF(L2196&lt;&gt;"",L2196,F2196)))</f>
        <v>2</v>
      </c>
    </row>
    <row r="2197" customFormat="false" ht="15" hidden="false" customHeight="true" outlineLevel="0" collapsed="false">
      <c r="A2197" s="26" t="s">
        <v>265</v>
      </c>
      <c r="B2197" s="26" t="s">
        <v>266</v>
      </c>
      <c r="C2197" s="14" t="n">
        <f aca="false">IF(A2197="","",IFERROR(VLOOKUP(A2197,'Recert Status'!$A$8:$C$400,3,FALSE()),""))</f>
        <v>46752</v>
      </c>
      <c r="D2197" s="18" t="s">
        <v>474</v>
      </c>
      <c r="E2197" s="26" t="s">
        <v>389</v>
      </c>
      <c r="F2197" s="27" t="n">
        <v>1</v>
      </c>
      <c r="G2197" s="28" t="n">
        <v>46204</v>
      </c>
      <c r="H2197" s="28" t="n">
        <v>46204</v>
      </c>
      <c r="I2197" s="18" t="s">
        <v>475</v>
      </c>
      <c r="J2197" s="26" t="s">
        <v>389</v>
      </c>
      <c r="K2197" s="18" t="s">
        <v>476</v>
      </c>
      <c r="L2197" s="27" t="n">
        <v>1</v>
      </c>
      <c r="M2197" s="35" t="s">
        <v>386</v>
      </c>
      <c r="N2197" s="18" t="s">
        <v>387</v>
      </c>
      <c r="O2197" s="27" t="n">
        <v>1</v>
      </c>
      <c r="P2197" s="15" t="n">
        <f aca="false">IF(A2197="","",IF(O2197&lt;&gt;"",O2197,IF(L2197&lt;&gt;"",L2197,F2197)))</f>
        <v>1</v>
      </c>
    </row>
    <row r="2198" customFormat="false" ht="15" hidden="false" customHeight="true" outlineLevel="0" collapsed="false">
      <c r="A2198" s="30" t="s">
        <v>265</v>
      </c>
      <c r="B2198" s="30" t="s">
        <v>266</v>
      </c>
      <c r="C2198" s="21" t="n">
        <f aca="false">IF(A2198="","",IFERROR(VLOOKUP(A2198,'Recert Status'!$A$8:$C$400,3,FALSE()),""))</f>
        <v>46752</v>
      </c>
      <c r="D2198" s="31" t="s">
        <v>775</v>
      </c>
      <c r="E2198" s="30" t="s">
        <v>452</v>
      </c>
      <c r="F2198" s="32" t="n">
        <v>0.5</v>
      </c>
      <c r="G2198" s="33" t="n">
        <v>45694</v>
      </c>
      <c r="H2198" s="33" t="n">
        <v>45694</v>
      </c>
      <c r="I2198" s="31" t="s">
        <v>776</v>
      </c>
      <c r="J2198" s="30" t="s">
        <v>452</v>
      </c>
      <c r="K2198" s="31" t="s">
        <v>385</v>
      </c>
      <c r="L2198" s="32" t="n">
        <v>0.5</v>
      </c>
      <c r="M2198" s="36" t="s">
        <v>396</v>
      </c>
      <c r="N2198" s="31" t="s">
        <v>397</v>
      </c>
      <c r="O2198" s="32" t="n">
        <v>0.5</v>
      </c>
      <c r="P2198" s="15" t="n">
        <f aca="false">IF(A2198="","",IF(O2198&lt;&gt;"",O2198,IF(L2198&lt;&gt;"",L2198,F2198)))</f>
        <v>0.5</v>
      </c>
    </row>
    <row r="2199" customFormat="false" ht="15" hidden="false" customHeight="true" outlineLevel="0" collapsed="false">
      <c r="A2199" s="26" t="s">
        <v>265</v>
      </c>
      <c r="B2199" s="26" t="s">
        <v>266</v>
      </c>
      <c r="C2199" s="14" t="n">
        <f aca="false">IF(A2199="","",IFERROR(VLOOKUP(A2199,'Recert Status'!$A$8:$C$400,3,FALSE()),""))</f>
        <v>46752</v>
      </c>
      <c r="D2199" s="18" t="s">
        <v>397</v>
      </c>
      <c r="E2199" s="26" t="s">
        <v>452</v>
      </c>
      <c r="F2199" s="27" t="n">
        <v>1</v>
      </c>
      <c r="G2199" s="28" t="n">
        <v>46244</v>
      </c>
      <c r="H2199" s="28" t="n">
        <v>46244</v>
      </c>
      <c r="I2199" s="18" t="s">
        <v>577</v>
      </c>
      <c r="J2199" s="26" t="s">
        <v>452</v>
      </c>
      <c r="K2199" s="18" t="s">
        <v>385</v>
      </c>
      <c r="L2199" s="27" t="n">
        <v>1</v>
      </c>
      <c r="M2199" s="36" t="s">
        <v>396</v>
      </c>
      <c r="N2199" s="18" t="s">
        <v>397</v>
      </c>
      <c r="O2199" s="27" t="n">
        <v>1</v>
      </c>
      <c r="P2199" s="15" t="n">
        <f aca="false">IF(A2199="","",IF(O2199&lt;&gt;"",O2199,IF(L2199&lt;&gt;"",L2199,F2199)))</f>
        <v>1</v>
      </c>
    </row>
    <row r="2200" customFormat="false" ht="15" hidden="false" customHeight="true" outlineLevel="0" collapsed="false">
      <c r="A2200" s="30" t="s">
        <v>265</v>
      </c>
      <c r="B2200" s="30" t="s">
        <v>266</v>
      </c>
      <c r="C2200" s="21" t="n">
        <f aca="false">IF(A2200="","",IFERROR(VLOOKUP(A2200,'Recert Status'!$A$8:$C$400,3,FALSE()),""))</f>
        <v>46752</v>
      </c>
      <c r="D2200" s="31" t="s">
        <v>397</v>
      </c>
      <c r="E2200" s="30" t="s">
        <v>452</v>
      </c>
      <c r="F2200" s="32" t="n">
        <v>1</v>
      </c>
      <c r="G2200" s="33" t="n">
        <v>46246</v>
      </c>
      <c r="H2200" s="33" t="n">
        <v>46246</v>
      </c>
      <c r="I2200" s="31" t="s">
        <v>478</v>
      </c>
      <c r="J2200" s="30" t="s">
        <v>452</v>
      </c>
      <c r="K2200" s="31" t="s">
        <v>385</v>
      </c>
      <c r="L2200" s="32" t="n">
        <v>1</v>
      </c>
      <c r="M2200" s="36" t="s">
        <v>396</v>
      </c>
      <c r="N2200" s="31" t="s">
        <v>397</v>
      </c>
      <c r="O2200" s="32" t="n">
        <v>1</v>
      </c>
      <c r="P2200" s="15" t="n">
        <f aca="false">IF(A2200="","",IF(O2200&lt;&gt;"",O2200,IF(L2200&lt;&gt;"",L2200,F2200)))</f>
        <v>1</v>
      </c>
    </row>
    <row r="2201" customFormat="false" ht="15" hidden="false" customHeight="true" outlineLevel="0" collapsed="false">
      <c r="A2201" s="26" t="s">
        <v>265</v>
      </c>
      <c r="B2201" s="26" t="s">
        <v>266</v>
      </c>
      <c r="C2201" s="14" t="n">
        <f aca="false">IF(A2201="","",IFERROR(VLOOKUP(A2201,'Recert Status'!$A$8:$C$400,3,FALSE()),""))</f>
        <v>46752</v>
      </c>
      <c r="D2201" s="18" t="s">
        <v>449</v>
      </c>
      <c r="E2201" s="26" t="s">
        <v>416</v>
      </c>
      <c r="F2201" s="27" t="n">
        <v>1</v>
      </c>
      <c r="G2201" s="28" t="n">
        <v>45775</v>
      </c>
      <c r="H2201" s="28" t="n">
        <v>45775</v>
      </c>
      <c r="I2201" s="18" t="s">
        <v>809</v>
      </c>
      <c r="J2201" s="26" t="s">
        <v>416</v>
      </c>
      <c r="K2201" s="18" t="s">
        <v>674</v>
      </c>
      <c r="L2201" s="27" t="n">
        <v>1</v>
      </c>
      <c r="M2201" s="39" t="s">
        <v>413</v>
      </c>
      <c r="N2201" s="18" t="s">
        <v>414</v>
      </c>
      <c r="O2201" s="27" t="n">
        <v>1</v>
      </c>
      <c r="P2201" s="15" t="n">
        <f aca="false">IF(A2201="","",IF(O2201&lt;&gt;"",O2201,IF(L2201&lt;&gt;"",L2201,F2201)))</f>
        <v>1</v>
      </c>
    </row>
    <row r="2202" customFormat="false" ht="15" hidden="false" customHeight="true" outlineLevel="0" collapsed="false">
      <c r="A2202" s="30" t="s">
        <v>265</v>
      </c>
      <c r="B2202" s="30" t="s">
        <v>266</v>
      </c>
      <c r="C2202" s="21" t="n">
        <f aca="false">IF(A2202="","",IFERROR(VLOOKUP(A2202,'Recert Status'!$A$8:$C$400,3,FALSE()),""))</f>
        <v>46752</v>
      </c>
      <c r="D2202" s="31" t="s">
        <v>483</v>
      </c>
      <c r="E2202" s="30" t="s">
        <v>416</v>
      </c>
      <c r="F2202" s="32" t="n">
        <v>1</v>
      </c>
      <c r="G2202" s="33" t="n">
        <v>45826</v>
      </c>
      <c r="H2202" s="33" t="n">
        <v>45826</v>
      </c>
      <c r="I2202" s="31" t="s">
        <v>484</v>
      </c>
      <c r="J2202" s="30" t="s">
        <v>416</v>
      </c>
      <c r="K2202" s="31" t="s">
        <v>485</v>
      </c>
      <c r="L2202" s="32" t="n">
        <v>1</v>
      </c>
      <c r="M2202" s="39" t="s">
        <v>413</v>
      </c>
      <c r="N2202" s="31" t="s">
        <v>414</v>
      </c>
      <c r="O2202" s="32" t="n">
        <v>1</v>
      </c>
      <c r="P2202" s="15" t="n">
        <f aca="false">IF(A2202="","",IF(O2202&lt;&gt;"",O2202,IF(L2202&lt;&gt;"",L2202,F2202)))</f>
        <v>1</v>
      </c>
    </row>
    <row r="2203" customFormat="false" ht="15" hidden="false" customHeight="true" outlineLevel="0" collapsed="false">
      <c r="A2203" s="26" t="s">
        <v>265</v>
      </c>
      <c r="B2203" s="26" t="s">
        <v>266</v>
      </c>
      <c r="C2203" s="14" t="n">
        <f aca="false">IF(A2203="","",IFERROR(VLOOKUP(A2203,'Recert Status'!$A$8:$C$400,3,FALSE()),""))</f>
        <v>46752</v>
      </c>
      <c r="D2203" s="18" t="s">
        <v>1206</v>
      </c>
      <c r="E2203" s="26" t="s">
        <v>416</v>
      </c>
      <c r="F2203" s="27" t="n">
        <v>4</v>
      </c>
      <c r="G2203" s="28" t="n">
        <v>45964</v>
      </c>
      <c r="H2203" s="28" t="n">
        <v>45964</v>
      </c>
      <c r="I2203" s="18" t="s">
        <v>1207</v>
      </c>
      <c r="J2203" s="26" t="s">
        <v>416</v>
      </c>
      <c r="K2203" s="18" t="s">
        <v>485</v>
      </c>
      <c r="L2203" s="27" t="n">
        <v>4</v>
      </c>
      <c r="M2203" s="39" t="s">
        <v>413</v>
      </c>
      <c r="N2203" s="18" t="s">
        <v>414</v>
      </c>
      <c r="O2203" s="27" t="n">
        <v>4</v>
      </c>
      <c r="P2203" s="15" t="n">
        <f aca="false">IF(A2203="","",IF(O2203&lt;&gt;"",O2203,IF(L2203&lt;&gt;"",L2203,F2203)))</f>
        <v>4</v>
      </c>
    </row>
    <row r="2204" customFormat="false" ht="15" hidden="false" customHeight="true" outlineLevel="0" collapsed="false">
      <c r="A2204" s="30" t="s">
        <v>267</v>
      </c>
      <c r="B2204" s="30" t="s">
        <v>268</v>
      </c>
      <c r="C2204" s="21" t="n">
        <f aca="false">IF(A2204="","",IFERROR(VLOOKUP(A2204,'Recert Status'!$A$8:$C$400,3,FALSE()),""))</f>
        <v>46387</v>
      </c>
      <c r="D2204" s="31" t="s">
        <v>569</v>
      </c>
      <c r="E2204" s="30" t="n">
        <v>57433</v>
      </c>
      <c r="F2204" s="32" t="n">
        <v>1</v>
      </c>
      <c r="G2204" s="33" t="n">
        <v>46017</v>
      </c>
      <c r="H2204" s="33" t="n">
        <v>46017</v>
      </c>
      <c r="I2204" s="31" t="s">
        <v>570</v>
      </c>
      <c r="J2204" s="30" t="s">
        <v>421</v>
      </c>
      <c r="K2204" s="31" t="s">
        <v>428</v>
      </c>
      <c r="L2204" s="32" t="n">
        <v>1</v>
      </c>
      <c r="M2204" s="40" t="s">
        <v>423</v>
      </c>
      <c r="N2204" s="31" t="s">
        <v>514</v>
      </c>
      <c r="O2204" s="32" t="n">
        <v>1</v>
      </c>
      <c r="P2204" s="15" t="n">
        <f aca="false">IF(A2204="","",IF(O2204&lt;&gt;"",O2204,IF(L2204&lt;&gt;"",L2204,F2204)))</f>
        <v>1</v>
      </c>
    </row>
    <row r="2205" customFormat="false" ht="15" hidden="false" customHeight="true" outlineLevel="0" collapsed="false">
      <c r="A2205" s="26" t="s">
        <v>267</v>
      </c>
      <c r="B2205" s="26" t="s">
        <v>268</v>
      </c>
      <c r="C2205" s="14" t="n">
        <f aca="false">IF(A2205="","",IFERROR(VLOOKUP(A2205,'Recert Status'!$A$8:$C$400,3,FALSE()),""))</f>
        <v>46387</v>
      </c>
      <c r="D2205" s="18" t="s">
        <v>949</v>
      </c>
      <c r="E2205" s="26" t="s">
        <v>542</v>
      </c>
      <c r="F2205" s="27" t="n">
        <v>1</v>
      </c>
      <c r="G2205" s="28" t="n">
        <v>46056</v>
      </c>
      <c r="H2205" s="28" t="n">
        <v>46056</v>
      </c>
      <c r="I2205" s="18" t="s">
        <v>950</v>
      </c>
      <c r="J2205" s="26" t="s">
        <v>542</v>
      </c>
      <c r="K2205" s="18" t="s">
        <v>422</v>
      </c>
      <c r="L2205" s="27" t="n">
        <v>1</v>
      </c>
      <c r="M2205" s="40" t="s">
        <v>423</v>
      </c>
      <c r="N2205" s="18" t="s">
        <v>424</v>
      </c>
      <c r="O2205" s="27" t="n">
        <v>1</v>
      </c>
      <c r="P2205" s="15" t="n">
        <f aca="false">IF(A2205="","",IF(O2205&lt;&gt;"",O2205,IF(L2205&lt;&gt;"",L2205,F2205)))</f>
        <v>1</v>
      </c>
    </row>
    <row r="2206" customFormat="false" ht="15" hidden="false" customHeight="true" outlineLevel="0" collapsed="false">
      <c r="A2206" s="30" t="s">
        <v>267</v>
      </c>
      <c r="B2206" s="30" t="s">
        <v>268</v>
      </c>
      <c r="C2206" s="21" t="n">
        <f aca="false">IF(A2206="","",IFERROR(VLOOKUP(A2206,'Recert Status'!$A$8:$C$400,3,FALSE()),""))</f>
        <v>46387</v>
      </c>
      <c r="D2206" s="31" t="s">
        <v>1024</v>
      </c>
      <c r="E2206" s="30" t="n">
        <v>57433</v>
      </c>
      <c r="F2206" s="32" t="n">
        <v>2</v>
      </c>
      <c r="G2206" s="33" t="n">
        <v>45960</v>
      </c>
      <c r="H2206" s="33" t="n">
        <v>45960</v>
      </c>
      <c r="I2206" s="31" t="s">
        <v>1025</v>
      </c>
      <c r="J2206" s="30" t="s">
        <v>421</v>
      </c>
      <c r="K2206" s="31" t="s">
        <v>428</v>
      </c>
      <c r="L2206" s="32" t="n">
        <v>2</v>
      </c>
      <c r="M2206" s="41" t="s">
        <v>429</v>
      </c>
      <c r="N2206" s="31" t="s">
        <v>430</v>
      </c>
      <c r="O2206" s="32" t="n">
        <v>2</v>
      </c>
      <c r="P2206" s="15" t="n">
        <f aca="false">IF(A2206="","",IF(O2206&lt;&gt;"",O2206,IF(L2206&lt;&gt;"",L2206,F2206)))</f>
        <v>2</v>
      </c>
    </row>
    <row r="2207" customFormat="false" ht="15" hidden="false" customHeight="true" outlineLevel="0" collapsed="false">
      <c r="A2207" s="26" t="s">
        <v>267</v>
      </c>
      <c r="B2207" s="26" t="s">
        <v>268</v>
      </c>
      <c r="C2207" s="14" t="n">
        <f aca="false">IF(A2207="","",IFERROR(VLOOKUP(A2207,'Recert Status'!$A$8:$C$400,3,FALSE()),""))</f>
        <v>46387</v>
      </c>
      <c r="D2207" s="18" t="s">
        <v>447</v>
      </c>
      <c r="E2207" s="26" t="n">
        <v>29675</v>
      </c>
      <c r="F2207" s="27" t="n">
        <v>1</v>
      </c>
      <c r="G2207" s="28" t="n">
        <v>45987</v>
      </c>
      <c r="H2207" s="28" t="n">
        <v>45987</v>
      </c>
      <c r="I2207" s="18" t="s">
        <v>683</v>
      </c>
      <c r="J2207" s="26" t="s">
        <v>406</v>
      </c>
      <c r="K2207" s="18" t="s">
        <v>446</v>
      </c>
      <c r="L2207" s="27" t="n">
        <v>1</v>
      </c>
      <c r="M2207" s="35" t="s">
        <v>386</v>
      </c>
      <c r="N2207" s="18" t="s">
        <v>387</v>
      </c>
      <c r="O2207" s="27" t="n">
        <v>1</v>
      </c>
      <c r="P2207" s="15" t="n">
        <f aca="false">IF(A2207="","",IF(O2207&lt;&gt;"",O2207,IF(L2207&lt;&gt;"",L2207,F2207)))</f>
        <v>1</v>
      </c>
    </row>
    <row r="2208" customFormat="false" ht="15" hidden="false" customHeight="true" outlineLevel="0" collapsed="false">
      <c r="A2208" s="30" t="s">
        <v>267</v>
      </c>
      <c r="B2208" s="30" t="s">
        <v>268</v>
      </c>
      <c r="C2208" s="21" t="n">
        <f aca="false">IF(A2208="","",IFERROR(VLOOKUP(A2208,'Recert Status'!$A$8:$C$400,3,FALSE()),""))</f>
        <v>46387</v>
      </c>
      <c r="D2208" s="31" t="s">
        <v>1217</v>
      </c>
      <c r="E2208" s="30" t="n">
        <v>29740</v>
      </c>
      <c r="F2208" s="32" t="n">
        <v>1</v>
      </c>
      <c r="G2208" s="33" t="n">
        <v>46071</v>
      </c>
      <c r="H2208" s="33" t="n">
        <v>46071</v>
      </c>
      <c r="I2208" s="31" t="s">
        <v>1218</v>
      </c>
      <c r="J2208" s="30" t="s">
        <v>394</v>
      </c>
      <c r="K2208" s="31" t="s">
        <v>504</v>
      </c>
      <c r="L2208" s="32" t="n">
        <v>1</v>
      </c>
      <c r="M2208" s="36" t="s">
        <v>396</v>
      </c>
      <c r="N2208" s="31" t="s">
        <v>397</v>
      </c>
      <c r="O2208" s="32" t="n">
        <v>1</v>
      </c>
      <c r="P2208" s="15" t="n">
        <f aca="false">IF(A2208="","",IF(O2208&lt;&gt;"",O2208,IF(L2208&lt;&gt;"",L2208,F2208)))</f>
        <v>1</v>
      </c>
    </row>
    <row r="2209" customFormat="false" ht="15" hidden="false" customHeight="true" outlineLevel="0" collapsed="false">
      <c r="A2209" s="26" t="s">
        <v>267</v>
      </c>
      <c r="B2209" s="26" t="s">
        <v>268</v>
      </c>
      <c r="C2209" s="14" t="n">
        <f aca="false">IF(A2209="","",IFERROR(VLOOKUP(A2209,'Recert Status'!$A$8:$C$400,3,FALSE()),""))</f>
        <v>46387</v>
      </c>
      <c r="D2209" s="18" t="s">
        <v>397</v>
      </c>
      <c r="E2209" s="26" t="s">
        <v>452</v>
      </c>
      <c r="F2209" s="27" t="n">
        <v>1</v>
      </c>
      <c r="G2209" s="28" t="n">
        <v>46245</v>
      </c>
      <c r="H2209" s="28" t="n">
        <v>46245</v>
      </c>
      <c r="I2209" s="18" t="s">
        <v>605</v>
      </c>
      <c r="J2209" s="26" t="s">
        <v>452</v>
      </c>
      <c r="K2209" s="18" t="s">
        <v>385</v>
      </c>
      <c r="L2209" s="27" t="n">
        <v>1</v>
      </c>
      <c r="M2209" s="36" t="s">
        <v>396</v>
      </c>
      <c r="N2209" s="18" t="s">
        <v>397</v>
      </c>
      <c r="O2209" s="27" t="n">
        <v>1</v>
      </c>
      <c r="P2209" s="15" t="n">
        <f aca="false">IF(A2209="","",IF(O2209&lt;&gt;"",O2209,IF(L2209&lt;&gt;"",L2209,F2209)))</f>
        <v>1</v>
      </c>
    </row>
    <row r="2210" customFormat="false" ht="15" hidden="false" customHeight="true" outlineLevel="0" collapsed="false">
      <c r="A2210" s="30" t="s">
        <v>267</v>
      </c>
      <c r="B2210" s="30" t="s">
        <v>268</v>
      </c>
      <c r="C2210" s="21" t="n">
        <f aca="false">IF(A2210="","",IFERROR(VLOOKUP(A2210,'Recert Status'!$A$8:$C$400,3,FALSE()),""))</f>
        <v>46387</v>
      </c>
      <c r="D2210" s="31" t="s">
        <v>992</v>
      </c>
      <c r="E2210" s="30" t="s">
        <v>416</v>
      </c>
      <c r="F2210" s="32" t="n">
        <v>1</v>
      </c>
      <c r="G2210" s="33" t="n">
        <v>45825</v>
      </c>
      <c r="H2210" s="33" t="n">
        <v>45825</v>
      </c>
      <c r="I2210" s="31" t="s">
        <v>993</v>
      </c>
      <c r="J2210" s="30" t="s">
        <v>416</v>
      </c>
      <c r="K2210" s="31" t="s">
        <v>418</v>
      </c>
      <c r="L2210" s="32" t="n">
        <v>1</v>
      </c>
      <c r="M2210" s="39" t="s">
        <v>413</v>
      </c>
      <c r="N2210" s="31" t="s">
        <v>414</v>
      </c>
      <c r="O2210" s="32" t="n">
        <v>1</v>
      </c>
      <c r="P2210" s="15" t="n">
        <f aca="false">IF(A2210="","",IF(O2210&lt;&gt;"",O2210,IF(L2210&lt;&gt;"",L2210,F2210)))</f>
        <v>1</v>
      </c>
    </row>
    <row r="2211" customFormat="false" ht="15" hidden="false" customHeight="true" outlineLevel="0" collapsed="false">
      <c r="A2211" s="26" t="s">
        <v>267</v>
      </c>
      <c r="B2211" s="26" t="s">
        <v>268</v>
      </c>
      <c r="C2211" s="14" t="n">
        <f aca="false">IF(A2211="","",IFERROR(VLOOKUP(A2211,'Recert Status'!$A$8:$C$400,3,FALSE()),""))</f>
        <v>46387</v>
      </c>
      <c r="D2211" s="18" t="s">
        <v>582</v>
      </c>
      <c r="E2211" s="26" t="s">
        <v>416</v>
      </c>
      <c r="F2211" s="27" t="n">
        <v>2</v>
      </c>
      <c r="G2211" s="28" t="n">
        <v>45861</v>
      </c>
      <c r="H2211" s="28" t="n">
        <v>45861</v>
      </c>
      <c r="I2211" s="18" t="s">
        <v>583</v>
      </c>
      <c r="J2211" s="26" t="s">
        <v>416</v>
      </c>
      <c r="K2211" s="18" t="s">
        <v>418</v>
      </c>
      <c r="L2211" s="27" t="n">
        <v>2</v>
      </c>
      <c r="M2211" s="39" t="s">
        <v>413</v>
      </c>
      <c r="N2211" s="18" t="s">
        <v>414</v>
      </c>
      <c r="O2211" s="27" t="n">
        <v>2</v>
      </c>
      <c r="P2211" s="15" t="n">
        <f aca="false">IF(A2211="","",IF(O2211&lt;&gt;"",O2211,IF(L2211&lt;&gt;"",L2211,F2211)))</f>
        <v>2</v>
      </c>
    </row>
    <row r="2212" customFormat="false" ht="15" hidden="false" customHeight="true" outlineLevel="0" collapsed="false">
      <c r="A2212" s="30" t="s">
        <v>267</v>
      </c>
      <c r="B2212" s="30" t="s">
        <v>268</v>
      </c>
      <c r="C2212" s="21" t="n">
        <f aca="false">IF(A2212="","",IFERROR(VLOOKUP(A2212,'Recert Status'!$A$8:$C$400,3,FALSE()),""))</f>
        <v>46387</v>
      </c>
      <c r="D2212" s="31" t="s">
        <v>959</v>
      </c>
      <c r="E2212" s="30" t="s">
        <v>416</v>
      </c>
      <c r="F2212" s="32" t="n">
        <v>1</v>
      </c>
      <c r="G2212" s="33" t="n">
        <v>45927</v>
      </c>
      <c r="H2212" s="33" t="n">
        <v>45927</v>
      </c>
      <c r="I2212" s="31" t="s">
        <v>1194</v>
      </c>
      <c r="J2212" s="30" t="s">
        <v>416</v>
      </c>
      <c r="K2212" s="31" t="s">
        <v>456</v>
      </c>
      <c r="L2212" s="32" t="n">
        <v>1</v>
      </c>
      <c r="M2212" s="39" t="s">
        <v>413</v>
      </c>
      <c r="N2212" s="31" t="s">
        <v>414</v>
      </c>
      <c r="O2212" s="32" t="n">
        <v>1</v>
      </c>
      <c r="P2212" s="15" t="n">
        <f aca="false">IF(A2212="","",IF(O2212&lt;&gt;"",O2212,IF(L2212&lt;&gt;"",L2212,F2212)))</f>
        <v>1</v>
      </c>
    </row>
    <row r="2213" customFormat="false" ht="15" hidden="false" customHeight="true" outlineLevel="0" collapsed="false">
      <c r="A2213" s="26" t="s">
        <v>267</v>
      </c>
      <c r="B2213" s="26" t="s">
        <v>268</v>
      </c>
      <c r="C2213" s="14" t="n">
        <f aca="false">IF(A2213="","",IFERROR(VLOOKUP(A2213,'Recert Status'!$A$8:$C$400,3,FALSE()),""))</f>
        <v>46387</v>
      </c>
      <c r="D2213" s="18" t="s">
        <v>488</v>
      </c>
      <c r="E2213" s="26" t="s">
        <v>416</v>
      </c>
      <c r="F2213" s="27" t="n">
        <v>1</v>
      </c>
      <c r="G2213" s="28" t="n">
        <v>46125</v>
      </c>
      <c r="H2213" s="28" t="n">
        <v>46125</v>
      </c>
      <c r="I2213" s="18" t="s">
        <v>608</v>
      </c>
      <c r="J2213" s="26" t="s">
        <v>416</v>
      </c>
      <c r="K2213" s="18" t="s">
        <v>490</v>
      </c>
      <c r="L2213" s="27" t="n">
        <v>1</v>
      </c>
      <c r="M2213" s="39" t="s">
        <v>413</v>
      </c>
      <c r="N2213" s="18" t="s">
        <v>414</v>
      </c>
      <c r="O2213" s="27" t="n">
        <v>1</v>
      </c>
      <c r="P2213" s="15" t="n">
        <f aca="false">IF(A2213="","",IF(O2213&lt;&gt;"",O2213,IF(L2213&lt;&gt;"",L2213,F2213)))</f>
        <v>1</v>
      </c>
    </row>
    <row r="2214" customFormat="false" ht="15" hidden="false" customHeight="true" outlineLevel="0" collapsed="false">
      <c r="A2214" s="30" t="s">
        <v>267</v>
      </c>
      <c r="B2214" s="30" t="s">
        <v>268</v>
      </c>
      <c r="C2214" s="21" t="n">
        <f aca="false">IF(A2214="","",IFERROR(VLOOKUP(A2214,'Recert Status'!$A$8:$C$400,3,FALSE()),""))</f>
        <v>46387</v>
      </c>
      <c r="D2214" s="31" t="s">
        <v>414</v>
      </c>
      <c r="E2214" s="30" t="s">
        <v>416</v>
      </c>
      <c r="F2214" s="32" t="n">
        <v>2</v>
      </c>
      <c r="G2214" s="33" t="n">
        <v>46218</v>
      </c>
      <c r="H2214" s="33" t="n">
        <v>46218</v>
      </c>
      <c r="I2214" s="31" t="s">
        <v>535</v>
      </c>
      <c r="J2214" s="30" t="s">
        <v>416</v>
      </c>
      <c r="K2214" s="31" t="s">
        <v>418</v>
      </c>
      <c r="L2214" s="32" t="n">
        <v>2</v>
      </c>
      <c r="M2214" s="39" t="s">
        <v>413</v>
      </c>
      <c r="N2214" s="31" t="s">
        <v>414</v>
      </c>
      <c r="O2214" s="32" t="n">
        <v>2</v>
      </c>
      <c r="P2214" s="15" t="n">
        <f aca="false">IF(A2214="","",IF(O2214&lt;&gt;"",O2214,IF(L2214&lt;&gt;"",L2214,F2214)))</f>
        <v>2</v>
      </c>
    </row>
    <row r="2215" customFormat="false" ht="15" hidden="false" customHeight="true" outlineLevel="0" collapsed="false">
      <c r="A2215" s="26" t="s">
        <v>269</v>
      </c>
      <c r="B2215" s="26" t="s">
        <v>270</v>
      </c>
      <c r="C2215" s="14" t="n">
        <f aca="false">IF(A2215="","",IFERROR(VLOOKUP(A2215,'Recert Status'!$A$8:$C$400,3,FALSE()),""))</f>
        <v>46387</v>
      </c>
      <c r="D2215" s="18" t="s">
        <v>367</v>
      </c>
      <c r="E2215" s="26" t="s">
        <v>363</v>
      </c>
      <c r="F2215" s="27" t="n">
        <v>1</v>
      </c>
      <c r="G2215" s="28" t="n">
        <v>46224</v>
      </c>
      <c r="H2215" s="28" t="n">
        <v>46224</v>
      </c>
      <c r="I2215" s="18" t="s">
        <v>1035</v>
      </c>
      <c r="J2215" s="26" t="s">
        <v>363</v>
      </c>
      <c r="K2215" s="18" t="s">
        <v>1036</v>
      </c>
      <c r="L2215" s="27" t="n">
        <v>1</v>
      </c>
      <c r="M2215" s="29" t="s">
        <v>366</v>
      </c>
      <c r="N2215" s="18" t="s">
        <v>367</v>
      </c>
      <c r="O2215" s="27" t="n">
        <v>1</v>
      </c>
      <c r="P2215" s="15" t="n">
        <f aca="false">IF(A2215="","",IF(O2215&lt;&gt;"",O2215,IF(L2215&lt;&gt;"",L2215,F2215)))</f>
        <v>1</v>
      </c>
    </row>
    <row r="2216" customFormat="false" ht="15" hidden="false" customHeight="true" outlineLevel="0" collapsed="false">
      <c r="A2216" s="30" t="s">
        <v>269</v>
      </c>
      <c r="B2216" s="30" t="s">
        <v>270</v>
      </c>
      <c r="C2216" s="21" t="n">
        <f aca="false">IF(A2216="","",IFERROR(VLOOKUP(A2216,'Recert Status'!$A$8:$C$400,3,FALSE()),""))</f>
        <v>46387</v>
      </c>
      <c r="D2216" s="31" t="s">
        <v>584</v>
      </c>
      <c r="E2216" s="30" t="s">
        <v>542</v>
      </c>
      <c r="F2216" s="32" t="n">
        <v>3</v>
      </c>
      <c r="G2216" s="33" t="n">
        <v>45892</v>
      </c>
      <c r="H2216" s="33" t="n">
        <v>45892</v>
      </c>
      <c r="I2216" s="31" t="s">
        <v>585</v>
      </c>
      <c r="J2216" s="30" t="s">
        <v>542</v>
      </c>
      <c r="K2216" s="31" t="s">
        <v>586</v>
      </c>
      <c r="L2216" s="32" t="n">
        <v>3</v>
      </c>
      <c r="M2216" s="40" t="s">
        <v>423</v>
      </c>
      <c r="N2216" s="31" t="s">
        <v>424</v>
      </c>
      <c r="O2216" s="32" t="n">
        <v>3</v>
      </c>
      <c r="P2216" s="15" t="n">
        <f aca="false">IF(A2216="","",IF(O2216&lt;&gt;"",O2216,IF(L2216&lt;&gt;"",L2216,F2216)))</f>
        <v>3</v>
      </c>
    </row>
    <row r="2217" customFormat="false" ht="15" hidden="false" customHeight="true" outlineLevel="0" collapsed="false">
      <c r="A2217" s="26" t="s">
        <v>269</v>
      </c>
      <c r="B2217" s="26" t="s">
        <v>270</v>
      </c>
      <c r="C2217" s="14" t="n">
        <f aca="false">IF(A2217="","",IFERROR(VLOOKUP(A2217,'Recert Status'!$A$8:$C$400,3,FALSE()),""))</f>
        <v>46387</v>
      </c>
      <c r="D2217" s="18" t="s">
        <v>425</v>
      </c>
      <c r="E2217" s="26" t="s">
        <v>426</v>
      </c>
      <c r="F2217" s="27" t="n">
        <v>2</v>
      </c>
      <c r="G2217" s="28" t="n">
        <v>45929</v>
      </c>
      <c r="H2217" s="28" t="n">
        <v>45929</v>
      </c>
      <c r="I2217" s="18" t="s">
        <v>427</v>
      </c>
      <c r="J2217" s="26" t="s">
        <v>426</v>
      </c>
      <c r="K2217" s="18" t="s">
        <v>428</v>
      </c>
      <c r="L2217" s="27" t="n">
        <v>2</v>
      </c>
      <c r="M2217" s="41" t="s">
        <v>429</v>
      </c>
      <c r="N2217" s="18" t="s">
        <v>430</v>
      </c>
      <c r="O2217" s="27" t="n">
        <v>2</v>
      </c>
      <c r="P2217" s="15" t="n">
        <f aca="false">IF(A2217="","",IF(O2217&lt;&gt;"",O2217,IF(L2217&lt;&gt;"",L2217,F2217)))</f>
        <v>2</v>
      </c>
    </row>
    <row r="2218" customFormat="false" ht="15" hidden="false" customHeight="true" outlineLevel="0" collapsed="false">
      <c r="A2218" s="30" t="s">
        <v>269</v>
      </c>
      <c r="B2218" s="30" t="s">
        <v>270</v>
      </c>
      <c r="C2218" s="21" t="n">
        <f aca="false">IF(A2218="","",IFERROR(VLOOKUP(A2218,'Recert Status'!$A$8:$C$400,3,FALSE()),""))</f>
        <v>46387</v>
      </c>
      <c r="D2218" s="31" t="s">
        <v>430</v>
      </c>
      <c r="E2218" s="30" t="s">
        <v>426</v>
      </c>
      <c r="F2218" s="32" t="n">
        <v>1</v>
      </c>
      <c r="G2218" s="33" t="n">
        <v>46224</v>
      </c>
      <c r="H2218" s="33" t="n">
        <v>46224</v>
      </c>
      <c r="I2218" s="31" t="s">
        <v>1037</v>
      </c>
      <c r="J2218" s="30" t="s">
        <v>426</v>
      </c>
      <c r="K2218" s="31" t="s">
        <v>428</v>
      </c>
      <c r="L2218" s="32" t="n">
        <v>1</v>
      </c>
      <c r="M2218" s="41" t="s">
        <v>429</v>
      </c>
      <c r="N2218" s="31" t="s">
        <v>430</v>
      </c>
      <c r="O2218" s="32" t="n">
        <v>1</v>
      </c>
      <c r="P2218" s="15" t="n">
        <f aca="false">IF(A2218="","",IF(O2218&lt;&gt;"",O2218,IF(L2218&lt;&gt;"",L2218,F2218)))</f>
        <v>1</v>
      </c>
    </row>
    <row r="2219" customFormat="false" ht="15" hidden="false" customHeight="true" outlineLevel="0" collapsed="false">
      <c r="A2219" s="26" t="s">
        <v>269</v>
      </c>
      <c r="B2219" s="26" t="s">
        <v>270</v>
      </c>
      <c r="C2219" s="14" t="n">
        <f aca="false">IF(A2219="","",IFERROR(VLOOKUP(A2219,'Recert Status'!$A$8:$C$400,3,FALSE()),""))</f>
        <v>46387</v>
      </c>
      <c r="D2219" s="18" t="s">
        <v>449</v>
      </c>
      <c r="E2219" s="26" t="s">
        <v>389</v>
      </c>
      <c r="F2219" s="27" t="n">
        <v>0.5</v>
      </c>
      <c r="G2219" s="28" t="n">
        <v>45698</v>
      </c>
      <c r="H2219" s="28" t="n">
        <v>45698</v>
      </c>
      <c r="I2219" s="18" t="s">
        <v>1216</v>
      </c>
      <c r="J2219" s="26" t="s">
        <v>389</v>
      </c>
      <c r="K2219" s="18" t="s">
        <v>395</v>
      </c>
      <c r="L2219" s="27" t="n">
        <v>0.5</v>
      </c>
      <c r="M2219" s="35" t="s">
        <v>386</v>
      </c>
      <c r="N2219" s="18" t="s">
        <v>387</v>
      </c>
      <c r="O2219" s="27" t="n">
        <v>0.5</v>
      </c>
      <c r="P2219" s="15" t="n">
        <f aca="false">IF(A2219="","",IF(O2219&lt;&gt;"",O2219,IF(L2219&lt;&gt;"",L2219,F2219)))</f>
        <v>0.5</v>
      </c>
    </row>
    <row r="2220" customFormat="false" ht="15" hidden="false" customHeight="true" outlineLevel="0" collapsed="false">
      <c r="A2220" s="30" t="s">
        <v>269</v>
      </c>
      <c r="B2220" s="30" t="s">
        <v>270</v>
      </c>
      <c r="C2220" s="21" t="n">
        <f aca="false">IF(A2220="","",IFERROR(VLOOKUP(A2220,'Recert Status'!$A$8:$C$400,3,FALSE()),""))</f>
        <v>46387</v>
      </c>
      <c r="D2220" s="31" t="s">
        <v>1384</v>
      </c>
      <c r="E2220" s="30" t="n">
        <v>29743</v>
      </c>
      <c r="F2220" s="32" t="n">
        <v>0.5</v>
      </c>
      <c r="G2220" s="33" t="n">
        <v>45785</v>
      </c>
      <c r="H2220" s="33" t="n">
        <v>45785</v>
      </c>
      <c r="I2220" s="31" t="s">
        <v>1385</v>
      </c>
      <c r="J2220" s="30" t="s">
        <v>439</v>
      </c>
      <c r="K2220" s="31" t="s">
        <v>509</v>
      </c>
      <c r="L2220" s="32" t="n">
        <v>0.5</v>
      </c>
      <c r="M2220" s="35" t="s">
        <v>386</v>
      </c>
      <c r="N2220" s="31" t="s">
        <v>387</v>
      </c>
      <c r="O2220" s="32" t="n">
        <v>0.5</v>
      </c>
      <c r="P2220" s="15" t="n">
        <f aca="false">IF(A2220="","",IF(O2220&lt;&gt;"",O2220,IF(L2220&lt;&gt;"",L2220,F2220)))</f>
        <v>0.5</v>
      </c>
    </row>
    <row r="2221" customFormat="false" ht="15" hidden="false" customHeight="true" outlineLevel="0" collapsed="false">
      <c r="A2221" s="26" t="s">
        <v>269</v>
      </c>
      <c r="B2221" s="26" t="s">
        <v>270</v>
      </c>
      <c r="C2221" s="14" t="n">
        <f aca="false">IF(A2221="","",IFERROR(VLOOKUP(A2221,'Recert Status'!$A$8:$C$400,3,FALSE()),""))</f>
        <v>46387</v>
      </c>
      <c r="D2221" s="18" t="s">
        <v>437</v>
      </c>
      <c r="E2221" s="26" t="n">
        <v>29743</v>
      </c>
      <c r="F2221" s="27" t="n">
        <v>1</v>
      </c>
      <c r="G2221" s="28" t="n">
        <v>45833</v>
      </c>
      <c r="H2221" s="28" t="n">
        <v>45833</v>
      </c>
      <c r="I2221" s="18" t="s">
        <v>438</v>
      </c>
      <c r="J2221" s="26" t="s">
        <v>439</v>
      </c>
      <c r="K2221" s="18" t="s">
        <v>440</v>
      </c>
      <c r="L2221" s="27" t="n">
        <v>1</v>
      </c>
      <c r="M2221" s="35" t="s">
        <v>386</v>
      </c>
      <c r="N2221" s="18" t="s">
        <v>387</v>
      </c>
      <c r="O2221" s="27" t="n">
        <v>1</v>
      </c>
      <c r="P2221" s="15" t="n">
        <f aca="false">IF(A2221="","",IF(O2221&lt;&gt;"",O2221,IF(L2221&lt;&gt;"",L2221,F2221)))</f>
        <v>1</v>
      </c>
    </row>
    <row r="2222" customFormat="false" ht="15" hidden="false" customHeight="true" outlineLevel="0" collapsed="false">
      <c r="A2222" s="30" t="s">
        <v>269</v>
      </c>
      <c r="B2222" s="30" t="s">
        <v>270</v>
      </c>
      <c r="C2222" s="21" t="n">
        <f aca="false">IF(A2222="","",IFERROR(VLOOKUP(A2222,'Recert Status'!$A$8:$C$400,3,FALSE()),""))</f>
        <v>46387</v>
      </c>
      <c r="D2222" s="31" t="s">
        <v>441</v>
      </c>
      <c r="E2222" s="30" t="n">
        <v>29743</v>
      </c>
      <c r="F2222" s="32" t="n">
        <v>1</v>
      </c>
      <c r="G2222" s="33" t="n">
        <v>45833</v>
      </c>
      <c r="H2222" s="33" t="n">
        <v>45833</v>
      </c>
      <c r="I2222" s="31" t="s">
        <v>442</v>
      </c>
      <c r="J2222" s="30" t="s">
        <v>439</v>
      </c>
      <c r="K2222" s="31" t="s">
        <v>443</v>
      </c>
      <c r="L2222" s="32" t="n">
        <v>1</v>
      </c>
      <c r="M2222" s="35" t="s">
        <v>386</v>
      </c>
      <c r="N2222" s="31" t="s">
        <v>387</v>
      </c>
      <c r="O2222" s="32" t="n">
        <v>1</v>
      </c>
      <c r="P2222" s="15" t="n">
        <f aca="false">IF(A2222="","",IF(O2222&lt;&gt;"",O2222,IF(L2222&lt;&gt;"",L2222,F2222)))</f>
        <v>1</v>
      </c>
    </row>
    <row r="2223" customFormat="false" ht="15" hidden="false" customHeight="true" outlineLevel="0" collapsed="false">
      <c r="A2223" s="26" t="s">
        <v>269</v>
      </c>
      <c r="B2223" s="26" t="s">
        <v>270</v>
      </c>
      <c r="C2223" s="14" t="n">
        <f aca="false">IF(A2223="","",IFERROR(VLOOKUP(A2223,'Recert Status'!$A$8:$C$400,3,FALSE()),""))</f>
        <v>46387</v>
      </c>
      <c r="D2223" s="18" t="s">
        <v>736</v>
      </c>
      <c r="E2223" s="26" t="n">
        <v>35513</v>
      </c>
      <c r="F2223" s="27" t="n">
        <v>2</v>
      </c>
      <c r="G2223" s="28" t="n">
        <v>45884</v>
      </c>
      <c r="H2223" s="28" t="n">
        <v>45884</v>
      </c>
      <c r="I2223" s="18" t="s">
        <v>737</v>
      </c>
      <c r="J2223" s="26" t="s">
        <v>384</v>
      </c>
      <c r="K2223" s="18" t="s">
        <v>385</v>
      </c>
      <c r="L2223" s="27" t="n">
        <v>2</v>
      </c>
      <c r="M2223" s="35" t="s">
        <v>386</v>
      </c>
      <c r="N2223" s="18" t="s">
        <v>387</v>
      </c>
      <c r="O2223" s="27" t="n">
        <v>2</v>
      </c>
      <c r="P2223" s="15" t="n">
        <f aca="false">IF(A2223="","",IF(O2223&lt;&gt;"",O2223,IF(L2223&lt;&gt;"",L2223,F2223)))</f>
        <v>2</v>
      </c>
    </row>
    <row r="2224" customFormat="false" ht="15" hidden="false" customHeight="true" outlineLevel="0" collapsed="false">
      <c r="A2224" s="30" t="s">
        <v>269</v>
      </c>
      <c r="B2224" s="30" t="s">
        <v>270</v>
      </c>
      <c r="C2224" s="21" t="n">
        <f aca="false">IF(A2224="","",IFERROR(VLOOKUP(A2224,'Recert Status'!$A$8:$C$400,3,FALSE()),""))</f>
        <v>46387</v>
      </c>
      <c r="D2224" s="31" t="s">
        <v>1625</v>
      </c>
      <c r="E2224" s="30" t="s">
        <v>389</v>
      </c>
      <c r="F2224" s="32" t="n">
        <v>1</v>
      </c>
      <c r="G2224" s="33" t="n">
        <v>46182</v>
      </c>
      <c r="H2224" s="33" t="n">
        <v>46182</v>
      </c>
      <c r="I2224" s="31" t="s">
        <v>1626</v>
      </c>
      <c r="J2224" s="30" t="s">
        <v>389</v>
      </c>
      <c r="K2224" s="31" t="s">
        <v>509</v>
      </c>
      <c r="L2224" s="32" t="n">
        <v>1</v>
      </c>
      <c r="M2224" s="35" t="s">
        <v>386</v>
      </c>
      <c r="N2224" s="31" t="s">
        <v>387</v>
      </c>
      <c r="O2224" s="32" t="n">
        <v>1</v>
      </c>
      <c r="P2224" s="15" t="n">
        <f aca="false">IF(A2224="","",IF(O2224&lt;&gt;"",O2224,IF(L2224&lt;&gt;"",L2224,F2224)))</f>
        <v>1</v>
      </c>
    </row>
    <row r="2225" customFormat="false" ht="15" hidden="false" customHeight="true" outlineLevel="0" collapsed="false">
      <c r="A2225" s="26" t="s">
        <v>269</v>
      </c>
      <c r="B2225" s="26" t="s">
        <v>270</v>
      </c>
      <c r="C2225" s="14" t="n">
        <f aca="false">IF(A2225="","",IFERROR(VLOOKUP(A2225,'Recert Status'!$A$8:$C$400,3,FALSE()),""))</f>
        <v>46387</v>
      </c>
      <c r="D2225" s="18" t="s">
        <v>387</v>
      </c>
      <c r="E2225" s="26" t="s">
        <v>389</v>
      </c>
      <c r="F2225" s="27" t="n">
        <v>1</v>
      </c>
      <c r="G2225" s="28" t="n">
        <v>46224</v>
      </c>
      <c r="H2225" s="28" t="n">
        <v>46224</v>
      </c>
      <c r="I2225" s="18" t="s">
        <v>1039</v>
      </c>
      <c r="J2225" s="26" t="s">
        <v>389</v>
      </c>
      <c r="K2225" s="18" t="s">
        <v>1040</v>
      </c>
      <c r="L2225" s="27" t="n">
        <v>1</v>
      </c>
      <c r="M2225" s="35" t="s">
        <v>386</v>
      </c>
      <c r="N2225" s="18" t="s">
        <v>387</v>
      </c>
      <c r="O2225" s="27" t="n">
        <v>1</v>
      </c>
      <c r="P2225" s="15" t="n">
        <f aca="false">IF(A2225="","",IF(O2225&lt;&gt;"",O2225,IF(L2225&lt;&gt;"",L2225,F2225)))</f>
        <v>1</v>
      </c>
    </row>
    <row r="2226" customFormat="false" ht="15" hidden="false" customHeight="true" outlineLevel="0" collapsed="false">
      <c r="A2226" s="30" t="s">
        <v>269</v>
      </c>
      <c r="B2226" s="30" t="s">
        <v>270</v>
      </c>
      <c r="C2226" s="21" t="n">
        <f aca="false">IF(A2226="","",IFERROR(VLOOKUP(A2226,'Recert Status'!$A$8:$C$400,3,FALSE()),""))</f>
        <v>46387</v>
      </c>
      <c r="D2226" s="31" t="s">
        <v>387</v>
      </c>
      <c r="E2226" s="30" t="s">
        <v>389</v>
      </c>
      <c r="F2226" s="32" t="n">
        <v>1</v>
      </c>
      <c r="G2226" s="33" t="n">
        <v>46235</v>
      </c>
      <c r="H2226" s="33" t="n">
        <v>46235</v>
      </c>
      <c r="I2226" s="31" t="s">
        <v>919</v>
      </c>
      <c r="J2226" s="30" t="s">
        <v>389</v>
      </c>
      <c r="K2226" s="31" t="s">
        <v>451</v>
      </c>
      <c r="L2226" s="32" t="n">
        <v>1</v>
      </c>
      <c r="M2226" s="35" t="s">
        <v>386</v>
      </c>
      <c r="N2226" s="31" t="s">
        <v>387</v>
      </c>
      <c r="O2226" s="32" t="n">
        <v>1</v>
      </c>
      <c r="P2226" s="15" t="n">
        <f aca="false">IF(A2226="","",IF(O2226&lt;&gt;"",O2226,IF(L2226&lt;&gt;"",L2226,F2226)))</f>
        <v>1</v>
      </c>
    </row>
    <row r="2227" customFormat="false" ht="15" hidden="false" customHeight="true" outlineLevel="0" collapsed="false">
      <c r="A2227" s="26" t="s">
        <v>269</v>
      </c>
      <c r="B2227" s="26" t="s">
        <v>270</v>
      </c>
      <c r="C2227" s="14" t="n">
        <f aca="false">IF(A2227="","",IFERROR(VLOOKUP(A2227,'Recert Status'!$A$8:$C$400,3,FALSE()),""))</f>
        <v>46387</v>
      </c>
      <c r="D2227" s="18" t="s">
        <v>387</v>
      </c>
      <c r="E2227" s="26" t="s">
        <v>389</v>
      </c>
      <c r="F2227" s="27" t="n">
        <v>0.5</v>
      </c>
      <c r="G2227" s="28" t="n">
        <v>46259</v>
      </c>
      <c r="H2227" s="28" t="n">
        <v>46259</v>
      </c>
      <c r="I2227" s="18" t="s">
        <v>1627</v>
      </c>
      <c r="J2227" s="26" t="s">
        <v>389</v>
      </c>
      <c r="K2227" s="18" t="s">
        <v>451</v>
      </c>
      <c r="L2227" s="27" t="n">
        <v>0.5</v>
      </c>
      <c r="M2227" s="35" t="s">
        <v>386</v>
      </c>
      <c r="N2227" s="18" t="s">
        <v>387</v>
      </c>
      <c r="O2227" s="27" t="n">
        <v>0.5</v>
      </c>
      <c r="P2227" s="15" t="n">
        <f aca="false">IF(A2227="","",IF(O2227&lt;&gt;"",O2227,IF(L2227&lt;&gt;"",L2227,F2227)))</f>
        <v>0.5</v>
      </c>
    </row>
    <row r="2228" customFormat="false" ht="15" hidden="false" customHeight="true" outlineLevel="0" collapsed="false">
      <c r="A2228" s="30" t="s">
        <v>269</v>
      </c>
      <c r="B2228" s="30" t="s">
        <v>270</v>
      </c>
      <c r="C2228" s="21" t="n">
        <f aca="false">IF(A2228="","",IFERROR(VLOOKUP(A2228,'Recert Status'!$A$8:$C$400,3,FALSE()),""))</f>
        <v>46387</v>
      </c>
      <c r="D2228" s="31" t="s">
        <v>992</v>
      </c>
      <c r="E2228" s="30" t="n">
        <v>29675</v>
      </c>
      <c r="F2228" s="32" t="n">
        <v>1</v>
      </c>
      <c r="G2228" s="33" t="n">
        <v>45824</v>
      </c>
      <c r="H2228" s="33" t="n">
        <v>45824</v>
      </c>
      <c r="I2228" s="31" t="s">
        <v>970</v>
      </c>
      <c r="J2228" s="30" t="s">
        <v>406</v>
      </c>
      <c r="K2228" s="31" t="s">
        <v>418</v>
      </c>
      <c r="L2228" s="32" t="n">
        <v>1</v>
      </c>
      <c r="M2228" s="39" t="s">
        <v>413</v>
      </c>
      <c r="N2228" s="31" t="s">
        <v>514</v>
      </c>
      <c r="O2228" s="32" t="n">
        <v>1</v>
      </c>
      <c r="P2228" s="15" t="n">
        <f aca="false">IF(A2228="","",IF(O2228&lt;&gt;"",O2228,IF(L2228&lt;&gt;"",L2228,F2228)))</f>
        <v>1</v>
      </c>
    </row>
    <row r="2229" customFormat="false" ht="15" hidden="false" customHeight="true" outlineLevel="0" collapsed="false">
      <c r="A2229" s="26" t="s">
        <v>269</v>
      </c>
      <c r="B2229" s="26" t="s">
        <v>270</v>
      </c>
      <c r="C2229" s="14" t="n">
        <f aca="false">IF(A2229="","",IFERROR(VLOOKUP(A2229,'Recert Status'!$A$8:$C$400,3,FALSE()),""))</f>
        <v>46387</v>
      </c>
      <c r="D2229" s="18" t="s">
        <v>415</v>
      </c>
      <c r="E2229" s="26" t="s">
        <v>416</v>
      </c>
      <c r="F2229" s="27" t="n">
        <v>2</v>
      </c>
      <c r="G2229" s="28" t="n">
        <v>45860</v>
      </c>
      <c r="H2229" s="28" t="n">
        <v>45860</v>
      </c>
      <c r="I2229" s="18" t="s">
        <v>721</v>
      </c>
      <c r="J2229" s="26" t="s">
        <v>416</v>
      </c>
      <c r="K2229" s="18" t="s">
        <v>418</v>
      </c>
      <c r="L2229" s="27" t="n">
        <v>2</v>
      </c>
      <c r="M2229" s="39" t="s">
        <v>413</v>
      </c>
      <c r="N2229" s="18" t="s">
        <v>414</v>
      </c>
      <c r="O2229" s="27" t="n">
        <v>2</v>
      </c>
      <c r="P2229" s="15" t="n">
        <f aca="false">IF(A2229="","",IF(O2229&lt;&gt;"",O2229,IF(L2229&lt;&gt;"",L2229,F2229)))</f>
        <v>2</v>
      </c>
    </row>
    <row r="2230" customFormat="false" ht="15" hidden="false" customHeight="true" outlineLevel="0" collapsed="false">
      <c r="A2230" s="30" t="s">
        <v>269</v>
      </c>
      <c r="B2230" s="30" t="s">
        <v>270</v>
      </c>
      <c r="C2230" s="21" t="n">
        <f aca="false">IF(A2230="","",IFERROR(VLOOKUP(A2230,'Recert Status'!$A$8:$C$400,3,FALSE()),""))</f>
        <v>46387</v>
      </c>
      <c r="D2230" s="31" t="s">
        <v>488</v>
      </c>
      <c r="E2230" s="30" t="s">
        <v>416</v>
      </c>
      <c r="F2230" s="32" t="n">
        <v>1</v>
      </c>
      <c r="G2230" s="33" t="n">
        <v>46139</v>
      </c>
      <c r="H2230" s="33" t="n">
        <v>46139</v>
      </c>
      <c r="I2230" s="31" t="s">
        <v>610</v>
      </c>
      <c r="J2230" s="30" t="s">
        <v>416</v>
      </c>
      <c r="K2230" s="31" t="s">
        <v>490</v>
      </c>
      <c r="L2230" s="32" t="n">
        <v>1</v>
      </c>
      <c r="M2230" s="39" t="s">
        <v>413</v>
      </c>
      <c r="N2230" s="31" t="s">
        <v>414</v>
      </c>
      <c r="O2230" s="32" t="n">
        <v>1</v>
      </c>
      <c r="P2230" s="15" t="n">
        <f aca="false">IF(A2230="","",IF(O2230&lt;&gt;"",O2230,IF(L2230&lt;&gt;"",L2230,F2230)))</f>
        <v>1</v>
      </c>
    </row>
    <row r="2231" customFormat="false" ht="15" hidden="false" customHeight="true" outlineLevel="0" collapsed="false">
      <c r="A2231" s="26" t="s">
        <v>269</v>
      </c>
      <c r="B2231" s="26" t="s">
        <v>270</v>
      </c>
      <c r="C2231" s="14" t="n">
        <f aca="false">IF(A2231="","",IFERROR(VLOOKUP(A2231,'Recert Status'!$A$8:$C$400,3,FALSE()),""))</f>
        <v>46387</v>
      </c>
      <c r="D2231" s="18" t="s">
        <v>414</v>
      </c>
      <c r="E2231" s="26" t="s">
        <v>416</v>
      </c>
      <c r="F2231" s="27" t="n">
        <v>1</v>
      </c>
      <c r="G2231" s="28" t="n">
        <v>46201</v>
      </c>
      <c r="H2231" s="28" t="n">
        <v>46201</v>
      </c>
      <c r="I2231" s="18" t="s">
        <v>1370</v>
      </c>
      <c r="J2231" s="26" t="s">
        <v>416</v>
      </c>
      <c r="K2231" s="18" t="s">
        <v>485</v>
      </c>
      <c r="L2231" s="27" t="n">
        <v>1</v>
      </c>
      <c r="M2231" s="39" t="s">
        <v>413</v>
      </c>
      <c r="N2231" s="18" t="s">
        <v>414</v>
      </c>
      <c r="O2231" s="27" t="n">
        <v>1</v>
      </c>
      <c r="P2231" s="15" t="n">
        <f aca="false">IF(A2231="","",IF(O2231&lt;&gt;"",O2231,IF(L2231&lt;&gt;"",L2231,F2231)))</f>
        <v>1</v>
      </c>
    </row>
    <row r="2232" customFormat="false" ht="15" hidden="false" customHeight="true" outlineLevel="0" collapsed="false">
      <c r="A2232" s="30" t="s">
        <v>269</v>
      </c>
      <c r="B2232" s="30" t="s">
        <v>270</v>
      </c>
      <c r="C2232" s="21" t="n">
        <f aca="false">IF(A2232="","",IFERROR(VLOOKUP(A2232,'Recert Status'!$A$8:$C$400,3,FALSE()),""))</f>
        <v>46387</v>
      </c>
      <c r="D2232" s="31" t="s">
        <v>414</v>
      </c>
      <c r="E2232" s="30" t="s">
        <v>416</v>
      </c>
      <c r="F2232" s="32" t="n">
        <v>2</v>
      </c>
      <c r="G2232" s="33" t="n">
        <v>46219</v>
      </c>
      <c r="H2232" s="33" t="n">
        <v>46219</v>
      </c>
      <c r="I2232" s="31" t="s">
        <v>567</v>
      </c>
      <c r="J2232" s="30" t="s">
        <v>416</v>
      </c>
      <c r="K2232" s="31" t="s">
        <v>418</v>
      </c>
      <c r="L2232" s="32" t="n">
        <v>2</v>
      </c>
      <c r="M2232" s="39" t="s">
        <v>413</v>
      </c>
      <c r="N2232" s="31" t="s">
        <v>414</v>
      </c>
      <c r="O2232" s="32" t="n">
        <v>2</v>
      </c>
      <c r="P2232" s="15" t="n">
        <f aca="false">IF(A2232="","",IF(O2232&lt;&gt;"",O2232,IF(L2232&lt;&gt;"",L2232,F2232)))</f>
        <v>2</v>
      </c>
    </row>
    <row r="2233" customFormat="false" ht="15" hidden="false" customHeight="true" outlineLevel="0" collapsed="false">
      <c r="A2233" s="26" t="s">
        <v>271</v>
      </c>
      <c r="B2233" s="26" t="s">
        <v>272</v>
      </c>
      <c r="C2233" s="14" t="n">
        <f aca="false">IF(A2233="","",IFERROR(VLOOKUP(A2233,'Recert Status'!$A$8:$C$400,3,FALSE()),""))</f>
        <v>46387</v>
      </c>
      <c r="D2233" s="18" t="s">
        <v>449</v>
      </c>
      <c r="E2233" s="26" t="s">
        <v>426</v>
      </c>
      <c r="F2233" s="27" t="n">
        <v>2.5</v>
      </c>
      <c r="G2233" s="28" t="n">
        <v>45719</v>
      </c>
      <c r="H2233" s="28" t="n">
        <v>45719</v>
      </c>
      <c r="I2233" s="18" t="s">
        <v>1435</v>
      </c>
      <c r="J2233" s="26" t="s">
        <v>426</v>
      </c>
      <c r="K2233" s="18" t="s">
        <v>428</v>
      </c>
      <c r="L2233" s="27" t="n">
        <v>2.5</v>
      </c>
      <c r="M2233" s="41" t="s">
        <v>429</v>
      </c>
      <c r="N2233" s="18" t="s">
        <v>430</v>
      </c>
      <c r="O2233" s="27" t="n">
        <v>2.5</v>
      </c>
      <c r="P2233" s="15" t="n">
        <f aca="false">IF(A2233="","",IF(O2233&lt;&gt;"",O2233,IF(L2233&lt;&gt;"",L2233,F2233)))</f>
        <v>2.5</v>
      </c>
    </row>
    <row r="2234" customFormat="false" ht="15" hidden="false" customHeight="true" outlineLevel="0" collapsed="false">
      <c r="A2234" s="30" t="s">
        <v>271</v>
      </c>
      <c r="B2234" s="30" t="s">
        <v>272</v>
      </c>
      <c r="C2234" s="21" t="n">
        <f aca="false">IF(A2234="","",IFERROR(VLOOKUP(A2234,'Recert Status'!$A$8:$C$400,3,FALSE()),""))</f>
        <v>46387</v>
      </c>
      <c r="D2234" s="31" t="s">
        <v>800</v>
      </c>
      <c r="E2234" s="30" t="s">
        <v>426</v>
      </c>
      <c r="F2234" s="32" t="n">
        <v>2</v>
      </c>
      <c r="G2234" s="33" t="n">
        <v>45929</v>
      </c>
      <c r="H2234" s="33" t="n">
        <v>45929</v>
      </c>
      <c r="I2234" s="31" t="s">
        <v>1580</v>
      </c>
      <c r="J2234" s="30" t="s">
        <v>426</v>
      </c>
      <c r="K2234" s="31" t="s">
        <v>495</v>
      </c>
      <c r="L2234" s="32" t="n">
        <v>2</v>
      </c>
      <c r="M2234" s="41" t="s">
        <v>429</v>
      </c>
      <c r="N2234" s="31" t="s">
        <v>430</v>
      </c>
      <c r="O2234" s="32" t="n">
        <v>2</v>
      </c>
      <c r="P2234" s="15" t="n">
        <f aca="false">IF(A2234="","",IF(O2234&lt;&gt;"",O2234,IF(L2234&lt;&gt;"",L2234,F2234)))</f>
        <v>2</v>
      </c>
    </row>
    <row r="2235" customFormat="false" ht="15" hidden="false" customHeight="true" outlineLevel="0" collapsed="false">
      <c r="A2235" s="26" t="s">
        <v>271</v>
      </c>
      <c r="B2235" s="26" t="s">
        <v>272</v>
      </c>
      <c r="C2235" s="14" t="n">
        <f aca="false">IF(A2235="","",IFERROR(VLOOKUP(A2235,'Recert Status'!$A$8:$C$400,3,FALSE()),""))</f>
        <v>46387</v>
      </c>
      <c r="D2235" s="18" t="s">
        <v>884</v>
      </c>
      <c r="E2235" s="26" t="s">
        <v>426</v>
      </c>
      <c r="F2235" s="27" t="n">
        <v>2</v>
      </c>
      <c r="G2235" s="28" t="n">
        <v>45929</v>
      </c>
      <c r="H2235" s="28" t="n">
        <v>45929</v>
      </c>
      <c r="I2235" s="18" t="s">
        <v>885</v>
      </c>
      <c r="J2235" s="26" t="s">
        <v>426</v>
      </c>
      <c r="K2235" s="18" t="s">
        <v>428</v>
      </c>
      <c r="L2235" s="27" t="n">
        <v>2</v>
      </c>
      <c r="M2235" s="41" t="s">
        <v>429</v>
      </c>
      <c r="N2235" s="18" t="s">
        <v>430</v>
      </c>
      <c r="O2235" s="27" t="n">
        <v>2</v>
      </c>
      <c r="P2235" s="15" t="n">
        <f aca="false">IF(A2235="","",IF(O2235&lt;&gt;"",O2235,IF(L2235&lt;&gt;"",L2235,F2235)))</f>
        <v>2</v>
      </c>
    </row>
    <row r="2236" customFormat="false" ht="15" hidden="false" customHeight="true" outlineLevel="0" collapsed="false">
      <c r="A2236" s="30" t="s">
        <v>271</v>
      </c>
      <c r="B2236" s="30" t="s">
        <v>272</v>
      </c>
      <c r="C2236" s="21" t="n">
        <f aca="false">IF(A2236="","",IFERROR(VLOOKUP(A2236,'Recert Status'!$A$8:$C$400,3,FALSE()),""))</f>
        <v>46387</v>
      </c>
      <c r="D2236" s="31" t="s">
        <v>1335</v>
      </c>
      <c r="E2236" s="30" t="s">
        <v>426</v>
      </c>
      <c r="F2236" s="32" t="n">
        <v>2</v>
      </c>
      <c r="G2236" s="33" t="n">
        <v>46076</v>
      </c>
      <c r="H2236" s="33" t="n">
        <v>46076</v>
      </c>
      <c r="I2236" s="31" t="s">
        <v>1336</v>
      </c>
      <c r="J2236" s="30" t="s">
        <v>426</v>
      </c>
      <c r="K2236" s="31" t="s">
        <v>428</v>
      </c>
      <c r="L2236" s="32" t="n">
        <v>2</v>
      </c>
      <c r="M2236" s="41" t="s">
        <v>429</v>
      </c>
      <c r="N2236" s="31" t="s">
        <v>430</v>
      </c>
      <c r="O2236" s="32" t="n">
        <v>2</v>
      </c>
      <c r="P2236" s="15" t="n">
        <f aca="false">IF(A2236="","",IF(O2236&lt;&gt;"",O2236,IF(L2236&lt;&gt;"",L2236,F2236)))</f>
        <v>2</v>
      </c>
    </row>
    <row r="2237" customFormat="false" ht="15" hidden="false" customHeight="true" outlineLevel="0" collapsed="false">
      <c r="A2237" s="26" t="s">
        <v>271</v>
      </c>
      <c r="B2237" s="26" t="s">
        <v>272</v>
      </c>
      <c r="C2237" s="14" t="n">
        <f aca="false">IF(A2237="","",IFERROR(VLOOKUP(A2237,'Recert Status'!$A$8:$C$400,3,FALSE()),""))</f>
        <v>46387</v>
      </c>
      <c r="D2237" s="18" t="s">
        <v>800</v>
      </c>
      <c r="E2237" s="26" t="n">
        <v>29740</v>
      </c>
      <c r="F2237" s="27" t="n">
        <v>1</v>
      </c>
      <c r="G2237" s="28" t="n">
        <v>45826</v>
      </c>
      <c r="H2237" s="28" t="n">
        <v>45826</v>
      </c>
      <c r="I2237" s="18" t="s">
        <v>1287</v>
      </c>
      <c r="J2237" s="26" t="s">
        <v>394</v>
      </c>
      <c r="K2237" s="18" t="s">
        <v>1288</v>
      </c>
      <c r="L2237" s="27" t="n">
        <v>1</v>
      </c>
      <c r="M2237" s="35" t="s">
        <v>386</v>
      </c>
      <c r="N2237" s="18" t="s">
        <v>387</v>
      </c>
      <c r="O2237" s="27" t="n">
        <v>1</v>
      </c>
      <c r="P2237" s="15" t="n">
        <f aca="false">IF(A2237="","",IF(O2237&lt;&gt;"",O2237,IF(L2237&lt;&gt;"",L2237,F2237)))</f>
        <v>1</v>
      </c>
    </row>
    <row r="2238" customFormat="false" ht="15" hidden="false" customHeight="true" outlineLevel="0" collapsed="false">
      <c r="A2238" s="30" t="s">
        <v>271</v>
      </c>
      <c r="B2238" s="30" t="s">
        <v>272</v>
      </c>
      <c r="C2238" s="21" t="n">
        <f aca="false">IF(A2238="","",IFERROR(VLOOKUP(A2238,'Recert Status'!$A$8:$C$400,3,FALSE()),""))</f>
        <v>46387</v>
      </c>
      <c r="D2238" s="31" t="s">
        <v>437</v>
      </c>
      <c r="E2238" s="30" t="n">
        <v>29743</v>
      </c>
      <c r="F2238" s="32" t="n">
        <v>1</v>
      </c>
      <c r="G2238" s="33" t="n">
        <v>45833</v>
      </c>
      <c r="H2238" s="33" t="n">
        <v>45833</v>
      </c>
      <c r="I2238" s="31" t="s">
        <v>438</v>
      </c>
      <c r="J2238" s="30" t="s">
        <v>439</v>
      </c>
      <c r="K2238" s="31" t="s">
        <v>440</v>
      </c>
      <c r="L2238" s="32" t="n">
        <v>1</v>
      </c>
      <c r="M2238" s="35" t="s">
        <v>386</v>
      </c>
      <c r="N2238" s="31" t="s">
        <v>387</v>
      </c>
      <c r="O2238" s="32" t="n">
        <v>1</v>
      </c>
      <c r="P2238" s="15" t="n">
        <f aca="false">IF(A2238="","",IF(O2238&lt;&gt;"",O2238,IF(L2238&lt;&gt;"",L2238,F2238)))</f>
        <v>1</v>
      </c>
    </row>
    <row r="2239" customFormat="false" ht="15" hidden="false" customHeight="true" outlineLevel="0" collapsed="false">
      <c r="A2239" s="26" t="s">
        <v>271</v>
      </c>
      <c r="B2239" s="26" t="s">
        <v>272</v>
      </c>
      <c r="C2239" s="14" t="n">
        <f aca="false">IF(A2239="","",IFERROR(VLOOKUP(A2239,'Recert Status'!$A$8:$C$400,3,FALSE()),""))</f>
        <v>46387</v>
      </c>
      <c r="D2239" s="18" t="s">
        <v>441</v>
      </c>
      <c r="E2239" s="26" t="n">
        <v>29743</v>
      </c>
      <c r="F2239" s="27" t="n">
        <v>1</v>
      </c>
      <c r="G2239" s="28" t="n">
        <v>45833</v>
      </c>
      <c r="H2239" s="28" t="n">
        <v>45833</v>
      </c>
      <c r="I2239" s="18" t="s">
        <v>442</v>
      </c>
      <c r="J2239" s="26" t="s">
        <v>439</v>
      </c>
      <c r="K2239" s="18" t="s">
        <v>443</v>
      </c>
      <c r="L2239" s="27" t="n">
        <v>1</v>
      </c>
      <c r="M2239" s="35" t="s">
        <v>386</v>
      </c>
      <c r="N2239" s="18" t="s">
        <v>387</v>
      </c>
      <c r="O2239" s="27" t="n">
        <v>1</v>
      </c>
      <c r="P2239" s="15" t="n">
        <f aca="false">IF(A2239="","",IF(O2239&lt;&gt;"",O2239,IF(L2239&lt;&gt;"",L2239,F2239)))</f>
        <v>1</v>
      </c>
    </row>
    <row r="2240" customFormat="false" ht="15" hidden="false" customHeight="true" outlineLevel="0" collapsed="false">
      <c r="A2240" s="30" t="s">
        <v>271</v>
      </c>
      <c r="B2240" s="30" t="s">
        <v>272</v>
      </c>
      <c r="C2240" s="21" t="n">
        <f aca="false">IF(A2240="","",IFERROR(VLOOKUP(A2240,'Recert Status'!$A$8:$C$400,3,FALSE()),""))</f>
        <v>46387</v>
      </c>
      <c r="D2240" s="31" t="s">
        <v>682</v>
      </c>
      <c r="E2240" s="30" t="n">
        <v>29675</v>
      </c>
      <c r="F2240" s="32" t="n">
        <v>1</v>
      </c>
      <c r="G2240" s="33" t="n">
        <v>45986</v>
      </c>
      <c r="H2240" s="33" t="n">
        <v>45986</v>
      </c>
      <c r="I2240" s="31" t="s">
        <v>793</v>
      </c>
      <c r="J2240" s="30" t="s">
        <v>406</v>
      </c>
      <c r="K2240" s="31" t="s">
        <v>446</v>
      </c>
      <c r="L2240" s="32" t="n">
        <v>1</v>
      </c>
      <c r="M2240" s="35" t="s">
        <v>386</v>
      </c>
      <c r="N2240" s="31" t="s">
        <v>387</v>
      </c>
      <c r="O2240" s="32" t="n">
        <v>1</v>
      </c>
      <c r="P2240" s="15" t="n">
        <f aca="false">IF(A2240="","",IF(O2240&lt;&gt;"",O2240,IF(L2240&lt;&gt;"",L2240,F2240)))</f>
        <v>1</v>
      </c>
    </row>
    <row r="2241" customFormat="false" ht="15" hidden="false" customHeight="true" outlineLevel="0" collapsed="false">
      <c r="A2241" s="26" t="s">
        <v>271</v>
      </c>
      <c r="B2241" s="26" t="s">
        <v>272</v>
      </c>
      <c r="C2241" s="14" t="n">
        <f aca="false">IF(A2241="","",IFERROR(VLOOKUP(A2241,'Recert Status'!$A$8:$C$400,3,FALSE()),""))</f>
        <v>46387</v>
      </c>
      <c r="D2241" s="18" t="s">
        <v>387</v>
      </c>
      <c r="E2241" s="26" t="s">
        <v>389</v>
      </c>
      <c r="F2241" s="27" t="n">
        <v>1</v>
      </c>
      <c r="G2241" s="28" t="n">
        <v>46241</v>
      </c>
      <c r="H2241" s="28" t="n">
        <v>46241</v>
      </c>
      <c r="I2241" s="18" t="s">
        <v>1011</v>
      </c>
      <c r="J2241" s="26" t="s">
        <v>389</v>
      </c>
      <c r="K2241" s="18" t="s">
        <v>451</v>
      </c>
      <c r="L2241" s="27" t="n">
        <v>1</v>
      </c>
      <c r="M2241" s="35" t="s">
        <v>386</v>
      </c>
      <c r="N2241" s="18" t="s">
        <v>387</v>
      </c>
      <c r="O2241" s="27" t="n">
        <v>1</v>
      </c>
      <c r="P2241" s="15" t="n">
        <f aca="false">IF(A2241="","",IF(O2241&lt;&gt;"",O2241,IF(L2241&lt;&gt;"",L2241,F2241)))</f>
        <v>1</v>
      </c>
    </row>
    <row r="2242" customFormat="false" ht="15" hidden="false" customHeight="true" outlineLevel="0" collapsed="false">
      <c r="A2242" s="30" t="s">
        <v>271</v>
      </c>
      <c r="B2242" s="30" t="s">
        <v>272</v>
      </c>
      <c r="C2242" s="21" t="n">
        <f aca="false">IF(A2242="","",IFERROR(VLOOKUP(A2242,'Recert Status'!$A$8:$C$400,3,FALSE()),""))</f>
        <v>46387</v>
      </c>
      <c r="D2242" s="31" t="s">
        <v>1265</v>
      </c>
      <c r="E2242" s="30" t="n">
        <v>29769</v>
      </c>
      <c r="F2242" s="32" t="n">
        <v>4</v>
      </c>
      <c r="G2242" s="33" t="n">
        <v>45740</v>
      </c>
      <c r="H2242" s="33" t="n">
        <v>45740</v>
      </c>
      <c r="I2242" s="31" t="s">
        <v>1266</v>
      </c>
      <c r="J2242" s="30" t="s">
        <v>517</v>
      </c>
      <c r="K2242" s="31" t="s">
        <v>412</v>
      </c>
      <c r="L2242" s="32" t="n">
        <v>4</v>
      </c>
      <c r="M2242" s="36" t="s">
        <v>396</v>
      </c>
      <c r="N2242" s="31" t="s">
        <v>397</v>
      </c>
      <c r="O2242" s="32" t="n">
        <v>4</v>
      </c>
      <c r="P2242" s="15" t="n">
        <f aca="false">IF(A2242="","",IF(O2242&lt;&gt;"",O2242,IF(L2242&lt;&gt;"",L2242,F2242)))</f>
        <v>4</v>
      </c>
    </row>
    <row r="2243" customFormat="false" ht="15" hidden="false" customHeight="true" outlineLevel="0" collapsed="false">
      <c r="A2243" s="26" t="s">
        <v>271</v>
      </c>
      <c r="B2243" s="26" t="s">
        <v>272</v>
      </c>
      <c r="C2243" s="14" t="n">
        <f aca="false">IF(A2243="","",IFERROR(VLOOKUP(A2243,'Recert Status'!$A$8:$C$400,3,FALSE()),""))</f>
        <v>46387</v>
      </c>
      <c r="D2243" s="18" t="s">
        <v>1267</v>
      </c>
      <c r="E2243" s="26" t="n">
        <v>29769</v>
      </c>
      <c r="F2243" s="27" t="n">
        <v>4</v>
      </c>
      <c r="G2243" s="28" t="n">
        <v>45740</v>
      </c>
      <c r="H2243" s="28" t="n">
        <v>45740</v>
      </c>
      <c r="I2243" s="18" t="s">
        <v>1266</v>
      </c>
      <c r="J2243" s="26" t="s">
        <v>517</v>
      </c>
      <c r="K2243" s="18" t="s">
        <v>1268</v>
      </c>
      <c r="L2243" s="27" t="n">
        <v>4</v>
      </c>
      <c r="M2243" s="36" t="s">
        <v>396</v>
      </c>
      <c r="N2243" s="18" t="s">
        <v>397</v>
      </c>
      <c r="O2243" s="27" t="n">
        <v>4</v>
      </c>
      <c r="P2243" s="15" t="n">
        <f aca="false">IF(A2243="","",IF(O2243&lt;&gt;"",O2243,IF(L2243&lt;&gt;"",L2243,F2243)))</f>
        <v>4</v>
      </c>
    </row>
    <row r="2244" customFormat="false" ht="15" hidden="false" customHeight="true" outlineLevel="0" collapsed="false">
      <c r="A2244" s="30" t="s">
        <v>271</v>
      </c>
      <c r="B2244" s="30" t="s">
        <v>272</v>
      </c>
      <c r="C2244" s="21" t="n">
        <f aca="false">IF(A2244="","",IFERROR(VLOOKUP(A2244,'Recert Status'!$A$8:$C$400,3,FALSE()),""))</f>
        <v>46387</v>
      </c>
      <c r="D2244" s="31" t="s">
        <v>397</v>
      </c>
      <c r="E2244" s="30" t="s">
        <v>452</v>
      </c>
      <c r="F2244" s="32" t="n">
        <v>1</v>
      </c>
      <c r="G2244" s="33" t="n">
        <v>46244</v>
      </c>
      <c r="H2244" s="33" t="n">
        <v>46244</v>
      </c>
      <c r="I2244" s="31" t="s">
        <v>577</v>
      </c>
      <c r="J2244" s="30" t="s">
        <v>452</v>
      </c>
      <c r="K2244" s="31" t="s">
        <v>385</v>
      </c>
      <c r="L2244" s="32" t="n">
        <v>1</v>
      </c>
      <c r="M2244" s="36" t="s">
        <v>396</v>
      </c>
      <c r="N2244" s="31" t="s">
        <v>397</v>
      </c>
      <c r="O2244" s="32" t="n">
        <v>1</v>
      </c>
      <c r="P2244" s="15" t="n">
        <f aca="false">IF(A2244="","",IF(O2244&lt;&gt;"",O2244,IF(L2244&lt;&gt;"",L2244,F2244)))</f>
        <v>1</v>
      </c>
    </row>
    <row r="2245" customFormat="false" ht="15" hidden="false" customHeight="true" outlineLevel="0" collapsed="false">
      <c r="A2245" s="26" t="s">
        <v>271</v>
      </c>
      <c r="B2245" s="26" t="s">
        <v>272</v>
      </c>
      <c r="C2245" s="14" t="n">
        <f aca="false">IF(A2245="","",IFERROR(VLOOKUP(A2245,'Recert Status'!$A$8:$C$400,3,FALSE()),""))</f>
        <v>46387</v>
      </c>
      <c r="D2245" s="18" t="s">
        <v>488</v>
      </c>
      <c r="E2245" s="26" t="s">
        <v>416</v>
      </c>
      <c r="F2245" s="27" t="n">
        <v>1</v>
      </c>
      <c r="G2245" s="28" t="n">
        <v>46139</v>
      </c>
      <c r="H2245" s="28" t="n">
        <v>46139</v>
      </c>
      <c r="I2245" s="18" t="s">
        <v>610</v>
      </c>
      <c r="J2245" s="26" t="s">
        <v>416</v>
      </c>
      <c r="K2245" s="18" t="s">
        <v>490</v>
      </c>
      <c r="L2245" s="27" t="n">
        <v>1</v>
      </c>
      <c r="M2245" s="39" t="s">
        <v>413</v>
      </c>
      <c r="N2245" s="18" t="s">
        <v>414</v>
      </c>
      <c r="O2245" s="27" t="n">
        <v>1</v>
      </c>
      <c r="P2245" s="15" t="n">
        <f aca="false">IF(A2245="","",IF(O2245&lt;&gt;"",O2245,IF(L2245&lt;&gt;"",L2245,F2245)))</f>
        <v>1</v>
      </c>
    </row>
    <row r="2246" customFormat="false" ht="15" hidden="false" customHeight="true" outlineLevel="0" collapsed="false">
      <c r="A2246" s="30" t="s">
        <v>271</v>
      </c>
      <c r="B2246" s="30" t="s">
        <v>272</v>
      </c>
      <c r="C2246" s="21" t="n">
        <f aca="false">IF(A2246="","",IFERROR(VLOOKUP(A2246,'Recert Status'!$A$8:$C$400,3,FALSE()),""))</f>
        <v>46387</v>
      </c>
      <c r="D2246" s="31" t="s">
        <v>414</v>
      </c>
      <c r="E2246" s="30" t="s">
        <v>416</v>
      </c>
      <c r="F2246" s="32" t="n">
        <v>2</v>
      </c>
      <c r="G2246" s="33" t="n">
        <v>46217</v>
      </c>
      <c r="H2246" s="33" t="n">
        <v>46217</v>
      </c>
      <c r="I2246" s="31" t="s">
        <v>460</v>
      </c>
      <c r="J2246" s="30" t="s">
        <v>416</v>
      </c>
      <c r="K2246" s="31" t="s">
        <v>418</v>
      </c>
      <c r="L2246" s="32" t="n">
        <v>2</v>
      </c>
      <c r="M2246" s="39" t="s">
        <v>413</v>
      </c>
      <c r="N2246" s="31" t="s">
        <v>414</v>
      </c>
      <c r="O2246" s="32" t="n">
        <v>2</v>
      </c>
      <c r="P2246" s="15" t="n">
        <f aca="false">IF(A2246="","",IF(O2246&lt;&gt;"",O2246,IF(L2246&lt;&gt;"",L2246,F2246)))</f>
        <v>2</v>
      </c>
    </row>
    <row r="2247" customFormat="false" ht="15" hidden="false" customHeight="true" outlineLevel="0" collapsed="false">
      <c r="A2247" s="26" t="s">
        <v>273</v>
      </c>
      <c r="B2247" s="26" t="s">
        <v>274</v>
      </c>
      <c r="C2247" s="14" t="n">
        <f aca="false">IF(A2247="","",IFERROR(VLOOKUP(A2247,'Recert Status'!$A$8:$C$400,3,FALSE()),""))</f>
        <v>46752</v>
      </c>
      <c r="D2247" s="18" t="s">
        <v>623</v>
      </c>
      <c r="E2247" s="26" t="s">
        <v>363</v>
      </c>
      <c r="F2247" s="27" t="n">
        <v>0.5</v>
      </c>
      <c r="G2247" s="28" t="n">
        <v>45783</v>
      </c>
      <c r="H2247" s="28" t="n">
        <v>45783</v>
      </c>
      <c r="I2247" s="18" t="s">
        <v>624</v>
      </c>
      <c r="J2247" s="26" t="s">
        <v>363</v>
      </c>
      <c r="K2247" s="18" t="s">
        <v>365</v>
      </c>
      <c r="L2247" s="27" t="n">
        <v>0.5</v>
      </c>
      <c r="M2247" s="29" t="s">
        <v>366</v>
      </c>
      <c r="N2247" s="18" t="s">
        <v>367</v>
      </c>
      <c r="O2247" s="27" t="n">
        <v>0.5</v>
      </c>
      <c r="P2247" s="15" t="n">
        <f aca="false">IF(A2247="","",IF(O2247&lt;&gt;"",O2247,IF(L2247&lt;&gt;"",L2247,F2247)))</f>
        <v>0.5</v>
      </c>
    </row>
    <row r="2248" customFormat="false" ht="15" hidden="false" customHeight="true" outlineLevel="0" collapsed="false">
      <c r="A2248" s="30" t="s">
        <v>273</v>
      </c>
      <c r="B2248" s="30" t="s">
        <v>274</v>
      </c>
      <c r="C2248" s="21" t="n">
        <f aca="false">IF(A2248="","",IFERROR(VLOOKUP(A2248,'Recert Status'!$A$8:$C$400,3,FALSE()),""))</f>
        <v>46752</v>
      </c>
      <c r="D2248" s="31" t="s">
        <v>824</v>
      </c>
      <c r="E2248" s="30" t="s">
        <v>363</v>
      </c>
      <c r="F2248" s="32" t="n">
        <v>0.5</v>
      </c>
      <c r="G2248" s="33" t="n">
        <v>45810</v>
      </c>
      <c r="H2248" s="33" t="n">
        <v>45810</v>
      </c>
      <c r="I2248" s="31" t="s">
        <v>825</v>
      </c>
      <c r="J2248" s="30" t="s">
        <v>363</v>
      </c>
      <c r="K2248" s="31" t="s">
        <v>370</v>
      </c>
      <c r="L2248" s="32" t="n">
        <v>0.5</v>
      </c>
      <c r="M2248" s="29" t="s">
        <v>366</v>
      </c>
      <c r="N2248" s="31" t="s">
        <v>367</v>
      </c>
      <c r="O2248" s="32" t="n">
        <v>0.5</v>
      </c>
      <c r="P2248" s="15" t="n">
        <f aca="false">IF(A2248="","",IF(O2248&lt;&gt;"",O2248,IF(L2248&lt;&gt;"",L2248,F2248)))</f>
        <v>0.5</v>
      </c>
    </row>
    <row r="2249" customFormat="false" ht="15" hidden="false" customHeight="true" outlineLevel="0" collapsed="false">
      <c r="A2249" s="26" t="s">
        <v>273</v>
      </c>
      <c r="B2249" s="26" t="s">
        <v>274</v>
      </c>
      <c r="C2249" s="14" t="n">
        <f aca="false">IF(A2249="","",IFERROR(VLOOKUP(A2249,'Recert Status'!$A$8:$C$400,3,FALSE()),""))</f>
        <v>46752</v>
      </c>
      <c r="D2249" s="18" t="s">
        <v>449</v>
      </c>
      <c r="E2249" s="26" t="s">
        <v>363</v>
      </c>
      <c r="F2249" s="27" t="n">
        <v>1</v>
      </c>
      <c r="G2249" s="28" t="n">
        <v>45813</v>
      </c>
      <c r="H2249" s="28" t="n">
        <v>45813</v>
      </c>
      <c r="I2249" s="18" t="s">
        <v>826</v>
      </c>
      <c r="J2249" s="26" t="s">
        <v>363</v>
      </c>
      <c r="K2249" s="18" t="s">
        <v>365</v>
      </c>
      <c r="L2249" s="27" t="n">
        <v>1</v>
      </c>
      <c r="M2249" s="29" t="s">
        <v>366</v>
      </c>
      <c r="N2249" s="18" t="s">
        <v>367</v>
      </c>
      <c r="O2249" s="27" t="n">
        <v>1</v>
      </c>
      <c r="P2249" s="15" t="n">
        <f aca="false">IF(A2249="","",IF(O2249&lt;&gt;"",O2249,IF(L2249&lt;&gt;"",L2249,F2249)))</f>
        <v>1</v>
      </c>
    </row>
    <row r="2250" customFormat="false" ht="15" hidden="false" customHeight="true" outlineLevel="0" collapsed="false">
      <c r="A2250" s="30" t="s">
        <v>273</v>
      </c>
      <c r="B2250" s="30" t="s">
        <v>274</v>
      </c>
      <c r="C2250" s="21" t="n">
        <f aca="false">IF(A2250="","",IFERROR(VLOOKUP(A2250,'Recert Status'!$A$8:$C$400,3,FALSE()),""))</f>
        <v>46752</v>
      </c>
      <c r="D2250" s="31" t="s">
        <v>827</v>
      </c>
      <c r="E2250" s="30" t="s">
        <v>389</v>
      </c>
      <c r="F2250" s="32" t="n">
        <v>2.5</v>
      </c>
      <c r="G2250" s="33" t="n">
        <v>45867</v>
      </c>
      <c r="H2250" s="33" t="n">
        <v>45867</v>
      </c>
      <c r="I2250" s="31" t="s">
        <v>828</v>
      </c>
      <c r="J2250" s="30" t="s">
        <v>389</v>
      </c>
      <c r="K2250" s="31" t="s">
        <v>829</v>
      </c>
      <c r="L2250" s="32" t="n">
        <v>1.5</v>
      </c>
      <c r="M2250" s="29" t="s">
        <v>366</v>
      </c>
      <c r="N2250" s="31" t="s">
        <v>830</v>
      </c>
      <c r="O2250" s="32" t="n">
        <v>2.5</v>
      </c>
      <c r="P2250" s="15" t="n">
        <f aca="false">IF(A2250="","",IF(O2250&lt;&gt;"",O2250,IF(L2250&lt;&gt;"",L2250,F2250)))</f>
        <v>2.5</v>
      </c>
    </row>
    <row r="2251" customFormat="false" ht="15" hidden="false" customHeight="true" outlineLevel="0" collapsed="false">
      <c r="A2251" s="26" t="s">
        <v>273</v>
      </c>
      <c r="B2251" s="26" t="s">
        <v>274</v>
      </c>
      <c r="C2251" s="14" t="n">
        <f aca="false">IF(A2251="","",IFERROR(VLOOKUP(A2251,'Recert Status'!$A$8:$C$400,3,FALSE()),""))</f>
        <v>46752</v>
      </c>
      <c r="D2251" s="18" t="s">
        <v>1620</v>
      </c>
      <c r="E2251" s="26" t="s">
        <v>363</v>
      </c>
      <c r="F2251" s="27" t="n">
        <v>1</v>
      </c>
      <c r="G2251" s="28" t="n">
        <v>46027</v>
      </c>
      <c r="H2251" s="28" t="n">
        <v>46027</v>
      </c>
      <c r="I2251" s="18" t="s">
        <v>1628</v>
      </c>
      <c r="J2251" s="26" t="s">
        <v>363</v>
      </c>
      <c r="K2251" s="18" t="s">
        <v>630</v>
      </c>
      <c r="L2251" s="27" t="n">
        <v>1</v>
      </c>
      <c r="M2251" s="29" t="s">
        <v>366</v>
      </c>
      <c r="N2251" s="18" t="s">
        <v>514</v>
      </c>
      <c r="O2251" s="27" t="n">
        <v>1</v>
      </c>
      <c r="P2251" s="15" t="n">
        <f aca="false">IF(A2251="","",IF(O2251&lt;&gt;"",O2251,IF(L2251&lt;&gt;"",L2251,F2251)))</f>
        <v>1</v>
      </c>
    </row>
    <row r="2252" customFormat="false" ht="15" hidden="false" customHeight="true" outlineLevel="0" collapsed="false">
      <c r="A2252" s="30" t="s">
        <v>273</v>
      </c>
      <c r="B2252" s="30" t="s">
        <v>274</v>
      </c>
      <c r="C2252" s="21" t="n">
        <f aca="false">IF(A2252="","",IFERROR(VLOOKUP(A2252,'Recert Status'!$A$8:$C$400,3,FALSE()),""))</f>
        <v>46752</v>
      </c>
      <c r="D2252" s="31" t="s">
        <v>569</v>
      </c>
      <c r="E2252" s="30" t="n">
        <v>57433</v>
      </c>
      <c r="F2252" s="32" t="n">
        <v>1</v>
      </c>
      <c r="G2252" s="33" t="n">
        <v>46017</v>
      </c>
      <c r="H2252" s="33" t="n">
        <v>46017</v>
      </c>
      <c r="I2252" s="31" t="s">
        <v>570</v>
      </c>
      <c r="J2252" s="30" t="s">
        <v>421</v>
      </c>
      <c r="K2252" s="31" t="s">
        <v>428</v>
      </c>
      <c r="L2252" s="32" t="n">
        <v>1</v>
      </c>
      <c r="M2252" s="40" t="s">
        <v>423</v>
      </c>
      <c r="N2252" s="31" t="s">
        <v>514</v>
      </c>
      <c r="O2252" s="32" t="n">
        <v>1</v>
      </c>
      <c r="P2252" s="15" t="n">
        <f aca="false">IF(A2252="","",IF(O2252&lt;&gt;"",O2252,IF(L2252&lt;&gt;"",L2252,F2252)))</f>
        <v>1</v>
      </c>
    </row>
    <row r="2253" customFormat="false" ht="15" hidden="false" customHeight="true" outlineLevel="0" collapsed="false">
      <c r="A2253" s="26" t="s">
        <v>273</v>
      </c>
      <c r="B2253" s="26" t="s">
        <v>274</v>
      </c>
      <c r="C2253" s="14" t="n">
        <f aca="false">IF(A2253="","",IFERROR(VLOOKUP(A2253,'Recert Status'!$A$8:$C$400,3,FALSE()),""))</f>
        <v>46752</v>
      </c>
      <c r="D2253" s="18" t="s">
        <v>865</v>
      </c>
      <c r="E2253" s="26" t="s">
        <v>542</v>
      </c>
      <c r="F2253" s="27" t="n">
        <v>1</v>
      </c>
      <c r="G2253" s="28" t="n">
        <v>46056</v>
      </c>
      <c r="H2253" s="28" t="n">
        <v>46056</v>
      </c>
      <c r="I2253" s="18" t="s">
        <v>866</v>
      </c>
      <c r="J2253" s="26" t="s">
        <v>542</v>
      </c>
      <c r="K2253" s="18" t="s">
        <v>422</v>
      </c>
      <c r="L2253" s="27" t="n">
        <v>1</v>
      </c>
      <c r="M2253" s="40" t="s">
        <v>423</v>
      </c>
      <c r="N2253" s="18" t="s">
        <v>424</v>
      </c>
      <c r="O2253" s="27" t="n">
        <v>1</v>
      </c>
      <c r="P2253" s="15" t="n">
        <f aca="false">IF(A2253="","",IF(O2253&lt;&gt;"",O2253,IF(L2253&lt;&gt;"",L2253,F2253)))</f>
        <v>1</v>
      </c>
    </row>
    <row r="2254" customFormat="false" ht="15" hidden="false" customHeight="true" outlineLevel="0" collapsed="false">
      <c r="A2254" s="30" t="s">
        <v>273</v>
      </c>
      <c r="B2254" s="30" t="s">
        <v>274</v>
      </c>
      <c r="C2254" s="21" t="n">
        <f aca="false">IF(A2254="","",IFERROR(VLOOKUP(A2254,'Recert Status'!$A$8:$C$400,3,FALSE()),""))</f>
        <v>46752</v>
      </c>
      <c r="D2254" s="31" t="s">
        <v>569</v>
      </c>
      <c r="E2254" s="30" t="s">
        <v>426</v>
      </c>
      <c r="F2254" s="32" t="n">
        <v>0.5</v>
      </c>
      <c r="G2254" s="33" t="n">
        <v>45918</v>
      </c>
      <c r="H2254" s="33" t="n">
        <v>45918</v>
      </c>
      <c r="I2254" s="31" t="s">
        <v>836</v>
      </c>
      <c r="J2254" s="30" t="s">
        <v>426</v>
      </c>
      <c r="K2254" s="31" t="s">
        <v>428</v>
      </c>
      <c r="L2254" s="32" t="n">
        <v>0.5</v>
      </c>
      <c r="M2254" s="41" t="s">
        <v>429</v>
      </c>
      <c r="N2254" s="31" t="s">
        <v>430</v>
      </c>
      <c r="O2254" s="32" t="n">
        <v>0.5</v>
      </c>
      <c r="P2254" s="15" t="n">
        <f aca="false">IF(A2254="","",IF(O2254&lt;&gt;"",O2254,IF(L2254&lt;&gt;"",L2254,F2254)))</f>
        <v>0.5</v>
      </c>
    </row>
    <row r="2255" customFormat="false" ht="15" hidden="false" customHeight="true" outlineLevel="0" collapsed="false">
      <c r="A2255" s="26" t="s">
        <v>273</v>
      </c>
      <c r="B2255" s="26" t="s">
        <v>274</v>
      </c>
      <c r="C2255" s="14" t="n">
        <f aca="false">IF(A2255="","",IFERROR(VLOOKUP(A2255,'Recert Status'!$A$8:$C$400,3,FALSE()),""))</f>
        <v>46752</v>
      </c>
      <c r="D2255" s="18" t="s">
        <v>1024</v>
      </c>
      <c r="E2255" s="26" t="n">
        <v>57433</v>
      </c>
      <c r="F2255" s="27" t="n">
        <v>2</v>
      </c>
      <c r="G2255" s="28" t="n">
        <v>45960</v>
      </c>
      <c r="H2255" s="28" t="n">
        <v>45960</v>
      </c>
      <c r="I2255" s="18" t="s">
        <v>1025</v>
      </c>
      <c r="J2255" s="26" t="s">
        <v>421</v>
      </c>
      <c r="K2255" s="18" t="s">
        <v>428</v>
      </c>
      <c r="L2255" s="27" t="n">
        <v>2</v>
      </c>
      <c r="M2255" s="41" t="s">
        <v>429</v>
      </c>
      <c r="N2255" s="18" t="s">
        <v>430</v>
      </c>
      <c r="O2255" s="27" t="n">
        <v>2</v>
      </c>
      <c r="P2255" s="15" t="n">
        <f aca="false">IF(A2255="","",IF(O2255&lt;&gt;"",O2255,IF(L2255&lt;&gt;"",L2255,F2255)))</f>
        <v>2</v>
      </c>
    </row>
    <row r="2256" customFormat="false" ht="15" hidden="false" customHeight="true" outlineLevel="0" collapsed="false">
      <c r="A2256" s="30" t="s">
        <v>273</v>
      </c>
      <c r="B2256" s="30" t="s">
        <v>274</v>
      </c>
      <c r="C2256" s="21" t="n">
        <f aca="false">IF(A2256="","",IFERROR(VLOOKUP(A2256,'Recert Status'!$A$8:$C$400,3,FALSE()),""))</f>
        <v>46752</v>
      </c>
      <c r="D2256" s="31" t="s">
        <v>837</v>
      </c>
      <c r="E2256" s="30" t="s">
        <v>426</v>
      </c>
      <c r="F2256" s="32" t="n">
        <v>1.5</v>
      </c>
      <c r="G2256" s="33" t="n">
        <v>46008</v>
      </c>
      <c r="H2256" s="33" t="n">
        <v>46008</v>
      </c>
      <c r="I2256" s="31" t="s">
        <v>838</v>
      </c>
      <c r="J2256" s="30" t="s">
        <v>426</v>
      </c>
      <c r="K2256" s="31" t="s">
        <v>428</v>
      </c>
      <c r="L2256" s="32" t="n">
        <v>1.5</v>
      </c>
      <c r="M2256" s="41" t="s">
        <v>429</v>
      </c>
      <c r="N2256" s="31" t="s">
        <v>430</v>
      </c>
      <c r="O2256" s="32" t="n">
        <v>1.5</v>
      </c>
      <c r="P2256" s="15" t="n">
        <f aca="false">IF(A2256="","",IF(O2256&lt;&gt;"",O2256,IF(L2256&lt;&gt;"",L2256,F2256)))</f>
        <v>1.5</v>
      </c>
    </row>
    <row r="2257" customFormat="false" ht="15" hidden="false" customHeight="true" outlineLevel="0" collapsed="false">
      <c r="A2257" s="26" t="s">
        <v>273</v>
      </c>
      <c r="B2257" s="26" t="s">
        <v>274</v>
      </c>
      <c r="C2257" s="14" t="n">
        <f aca="false">IF(A2257="","",IFERROR(VLOOKUP(A2257,'Recert Status'!$A$8:$C$400,3,FALSE()),""))</f>
        <v>46752</v>
      </c>
      <c r="D2257" s="18" t="s">
        <v>833</v>
      </c>
      <c r="E2257" s="26" t="s">
        <v>426</v>
      </c>
      <c r="F2257" s="27" t="n">
        <v>0.5</v>
      </c>
      <c r="G2257" s="28" t="n">
        <v>46011</v>
      </c>
      <c r="H2257" s="28" t="n">
        <v>46011</v>
      </c>
      <c r="I2257" s="18" t="s">
        <v>839</v>
      </c>
      <c r="J2257" s="26" t="s">
        <v>426</v>
      </c>
      <c r="K2257" s="18" t="s">
        <v>428</v>
      </c>
      <c r="L2257" s="27" t="n">
        <v>0.5</v>
      </c>
      <c r="M2257" s="41" t="s">
        <v>429</v>
      </c>
      <c r="N2257" s="18" t="s">
        <v>430</v>
      </c>
      <c r="O2257" s="27" t="n">
        <v>0.5</v>
      </c>
      <c r="P2257" s="15" t="n">
        <f aca="false">IF(A2257="","",IF(O2257&lt;&gt;"",O2257,IF(L2257&lt;&gt;"",L2257,F2257)))</f>
        <v>0.5</v>
      </c>
    </row>
    <row r="2258" customFormat="false" ht="15" hidden="false" customHeight="true" outlineLevel="0" collapsed="false">
      <c r="A2258" s="30" t="s">
        <v>273</v>
      </c>
      <c r="B2258" s="30" t="s">
        <v>274</v>
      </c>
      <c r="C2258" s="21" t="n">
        <f aca="false">IF(A2258="","",IFERROR(VLOOKUP(A2258,'Recert Status'!$A$8:$C$400,3,FALSE()),""))</f>
        <v>46752</v>
      </c>
      <c r="D2258" s="31" t="s">
        <v>842</v>
      </c>
      <c r="E2258" s="30" t="s">
        <v>389</v>
      </c>
      <c r="F2258" s="32" t="n">
        <v>1</v>
      </c>
      <c r="G2258" s="33" t="n">
        <v>45780</v>
      </c>
      <c r="H2258" s="33" t="n">
        <v>45780</v>
      </c>
      <c r="I2258" s="31" t="s">
        <v>843</v>
      </c>
      <c r="J2258" s="30" t="s">
        <v>389</v>
      </c>
      <c r="K2258" s="31" t="s">
        <v>735</v>
      </c>
      <c r="L2258" s="32" t="n">
        <v>1</v>
      </c>
      <c r="M2258" s="35" t="s">
        <v>386</v>
      </c>
      <c r="N2258" s="31" t="s">
        <v>387</v>
      </c>
      <c r="O2258" s="32" t="n">
        <v>1</v>
      </c>
      <c r="P2258" s="15" t="n">
        <f aca="false">IF(A2258="","",IF(O2258&lt;&gt;"",O2258,IF(L2258&lt;&gt;"",L2258,F2258)))</f>
        <v>1</v>
      </c>
    </row>
    <row r="2259" customFormat="false" ht="15" hidden="false" customHeight="true" outlineLevel="0" collapsed="false">
      <c r="A2259" s="26" t="s">
        <v>273</v>
      </c>
      <c r="B2259" s="26" t="s">
        <v>274</v>
      </c>
      <c r="C2259" s="14" t="n">
        <f aca="false">IF(A2259="","",IFERROR(VLOOKUP(A2259,'Recert Status'!$A$8:$C$400,3,FALSE()),""))</f>
        <v>46752</v>
      </c>
      <c r="D2259" s="18" t="s">
        <v>449</v>
      </c>
      <c r="E2259" s="26" t="s">
        <v>389</v>
      </c>
      <c r="F2259" s="27" t="n">
        <v>1</v>
      </c>
      <c r="G2259" s="28" t="n">
        <v>45813</v>
      </c>
      <c r="H2259" s="28" t="n">
        <v>45813</v>
      </c>
      <c r="I2259" s="18" t="s">
        <v>844</v>
      </c>
      <c r="J2259" s="26" t="s">
        <v>389</v>
      </c>
      <c r="K2259" s="18" t="s">
        <v>845</v>
      </c>
      <c r="L2259" s="27" t="n">
        <v>1</v>
      </c>
      <c r="M2259" s="35" t="s">
        <v>386</v>
      </c>
      <c r="N2259" s="18" t="s">
        <v>387</v>
      </c>
      <c r="O2259" s="27" t="n">
        <v>1</v>
      </c>
      <c r="P2259" s="15" t="n">
        <f aca="false">IF(A2259="","",IF(O2259&lt;&gt;"",O2259,IF(L2259&lt;&gt;"",L2259,F2259)))</f>
        <v>1</v>
      </c>
    </row>
    <row r="2260" customFormat="false" ht="15" hidden="false" customHeight="true" outlineLevel="0" collapsed="false">
      <c r="A2260" s="30" t="s">
        <v>273</v>
      </c>
      <c r="B2260" s="30" t="s">
        <v>274</v>
      </c>
      <c r="C2260" s="21" t="n">
        <f aca="false">IF(A2260="","",IFERROR(VLOOKUP(A2260,'Recert Status'!$A$8:$C$400,3,FALSE()),""))</f>
        <v>46752</v>
      </c>
      <c r="D2260" s="31" t="s">
        <v>827</v>
      </c>
      <c r="E2260" s="30" t="s">
        <v>389</v>
      </c>
      <c r="F2260" s="32" t="n">
        <v>2.5</v>
      </c>
      <c r="G2260" s="33" t="n">
        <v>45867</v>
      </c>
      <c r="H2260" s="33" t="n">
        <v>45867</v>
      </c>
      <c r="I2260" s="31" t="s">
        <v>828</v>
      </c>
      <c r="J2260" s="30" t="s">
        <v>389</v>
      </c>
      <c r="K2260" s="31" t="s">
        <v>829</v>
      </c>
      <c r="L2260" s="32" t="n">
        <v>1</v>
      </c>
      <c r="M2260" s="35" t="s">
        <v>386</v>
      </c>
      <c r="N2260" s="31" t="s">
        <v>830</v>
      </c>
      <c r="O2260" s="32" t="n">
        <v>2.5</v>
      </c>
      <c r="P2260" s="15" t="n">
        <f aca="false">IF(A2260="","",IF(O2260&lt;&gt;"",O2260,IF(L2260&lt;&gt;"",L2260,F2260)))</f>
        <v>2.5</v>
      </c>
    </row>
    <row r="2261" customFormat="false" ht="15" hidden="false" customHeight="true" outlineLevel="0" collapsed="false">
      <c r="A2261" s="26" t="s">
        <v>273</v>
      </c>
      <c r="B2261" s="26" t="s">
        <v>274</v>
      </c>
      <c r="C2261" s="14" t="n">
        <f aca="false">IF(A2261="","",IFERROR(VLOOKUP(A2261,'Recert Status'!$A$8:$C$400,3,FALSE()),""))</f>
        <v>46752</v>
      </c>
      <c r="D2261" s="18" t="s">
        <v>573</v>
      </c>
      <c r="E2261" s="26" t="s">
        <v>389</v>
      </c>
      <c r="F2261" s="27" t="n">
        <v>1</v>
      </c>
      <c r="G2261" s="28" t="n">
        <v>45987</v>
      </c>
      <c r="H2261" s="28" t="n">
        <v>45987</v>
      </c>
      <c r="I2261" s="18" t="s">
        <v>574</v>
      </c>
      <c r="J2261" s="26" t="s">
        <v>389</v>
      </c>
      <c r="K2261" s="18" t="s">
        <v>451</v>
      </c>
      <c r="L2261" s="27" t="n">
        <v>1</v>
      </c>
      <c r="M2261" s="35" t="s">
        <v>386</v>
      </c>
      <c r="N2261" s="18" t="s">
        <v>387</v>
      </c>
      <c r="O2261" s="27" t="n">
        <v>1</v>
      </c>
      <c r="P2261" s="15" t="n">
        <f aca="false">IF(A2261="","",IF(O2261&lt;&gt;"",O2261,IF(L2261&lt;&gt;"",L2261,F2261)))</f>
        <v>1</v>
      </c>
    </row>
    <row r="2262" customFormat="false" ht="15" hidden="false" customHeight="true" outlineLevel="0" collapsed="false">
      <c r="A2262" s="30" t="s">
        <v>273</v>
      </c>
      <c r="B2262" s="30" t="s">
        <v>274</v>
      </c>
      <c r="C2262" s="21" t="n">
        <f aca="false">IF(A2262="","",IFERROR(VLOOKUP(A2262,'Recert Status'!$A$8:$C$400,3,FALSE()),""))</f>
        <v>46752</v>
      </c>
      <c r="D2262" s="31" t="s">
        <v>387</v>
      </c>
      <c r="E2262" s="30" t="s">
        <v>389</v>
      </c>
      <c r="F2262" s="32" t="n">
        <v>1</v>
      </c>
      <c r="G2262" s="33" t="n">
        <v>46230</v>
      </c>
      <c r="H2262" s="33" t="n">
        <v>46230</v>
      </c>
      <c r="I2262" s="31" t="s">
        <v>846</v>
      </c>
      <c r="J2262" s="30" t="s">
        <v>389</v>
      </c>
      <c r="K2262" s="31" t="s">
        <v>451</v>
      </c>
      <c r="L2262" s="32" t="n">
        <v>1</v>
      </c>
      <c r="M2262" s="35" t="s">
        <v>386</v>
      </c>
      <c r="N2262" s="31" t="s">
        <v>387</v>
      </c>
      <c r="O2262" s="32" t="n">
        <v>1</v>
      </c>
      <c r="P2262" s="15" t="n">
        <f aca="false">IF(A2262="","",IF(O2262&lt;&gt;"",O2262,IF(L2262&lt;&gt;"",L2262,F2262)))</f>
        <v>1</v>
      </c>
    </row>
    <row r="2263" customFormat="false" ht="15" hidden="false" customHeight="true" outlineLevel="0" collapsed="false">
      <c r="A2263" s="26" t="s">
        <v>273</v>
      </c>
      <c r="B2263" s="26" t="s">
        <v>274</v>
      </c>
      <c r="C2263" s="14" t="n">
        <f aca="false">IF(A2263="","",IFERROR(VLOOKUP(A2263,'Recert Status'!$A$8:$C$400,3,FALSE()),""))</f>
        <v>46752</v>
      </c>
      <c r="D2263" s="18" t="s">
        <v>662</v>
      </c>
      <c r="E2263" s="26" t="s">
        <v>452</v>
      </c>
      <c r="F2263" s="27" t="n">
        <v>1</v>
      </c>
      <c r="G2263" s="28" t="n">
        <v>45882</v>
      </c>
      <c r="H2263" s="28" t="n">
        <v>45882</v>
      </c>
      <c r="I2263" s="18" t="s">
        <v>663</v>
      </c>
      <c r="J2263" s="26" t="s">
        <v>452</v>
      </c>
      <c r="K2263" s="18" t="s">
        <v>385</v>
      </c>
      <c r="L2263" s="27" t="n">
        <v>1</v>
      </c>
      <c r="M2263" s="36" t="s">
        <v>396</v>
      </c>
      <c r="N2263" s="18" t="s">
        <v>397</v>
      </c>
      <c r="O2263" s="27" t="n">
        <v>1</v>
      </c>
      <c r="P2263" s="15" t="n">
        <f aca="false">IF(A2263="","",IF(O2263&lt;&gt;"",O2263,IF(L2263&lt;&gt;"",L2263,F2263)))</f>
        <v>1</v>
      </c>
    </row>
    <row r="2264" customFormat="false" ht="15" hidden="false" customHeight="true" outlineLevel="0" collapsed="false">
      <c r="A2264" s="30" t="s">
        <v>273</v>
      </c>
      <c r="B2264" s="30" t="s">
        <v>274</v>
      </c>
      <c r="C2264" s="21" t="n">
        <f aca="false">IF(A2264="","",IFERROR(VLOOKUP(A2264,'Recert Status'!$A$8:$C$400,3,FALSE()),""))</f>
        <v>46752</v>
      </c>
      <c r="D2264" s="31" t="s">
        <v>662</v>
      </c>
      <c r="E2264" s="30" t="n">
        <v>57434</v>
      </c>
      <c r="F2264" s="32" t="n">
        <v>1</v>
      </c>
      <c r="G2264" s="33" t="n">
        <v>45972</v>
      </c>
      <c r="H2264" s="33" t="n">
        <v>45972</v>
      </c>
      <c r="I2264" s="31" t="s">
        <v>1629</v>
      </c>
      <c r="J2264" s="30" t="s">
        <v>1630</v>
      </c>
      <c r="K2264" s="31" t="s">
        <v>385</v>
      </c>
      <c r="L2264" s="32" t="n">
        <v>1</v>
      </c>
      <c r="M2264" s="36" t="s">
        <v>396</v>
      </c>
      <c r="N2264" s="31" t="s">
        <v>397</v>
      </c>
      <c r="O2264" s="32" t="n">
        <v>1</v>
      </c>
      <c r="P2264" s="15" t="n">
        <f aca="false">IF(A2264="","",IF(O2264&lt;&gt;"",O2264,IF(L2264&lt;&gt;"",L2264,F2264)))</f>
        <v>1</v>
      </c>
    </row>
    <row r="2265" customFormat="false" ht="15" hidden="false" customHeight="true" outlineLevel="0" collapsed="false">
      <c r="A2265" s="26" t="s">
        <v>273</v>
      </c>
      <c r="B2265" s="26" t="s">
        <v>274</v>
      </c>
      <c r="C2265" s="14" t="n">
        <f aca="false">IF(A2265="","",IFERROR(VLOOKUP(A2265,'Recert Status'!$A$8:$C$400,3,FALSE()),""))</f>
        <v>46752</v>
      </c>
      <c r="D2265" s="18" t="s">
        <v>876</v>
      </c>
      <c r="E2265" s="26" t="n">
        <v>35513</v>
      </c>
      <c r="F2265" s="27" t="n">
        <v>1</v>
      </c>
      <c r="G2265" s="28" t="n">
        <v>46028</v>
      </c>
      <c r="H2265" s="28" t="n">
        <v>46028</v>
      </c>
      <c r="I2265" s="18" t="s">
        <v>1631</v>
      </c>
      <c r="J2265" s="26" t="s">
        <v>384</v>
      </c>
      <c r="K2265" s="18" t="s">
        <v>1268</v>
      </c>
      <c r="L2265" s="27" t="n">
        <v>1</v>
      </c>
      <c r="M2265" s="36" t="s">
        <v>396</v>
      </c>
      <c r="N2265" s="18" t="s">
        <v>514</v>
      </c>
      <c r="O2265" s="27" t="n">
        <v>1</v>
      </c>
      <c r="P2265" s="15" t="n">
        <f aca="false">IF(A2265="","",IF(O2265&lt;&gt;"",O2265,IF(L2265&lt;&gt;"",L2265,F2265)))</f>
        <v>1</v>
      </c>
    </row>
    <row r="2266" customFormat="false" ht="15" hidden="false" customHeight="true" outlineLevel="0" collapsed="false">
      <c r="A2266" s="30" t="s">
        <v>273</v>
      </c>
      <c r="B2266" s="30" t="s">
        <v>274</v>
      </c>
      <c r="C2266" s="21" t="n">
        <f aca="false">IF(A2266="","",IFERROR(VLOOKUP(A2266,'Recert Status'!$A$8:$C$400,3,FALSE()),""))</f>
        <v>46752</v>
      </c>
      <c r="D2266" s="31" t="s">
        <v>876</v>
      </c>
      <c r="E2266" s="30" t="n">
        <v>35513</v>
      </c>
      <c r="F2266" s="32" t="n">
        <v>1</v>
      </c>
      <c r="G2266" s="33" t="n">
        <v>46029</v>
      </c>
      <c r="H2266" s="33" t="n">
        <v>46029</v>
      </c>
      <c r="I2266" s="31" t="s">
        <v>1632</v>
      </c>
      <c r="J2266" s="30" t="s">
        <v>384</v>
      </c>
      <c r="K2266" s="31" t="s">
        <v>385</v>
      </c>
      <c r="L2266" s="32" t="n">
        <v>1</v>
      </c>
      <c r="M2266" s="36" t="s">
        <v>396</v>
      </c>
      <c r="N2266" s="31" t="s">
        <v>397</v>
      </c>
      <c r="O2266" s="32" t="n">
        <v>1</v>
      </c>
      <c r="P2266" s="15" t="n">
        <f aca="false">IF(A2266="","",IF(O2266&lt;&gt;"",O2266,IF(L2266&lt;&gt;"",L2266,F2266)))</f>
        <v>1</v>
      </c>
    </row>
    <row r="2267" customFormat="false" ht="15" hidden="false" customHeight="true" outlineLevel="0" collapsed="false">
      <c r="A2267" s="26" t="s">
        <v>273</v>
      </c>
      <c r="B2267" s="26" t="s">
        <v>274</v>
      </c>
      <c r="C2267" s="14" t="n">
        <f aca="false">IF(A2267="","",IFERROR(VLOOKUP(A2267,'Recert Status'!$A$8:$C$400,3,FALSE()),""))</f>
        <v>46752</v>
      </c>
      <c r="D2267" s="18" t="s">
        <v>876</v>
      </c>
      <c r="E2267" s="26" t="n">
        <v>35513</v>
      </c>
      <c r="F2267" s="27" t="n">
        <v>1</v>
      </c>
      <c r="G2267" s="28" t="n">
        <v>46030</v>
      </c>
      <c r="H2267" s="28" t="n">
        <v>46030</v>
      </c>
      <c r="I2267" s="18" t="s">
        <v>1633</v>
      </c>
      <c r="J2267" s="26" t="s">
        <v>384</v>
      </c>
      <c r="K2267" s="18" t="s">
        <v>385</v>
      </c>
      <c r="L2267" s="27" t="n">
        <v>1</v>
      </c>
      <c r="M2267" s="36" t="s">
        <v>396</v>
      </c>
      <c r="N2267" s="18" t="s">
        <v>397</v>
      </c>
      <c r="O2267" s="27" t="n">
        <v>1</v>
      </c>
      <c r="P2267" s="15" t="n">
        <f aca="false">IF(A2267="","",IF(O2267&lt;&gt;"",O2267,IF(L2267&lt;&gt;"",L2267,F2267)))</f>
        <v>1</v>
      </c>
    </row>
    <row r="2268" customFormat="false" ht="15" hidden="false" customHeight="true" outlineLevel="0" collapsed="false">
      <c r="A2268" s="30" t="s">
        <v>273</v>
      </c>
      <c r="B2268" s="30" t="s">
        <v>274</v>
      </c>
      <c r="C2268" s="21" t="n">
        <f aca="false">IF(A2268="","",IFERROR(VLOOKUP(A2268,'Recert Status'!$A$8:$C$400,3,FALSE()),""))</f>
        <v>46752</v>
      </c>
      <c r="D2268" s="31" t="s">
        <v>1634</v>
      </c>
      <c r="E2268" s="30" t="s">
        <v>452</v>
      </c>
      <c r="F2268" s="32" t="n">
        <v>1</v>
      </c>
      <c r="G2268" s="33" t="n">
        <v>46125</v>
      </c>
      <c r="H2268" s="33" t="n">
        <v>46125</v>
      </c>
      <c r="I2268" s="31" t="s">
        <v>1635</v>
      </c>
      <c r="J2268" s="30" t="s">
        <v>452</v>
      </c>
      <c r="K2268" s="31" t="s">
        <v>385</v>
      </c>
      <c r="L2268" s="32" t="n">
        <v>1</v>
      </c>
      <c r="M2268" s="36" t="s">
        <v>396</v>
      </c>
      <c r="N2268" s="31" t="s">
        <v>397</v>
      </c>
      <c r="O2268" s="32" t="n">
        <v>1</v>
      </c>
      <c r="P2268" s="15" t="n">
        <f aca="false">IF(A2268="","",IF(O2268&lt;&gt;"",O2268,IF(L2268&lt;&gt;"",L2268,F2268)))</f>
        <v>1</v>
      </c>
    </row>
    <row r="2269" customFormat="false" ht="15" hidden="false" customHeight="true" outlineLevel="0" collapsed="false">
      <c r="A2269" s="26" t="s">
        <v>273</v>
      </c>
      <c r="B2269" s="26" t="s">
        <v>274</v>
      </c>
      <c r="C2269" s="14" t="n">
        <f aca="false">IF(A2269="","",IFERROR(VLOOKUP(A2269,'Recert Status'!$A$8:$C$400,3,FALSE()),""))</f>
        <v>46752</v>
      </c>
      <c r="D2269" s="18" t="s">
        <v>858</v>
      </c>
      <c r="E2269" s="26" t="s">
        <v>452</v>
      </c>
      <c r="F2269" s="27" t="n">
        <v>1.5</v>
      </c>
      <c r="G2269" s="28" t="n">
        <v>46170</v>
      </c>
      <c r="H2269" s="28" t="n">
        <v>46170</v>
      </c>
      <c r="I2269" s="18" t="s">
        <v>859</v>
      </c>
      <c r="J2269" s="26" t="s">
        <v>452</v>
      </c>
      <c r="K2269" s="18" t="s">
        <v>385</v>
      </c>
      <c r="L2269" s="27" t="n">
        <v>1.5</v>
      </c>
      <c r="M2269" s="36" t="s">
        <v>396</v>
      </c>
      <c r="N2269" s="18" t="s">
        <v>397</v>
      </c>
      <c r="O2269" s="27" t="n">
        <v>1.5</v>
      </c>
      <c r="P2269" s="15" t="n">
        <f aca="false">IF(A2269="","",IF(O2269&lt;&gt;"",O2269,IF(L2269&lt;&gt;"",L2269,F2269)))</f>
        <v>1.5</v>
      </c>
    </row>
    <row r="2270" customFormat="false" ht="15" hidden="false" customHeight="true" outlineLevel="0" collapsed="false">
      <c r="A2270" s="30" t="s">
        <v>273</v>
      </c>
      <c r="B2270" s="30" t="s">
        <v>274</v>
      </c>
      <c r="C2270" s="21" t="n">
        <f aca="false">IF(A2270="","",IFERROR(VLOOKUP(A2270,'Recert Status'!$A$8:$C$400,3,FALSE()),""))</f>
        <v>46752</v>
      </c>
      <c r="D2270" s="31" t="s">
        <v>1636</v>
      </c>
      <c r="E2270" s="30" t="n">
        <v>35513</v>
      </c>
      <c r="F2270" s="32" t="n">
        <v>1</v>
      </c>
      <c r="G2270" s="33" t="n">
        <v>46170</v>
      </c>
      <c r="H2270" s="33" t="n">
        <v>46170</v>
      </c>
      <c r="I2270" s="31" t="s">
        <v>1637</v>
      </c>
      <c r="J2270" s="30" t="s">
        <v>384</v>
      </c>
      <c r="K2270" s="31" t="s">
        <v>385</v>
      </c>
      <c r="L2270" s="32" t="n">
        <v>1</v>
      </c>
      <c r="M2270" s="36" t="s">
        <v>396</v>
      </c>
      <c r="N2270" s="31" t="s">
        <v>397</v>
      </c>
      <c r="O2270" s="32" t="n">
        <v>1</v>
      </c>
      <c r="P2270" s="15" t="n">
        <f aca="false">IF(A2270="","",IF(O2270&lt;&gt;"",O2270,IF(L2270&lt;&gt;"",L2270,F2270)))</f>
        <v>1</v>
      </c>
    </row>
    <row r="2271" customFormat="false" ht="15" hidden="false" customHeight="true" outlineLevel="0" collapsed="false">
      <c r="A2271" s="26" t="s">
        <v>273</v>
      </c>
      <c r="B2271" s="26" t="s">
        <v>274</v>
      </c>
      <c r="C2271" s="14" t="n">
        <f aca="false">IF(A2271="","",IFERROR(VLOOKUP(A2271,'Recert Status'!$A$8:$C$400,3,FALSE()),""))</f>
        <v>46752</v>
      </c>
      <c r="D2271" s="18" t="s">
        <v>397</v>
      </c>
      <c r="E2271" s="26" t="s">
        <v>452</v>
      </c>
      <c r="F2271" s="27" t="n">
        <v>1</v>
      </c>
      <c r="G2271" s="28" t="n">
        <v>46245</v>
      </c>
      <c r="H2271" s="28" t="n">
        <v>46245</v>
      </c>
      <c r="I2271" s="18" t="s">
        <v>605</v>
      </c>
      <c r="J2271" s="26" t="s">
        <v>452</v>
      </c>
      <c r="K2271" s="18" t="s">
        <v>385</v>
      </c>
      <c r="L2271" s="27" t="n">
        <v>1</v>
      </c>
      <c r="M2271" s="36" t="s">
        <v>396</v>
      </c>
      <c r="N2271" s="18" t="s">
        <v>397</v>
      </c>
      <c r="O2271" s="27" t="n">
        <v>1</v>
      </c>
      <c r="P2271" s="15" t="n">
        <f aca="false">IF(A2271="","",IF(O2271&lt;&gt;"",O2271,IF(L2271&lt;&gt;"",L2271,F2271)))</f>
        <v>1</v>
      </c>
    </row>
    <row r="2272" customFormat="false" ht="15" hidden="false" customHeight="true" outlineLevel="0" collapsed="false">
      <c r="A2272" s="30" t="s">
        <v>273</v>
      </c>
      <c r="B2272" s="30" t="s">
        <v>274</v>
      </c>
      <c r="C2272" s="21" t="n">
        <f aca="false">IF(A2272="","",IFERROR(VLOOKUP(A2272,'Recert Status'!$A$8:$C$400,3,FALSE()),""))</f>
        <v>46752</v>
      </c>
      <c r="D2272" s="31" t="s">
        <v>1416</v>
      </c>
      <c r="E2272" s="30" t="s">
        <v>399</v>
      </c>
      <c r="F2272" s="32" t="n">
        <v>1</v>
      </c>
      <c r="G2272" s="33" t="n">
        <v>45780</v>
      </c>
      <c r="H2272" s="33" t="n">
        <v>45780</v>
      </c>
      <c r="I2272" s="31" t="s">
        <v>1417</v>
      </c>
      <c r="J2272" s="30" t="s">
        <v>399</v>
      </c>
      <c r="K2272" s="31" t="s">
        <v>401</v>
      </c>
      <c r="L2272" s="32" t="n">
        <v>1</v>
      </c>
      <c r="M2272" s="37" t="s">
        <v>402</v>
      </c>
      <c r="N2272" s="31" t="s">
        <v>403</v>
      </c>
      <c r="O2272" s="32" t="n">
        <v>1</v>
      </c>
      <c r="P2272" s="15" t="n">
        <f aca="false">IF(A2272="","",IF(O2272&lt;&gt;"",O2272,IF(L2272&lt;&gt;"",L2272,F2272)))</f>
        <v>1</v>
      </c>
    </row>
    <row r="2273" customFormat="false" ht="15" hidden="false" customHeight="true" outlineLevel="0" collapsed="false">
      <c r="A2273" s="26" t="s">
        <v>273</v>
      </c>
      <c r="B2273" s="26" t="s">
        <v>274</v>
      </c>
      <c r="C2273" s="14" t="n">
        <f aca="false">IF(A2273="","",IFERROR(VLOOKUP(A2273,'Recert Status'!$A$8:$C$400,3,FALSE()),""))</f>
        <v>46752</v>
      </c>
      <c r="D2273" s="18" t="s">
        <v>1638</v>
      </c>
      <c r="E2273" s="26" t="s">
        <v>399</v>
      </c>
      <c r="F2273" s="27" t="n">
        <v>1</v>
      </c>
      <c r="G2273" s="28" t="n">
        <v>45972</v>
      </c>
      <c r="H2273" s="28" t="n">
        <v>45972</v>
      </c>
      <c r="I2273" s="18" t="s">
        <v>1639</v>
      </c>
      <c r="J2273" s="26" t="s">
        <v>399</v>
      </c>
      <c r="K2273" s="18" t="s">
        <v>401</v>
      </c>
      <c r="L2273" s="27" t="n">
        <v>1</v>
      </c>
      <c r="M2273" s="37" t="s">
        <v>402</v>
      </c>
      <c r="N2273" s="18" t="s">
        <v>403</v>
      </c>
      <c r="O2273" s="27" t="n">
        <v>1</v>
      </c>
      <c r="P2273" s="15" t="n">
        <f aca="false">IF(A2273="","",IF(O2273&lt;&gt;"",O2273,IF(L2273&lt;&gt;"",L2273,F2273)))</f>
        <v>1</v>
      </c>
    </row>
    <row r="2274" customFormat="false" ht="15" hidden="false" customHeight="true" outlineLevel="0" collapsed="false">
      <c r="A2274" s="30" t="s">
        <v>273</v>
      </c>
      <c r="B2274" s="30" t="s">
        <v>274</v>
      </c>
      <c r="C2274" s="21" t="n">
        <f aca="false">IF(A2274="","",IFERROR(VLOOKUP(A2274,'Recert Status'!$A$8:$C$400,3,FALSE()),""))</f>
        <v>46752</v>
      </c>
      <c r="D2274" s="31" t="s">
        <v>872</v>
      </c>
      <c r="E2274" s="30" t="n">
        <v>29740</v>
      </c>
      <c r="F2274" s="32" t="n">
        <v>1</v>
      </c>
      <c r="G2274" s="33" t="n">
        <v>45780</v>
      </c>
      <c r="H2274" s="33" t="n">
        <v>45780</v>
      </c>
      <c r="I2274" s="31" t="s">
        <v>1640</v>
      </c>
      <c r="J2274" s="30" t="s">
        <v>394</v>
      </c>
      <c r="K2274" s="31" t="s">
        <v>509</v>
      </c>
      <c r="L2274" s="32" t="n">
        <v>1</v>
      </c>
      <c r="M2274" s="38" t="s">
        <v>408</v>
      </c>
      <c r="N2274" s="31" t="s">
        <v>409</v>
      </c>
      <c r="O2274" s="32" t="n">
        <v>1</v>
      </c>
      <c r="P2274" s="15" t="n">
        <f aca="false">IF(A2274="","",IF(O2274&lt;&gt;"",O2274,IF(L2274&lt;&gt;"",L2274,F2274)))</f>
        <v>1</v>
      </c>
    </row>
    <row r="2275" customFormat="false" ht="15" hidden="false" customHeight="true" outlineLevel="0" collapsed="false">
      <c r="A2275" s="26" t="s">
        <v>273</v>
      </c>
      <c r="B2275" s="26" t="s">
        <v>274</v>
      </c>
      <c r="C2275" s="14" t="n">
        <f aca="false">IF(A2275="","",IFERROR(VLOOKUP(A2275,'Recert Status'!$A$8:$C$400,3,FALSE()),""))</f>
        <v>46752</v>
      </c>
      <c r="D2275" s="18" t="s">
        <v>876</v>
      </c>
      <c r="E2275" s="26" t="n">
        <v>29740</v>
      </c>
      <c r="F2275" s="27" t="n">
        <v>1</v>
      </c>
      <c r="G2275" s="28" t="n">
        <v>45825</v>
      </c>
      <c r="H2275" s="28" t="n">
        <v>45825</v>
      </c>
      <c r="I2275" s="18" t="s">
        <v>877</v>
      </c>
      <c r="J2275" s="26" t="s">
        <v>394</v>
      </c>
      <c r="K2275" s="18" t="s">
        <v>418</v>
      </c>
      <c r="L2275" s="27" t="n">
        <v>1</v>
      </c>
      <c r="M2275" s="39" t="s">
        <v>413</v>
      </c>
      <c r="N2275" s="18" t="s">
        <v>514</v>
      </c>
      <c r="O2275" s="27" t="n">
        <v>1</v>
      </c>
      <c r="P2275" s="15" t="n">
        <f aca="false">IF(A2275="","",IF(O2275&lt;&gt;"",O2275,IF(L2275&lt;&gt;"",L2275,F2275)))</f>
        <v>1</v>
      </c>
    </row>
    <row r="2276" customFormat="false" ht="15" hidden="false" customHeight="true" outlineLevel="0" collapsed="false">
      <c r="A2276" s="30" t="s">
        <v>273</v>
      </c>
      <c r="B2276" s="30" t="s">
        <v>274</v>
      </c>
      <c r="C2276" s="21" t="n">
        <f aca="false">IF(A2276="","",IFERROR(VLOOKUP(A2276,'Recert Status'!$A$8:$C$400,3,FALSE()),""))</f>
        <v>46752</v>
      </c>
      <c r="D2276" s="31" t="s">
        <v>822</v>
      </c>
      <c r="E2276" s="30" t="s">
        <v>416</v>
      </c>
      <c r="F2276" s="32" t="n">
        <v>2</v>
      </c>
      <c r="G2276" s="33" t="n">
        <v>45861</v>
      </c>
      <c r="H2276" s="33" t="n">
        <v>45861</v>
      </c>
      <c r="I2276" s="31" t="s">
        <v>823</v>
      </c>
      <c r="J2276" s="30" t="s">
        <v>416</v>
      </c>
      <c r="K2276" s="31" t="s">
        <v>523</v>
      </c>
      <c r="L2276" s="32" t="n">
        <v>2</v>
      </c>
      <c r="M2276" s="39" t="s">
        <v>413</v>
      </c>
      <c r="N2276" s="31" t="s">
        <v>414</v>
      </c>
      <c r="O2276" s="32" t="n">
        <v>2</v>
      </c>
      <c r="P2276" s="15" t="n">
        <f aca="false">IF(A2276="","",IF(O2276&lt;&gt;"",O2276,IF(L2276&lt;&gt;"",L2276,F2276)))</f>
        <v>2</v>
      </c>
    </row>
    <row r="2277" customFormat="false" ht="15" hidden="false" customHeight="true" outlineLevel="0" collapsed="false">
      <c r="A2277" s="26" t="s">
        <v>273</v>
      </c>
      <c r="B2277" s="26" t="s">
        <v>274</v>
      </c>
      <c r="C2277" s="14" t="n">
        <f aca="false">IF(A2277="","",IFERROR(VLOOKUP(A2277,'Recert Status'!$A$8:$C$400,3,FALSE()),""))</f>
        <v>46752</v>
      </c>
      <c r="D2277" s="18" t="s">
        <v>672</v>
      </c>
      <c r="E2277" s="26" t="s">
        <v>416</v>
      </c>
      <c r="F2277" s="27" t="n">
        <v>1</v>
      </c>
      <c r="G2277" s="28" t="n">
        <v>45933</v>
      </c>
      <c r="H2277" s="28" t="n">
        <v>45933</v>
      </c>
      <c r="I2277" s="18" t="s">
        <v>673</v>
      </c>
      <c r="J2277" s="26" t="s">
        <v>416</v>
      </c>
      <c r="K2277" s="18" t="s">
        <v>674</v>
      </c>
      <c r="L2277" s="27" t="n">
        <v>1</v>
      </c>
      <c r="M2277" s="39" t="s">
        <v>413</v>
      </c>
      <c r="N2277" s="18" t="s">
        <v>414</v>
      </c>
      <c r="O2277" s="27" t="n">
        <v>1</v>
      </c>
      <c r="P2277" s="15" t="n">
        <f aca="false">IF(A2277="","",IF(O2277&lt;&gt;"",O2277,IF(L2277&lt;&gt;"",L2277,F2277)))</f>
        <v>1</v>
      </c>
    </row>
    <row r="2278" customFormat="false" ht="15" hidden="false" customHeight="true" outlineLevel="0" collapsed="false">
      <c r="A2278" s="30" t="s">
        <v>273</v>
      </c>
      <c r="B2278" s="30" t="s">
        <v>274</v>
      </c>
      <c r="C2278" s="21" t="n">
        <f aca="false">IF(A2278="","",IFERROR(VLOOKUP(A2278,'Recert Status'!$A$8:$C$400,3,FALSE()),""))</f>
        <v>46752</v>
      </c>
      <c r="D2278" s="31" t="s">
        <v>1641</v>
      </c>
      <c r="E2278" s="30" t="s">
        <v>416</v>
      </c>
      <c r="F2278" s="32" t="n">
        <v>1</v>
      </c>
      <c r="G2278" s="33" t="n">
        <v>45972</v>
      </c>
      <c r="H2278" s="33" t="n">
        <v>45972</v>
      </c>
      <c r="I2278" s="31" t="s">
        <v>1639</v>
      </c>
      <c r="J2278" s="30" t="s">
        <v>416</v>
      </c>
      <c r="K2278" s="31" t="s">
        <v>523</v>
      </c>
      <c r="L2278" s="32" t="n">
        <v>1</v>
      </c>
      <c r="M2278" s="39" t="s">
        <v>413</v>
      </c>
      <c r="N2278" s="31" t="s">
        <v>414</v>
      </c>
      <c r="O2278" s="32" t="n">
        <v>1</v>
      </c>
      <c r="P2278" s="15" t="n">
        <f aca="false">IF(A2278="","",IF(O2278&lt;&gt;"",O2278,IF(L2278&lt;&gt;"",L2278,F2278)))</f>
        <v>1</v>
      </c>
    </row>
    <row r="2279" customFormat="false" ht="15" hidden="false" customHeight="true" outlineLevel="0" collapsed="false">
      <c r="A2279" s="26" t="s">
        <v>273</v>
      </c>
      <c r="B2279" s="26" t="s">
        <v>274</v>
      </c>
      <c r="C2279" s="14" t="n">
        <f aca="false">IF(A2279="","",IFERROR(VLOOKUP(A2279,'Recert Status'!$A$8:$C$400,3,FALSE()),""))</f>
        <v>46752</v>
      </c>
      <c r="D2279" s="18" t="s">
        <v>1642</v>
      </c>
      <c r="E2279" s="26" t="s">
        <v>416</v>
      </c>
      <c r="F2279" s="27" t="n">
        <v>1</v>
      </c>
      <c r="G2279" s="28" t="n">
        <v>45972</v>
      </c>
      <c r="H2279" s="28" t="n">
        <v>45972</v>
      </c>
      <c r="I2279" s="18" t="s">
        <v>1639</v>
      </c>
      <c r="J2279" s="26" t="s">
        <v>416</v>
      </c>
      <c r="K2279" s="18" t="s">
        <v>490</v>
      </c>
      <c r="L2279" s="27" t="n">
        <v>1</v>
      </c>
      <c r="M2279" s="39" t="s">
        <v>413</v>
      </c>
      <c r="N2279" s="18" t="s">
        <v>414</v>
      </c>
      <c r="O2279" s="27" t="n">
        <v>1</v>
      </c>
      <c r="P2279" s="15" t="n">
        <f aca="false">IF(A2279="","",IF(O2279&lt;&gt;"",O2279,IF(L2279&lt;&gt;"",L2279,F2279)))</f>
        <v>1</v>
      </c>
    </row>
    <row r="2280" customFormat="false" ht="15" hidden="false" customHeight="true" outlineLevel="0" collapsed="false">
      <c r="A2280" s="30" t="s">
        <v>273</v>
      </c>
      <c r="B2280" s="30" t="s">
        <v>274</v>
      </c>
      <c r="C2280" s="21" t="n">
        <f aca="false">IF(A2280="","",IFERROR(VLOOKUP(A2280,'Recert Status'!$A$8:$C$400,3,FALSE()),""))</f>
        <v>46752</v>
      </c>
      <c r="D2280" s="31" t="s">
        <v>1643</v>
      </c>
      <c r="E2280" s="30" t="s">
        <v>416</v>
      </c>
      <c r="F2280" s="32" t="n">
        <v>1</v>
      </c>
      <c r="G2280" s="33" t="n">
        <v>45972</v>
      </c>
      <c r="H2280" s="33" t="n">
        <v>45972</v>
      </c>
      <c r="I2280" s="31" t="s">
        <v>1639</v>
      </c>
      <c r="J2280" s="30" t="s">
        <v>416</v>
      </c>
      <c r="K2280" s="31" t="s">
        <v>674</v>
      </c>
      <c r="L2280" s="32" t="n">
        <v>1</v>
      </c>
      <c r="M2280" s="39" t="s">
        <v>413</v>
      </c>
      <c r="N2280" s="31" t="s">
        <v>414</v>
      </c>
      <c r="O2280" s="32" t="n">
        <v>1</v>
      </c>
      <c r="P2280" s="15" t="n">
        <f aca="false">IF(A2280="","",IF(O2280&lt;&gt;"",O2280,IF(L2280&lt;&gt;"",L2280,F2280)))</f>
        <v>1</v>
      </c>
    </row>
    <row r="2281" customFormat="false" ht="15" hidden="false" customHeight="true" outlineLevel="0" collapsed="false">
      <c r="A2281" s="26" t="s">
        <v>273</v>
      </c>
      <c r="B2281" s="26" t="s">
        <v>274</v>
      </c>
      <c r="C2281" s="14" t="n">
        <f aca="false">IF(A2281="","",IFERROR(VLOOKUP(A2281,'Recert Status'!$A$8:$C$400,3,FALSE()),""))</f>
        <v>46752</v>
      </c>
      <c r="D2281" s="18" t="s">
        <v>1644</v>
      </c>
      <c r="E2281" s="26" t="s">
        <v>416</v>
      </c>
      <c r="F2281" s="27" t="n">
        <v>1</v>
      </c>
      <c r="G2281" s="28" t="n">
        <v>45972</v>
      </c>
      <c r="H2281" s="28" t="n">
        <v>45972</v>
      </c>
      <c r="I2281" s="18" t="s">
        <v>1639</v>
      </c>
      <c r="J2281" s="26" t="s">
        <v>416</v>
      </c>
      <c r="K2281" s="18" t="s">
        <v>485</v>
      </c>
      <c r="L2281" s="27" t="n">
        <v>1</v>
      </c>
      <c r="M2281" s="39" t="s">
        <v>413</v>
      </c>
      <c r="N2281" s="18" t="s">
        <v>414</v>
      </c>
      <c r="O2281" s="27" t="n">
        <v>1</v>
      </c>
      <c r="P2281" s="15" t="n">
        <f aca="false">IF(A2281="","",IF(O2281&lt;&gt;"",O2281,IF(L2281&lt;&gt;"",L2281,F2281)))</f>
        <v>1</v>
      </c>
    </row>
    <row r="2282" customFormat="false" ht="15" hidden="false" customHeight="true" outlineLevel="0" collapsed="false">
      <c r="A2282" s="30" t="s">
        <v>273</v>
      </c>
      <c r="B2282" s="30" t="s">
        <v>274</v>
      </c>
      <c r="C2282" s="21" t="n">
        <f aca="false">IF(A2282="","",IFERROR(VLOOKUP(A2282,'Recert Status'!$A$8:$C$400,3,FALSE()),""))</f>
        <v>46752</v>
      </c>
      <c r="D2282" s="31" t="s">
        <v>1644</v>
      </c>
      <c r="E2282" s="30" t="s">
        <v>416</v>
      </c>
      <c r="F2282" s="32" t="n">
        <v>1</v>
      </c>
      <c r="G2282" s="33" t="n">
        <v>45972</v>
      </c>
      <c r="H2282" s="33" t="n">
        <v>45972</v>
      </c>
      <c r="I2282" s="31" t="s">
        <v>1639</v>
      </c>
      <c r="J2282" s="30" t="s">
        <v>416</v>
      </c>
      <c r="K2282" s="31" t="s">
        <v>485</v>
      </c>
      <c r="L2282" s="32" t="n">
        <v>1</v>
      </c>
      <c r="M2282" s="39" t="s">
        <v>413</v>
      </c>
      <c r="N2282" s="31" t="s">
        <v>414</v>
      </c>
      <c r="O2282" s="32" t="n">
        <v>1</v>
      </c>
      <c r="P2282" s="15" t="n">
        <f aca="false">IF(A2282="","",IF(O2282&lt;&gt;"",O2282,IF(L2282&lt;&gt;"",L2282,F2282)))</f>
        <v>1</v>
      </c>
    </row>
    <row r="2283" customFormat="false" ht="15" hidden="false" customHeight="true" outlineLevel="0" collapsed="false">
      <c r="A2283" s="26" t="s">
        <v>273</v>
      </c>
      <c r="B2283" s="26" t="s">
        <v>274</v>
      </c>
      <c r="C2283" s="14" t="n">
        <f aca="false">IF(A2283="","",IFERROR(VLOOKUP(A2283,'Recert Status'!$A$8:$C$400,3,FALSE()),""))</f>
        <v>46752</v>
      </c>
      <c r="D2283" s="18" t="s">
        <v>672</v>
      </c>
      <c r="E2283" s="26" t="s">
        <v>416</v>
      </c>
      <c r="F2283" s="27" t="n">
        <v>1</v>
      </c>
      <c r="G2283" s="28" t="n">
        <v>45987</v>
      </c>
      <c r="H2283" s="28" t="n">
        <v>45987</v>
      </c>
      <c r="I2283" s="18" t="s">
        <v>862</v>
      </c>
      <c r="J2283" s="26" t="s">
        <v>416</v>
      </c>
      <c r="K2283" s="18" t="s">
        <v>674</v>
      </c>
      <c r="L2283" s="27" t="n">
        <v>1</v>
      </c>
      <c r="M2283" s="39" t="s">
        <v>413</v>
      </c>
      <c r="N2283" s="18" t="s">
        <v>414</v>
      </c>
      <c r="O2283" s="27" t="n">
        <v>1</v>
      </c>
      <c r="P2283" s="15" t="n">
        <f aca="false">IF(A2283="","",IF(O2283&lt;&gt;"",O2283,IF(L2283&lt;&gt;"",L2283,F2283)))</f>
        <v>1</v>
      </c>
    </row>
    <row r="2284" customFormat="false" ht="15" hidden="false" customHeight="true" outlineLevel="0" collapsed="false">
      <c r="A2284" s="30" t="s">
        <v>273</v>
      </c>
      <c r="B2284" s="30" t="s">
        <v>274</v>
      </c>
      <c r="C2284" s="21" t="n">
        <f aca="false">IF(A2284="","",IFERROR(VLOOKUP(A2284,'Recert Status'!$A$8:$C$400,3,FALSE()),""))</f>
        <v>46752</v>
      </c>
      <c r="D2284" s="31" t="s">
        <v>672</v>
      </c>
      <c r="E2284" s="30" t="s">
        <v>416</v>
      </c>
      <c r="F2284" s="32" t="n">
        <v>0.75</v>
      </c>
      <c r="G2284" s="33" t="n">
        <v>45990</v>
      </c>
      <c r="H2284" s="33" t="n">
        <v>45990</v>
      </c>
      <c r="I2284" s="31" t="s">
        <v>863</v>
      </c>
      <c r="J2284" s="30" t="s">
        <v>416</v>
      </c>
      <c r="K2284" s="31" t="s">
        <v>674</v>
      </c>
      <c r="L2284" s="32" t="n">
        <v>0.75</v>
      </c>
      <c r="M2284" s="39" t="s">
        <v>413</v>
      </c>
      <c r="N2284" s="31" t="s">
        <v>414</v>
      </c>
      <c r="O2284" s="32" t="n">
        <v>0.75</v>
      </c>
      <c r="P2284" s="15" t="n">
        <f aca="false">IF(A2284="","",IF(O2284&lt;&gt;"",O2284,IF(L2284&lt;&gt;"",L2284,F2284)))</f>
        <v>0.75</v>
      </c>
    </row>
    <row r="2285" customFormat="false" ht="15" hidden="false" customHeight="true" outlineLevel="0" collapsed="false">
      <c r="A2285" s="26" t="s">
        <v>273</v>
      </c>
      <c r="B2285" s="26" t="s">
        <v>274</v>
      </c>
      <c r="C2285" s="14" t="n">
        <f aca="false">IF(A2285="","",IFERROR(VLOOKUP(A2285,'Recert Status'!$A$8:$C$400,3,FALSE()),""))</f>
        <v>46752</v>
      </c>
      <c r="D2285" s="18" t="s">
        <v>717</v>
      </c>
      <c r="E2285" s="26" t="s">
        <v>416</v>
      </c>
      <c r="F2285" s="27" t="n">
        <v>3</v>
      </c>
      <c r="G2285" s="28" t="n">
        <v>46083</v>
      </c>
      <c r="H2285" s="28" t="n">
        <v>46083</v>
      </c>
      <c r="I2285" s="18" t="s">
        <v>864</v>
      </c>
      <c r="J2285" s="26" t="s">
        <v>416</v>
      </c>
      <c r="K2285" s="18" t="s">
        <v>523</v>
      </c>
      <c r="L2285" s="27" t="n">
        <v>3</v>
      </c>
      <c r="M2285" s="39" t="s">
        <v>413</v>
      </c>
      <c r="N2285" s="18" t="s">
        <v>414</v>
      </c>
      <c r="O2285" s="27" t="n">
        <v>3</v>
      </c>
      <c r="P2285" s="15" t="n">
        <f aca="false">IF(A2285="","",IF(O2285&lt;&gt;"",O2285,IF(L2285&lt;&gt;"",L2285,F2285)))</f>
        <v>3</v>
      </c>
    </row>
    <row r="2286" customFormat="false" ht="15" hidden="false" customHeight="true" outlineLevel="0" collapsed="false">
      <c r="A2286" s="30" t="s">
        <v>273</v>
      </c>
      <c r="B2286" s="30" t="s">
        <v>274</v>
      </c>
      <c r="C2286" s="21" t="n">
        <f aca="false">IF(A2286="","",IFERROR(VLOOKUP(A2286,'Recert Status'!$A$8:$C$400,3,FALSE()),""))</f>
        <v>46752</v>
      </c>
      <c r="D2286" s="31" t="s">
        <v>414</v>
      </c>
      <c r="E2286" s="30" t="s">
        <v>416</v>
      </c>
      <c r="F2286" s="32" t="n">
        <v>2</v>
      </c>
      <c r="G2286" s="33" t="n">
        <v>46218</v>
      </c>
      <c r="H2286" s="33" t="n">
        <v>46218</v>
      </c>
      <c r="I2286" s="31" t="s">
        <v>535</v>
      </c>
      <c r="J2286" s="30" t="s">
        <v>416</v>
      </c>
      <c r="K2286" s="31" t="s">
        <v>418</v>
      </c>
      <c r="L2286" s="32" t="n">
        <v>2</v>
      </c>
      <c r="M2286" s="39" t="s">
        <v>413</v>
      </c>
      <c r="N2286" s="31" t="s">
        <v>414</v>
      </c>
      <c r="O2286" s="32" t="n">
        <v>2</v>
      </c>
      <c r="P2286" s="15" t="n">
        <f aca="false">IF(A2286="","",IF(O2286&lt;&gt;"",O2286,IF(L2286&lt;&gt;"",L2286,F2286)))</f>
        <v>2</v>
      </c>
    </row>
    <row r="2287" customFormat="false" ht="15" hidden="false" customHeight="true" outlineLevel="0" collapsed="false">
      <c r="A2287" s="26" t="s">
        <v>275</v>
      </c>
      <c r="B2287" s="26"/>
      <c r="C2287" s="14" t="n">
        <f aca="false">IF(A2287="","",IFERROR(VLOOKUP(A2287,'Recert Status'!$A$8:$C$400,3,FALSE()),""))</f>
        <v>0</v>
      </c>
      <c r="D2287" s="18" t="s">
        <v>649</v>
      </c>
      <c r="E2287" s="26" t="s">
        <v>363</v>
      </c>
      <c r="F2287" s="27" t="n">
        <v>1</v>
      </c>
      <c r="G2287" s="28" t="n">
        <v>45867</v>
      </c>
      <c r="H2287" s="28" t="n">
        <v>45867</v>
      </c>
      <c r="I2287" s="18" t="s">
        <v>650</v>
      </c>
      <c r="J2287" s="26" t="s">
        <v>363</v>
      </c>
      <c r="K2287" s="18" t="s">
        <v>370</v>
      </c>
      <c r="L2287" s="27" t="n">
        <v>1</v>
      </c>
      <c r="M2287" s="35" t="s">
        <v>386</v>
      </c>
      <c r="N2287" s="18" t="s">
        <v>387</v>
      </c>
      <c r="O2287" s="27" t="n">
        <v>1</v>
      </c>
      <c r="P2287" s="15" t="n">
        <f aca="false">IF(A2287="","",IF(O2287&lt;&gt;"",O2287,IF(L2287&lt;&gt;"",L2287,F2287)))</f>
        <v>1</v>
      </c>
    </row>
    <row r="2288" customFormat="false" ht="15" hidden="false" customHeight="true" outlineLevel="0" collapsed="false">
      <c r="A2288" s="30" t="s">
        <v>275</v>
      </c>
      <c r="B2288" s="30"/>
      <c r="C2288" s="21" t="n">
        <f aca="false">IF(A2288="","",IFERROR(VLOOKUP(A2288,'Recert Status'!$A$8:$C$400,3,FALSE()),""))</f>
        <v>0</v>
      </c>
      <c r="D2288" s="31" t="s">
        <v>651</v>
      </c>
      <c r="E2288" s="30" t="n">
        <v>29668</v>
      </c>
      <c r="F2288" s="32" t="n">
        <v>1</v>
      </c>
      <c r="G2288" s="33" t="n">
        <v>45867</v>
      </c>
      <c r="H2288" s="33" t="n">
        <v>45867</v>
      </c>
      <c r="I2288" s="31" t="s">
        <v>652</v>
      </c>
      <c r="J2288" s="30" t="s">
        <v>511</v>
      </c>
      <c r="K2288" s="31" t="s">
        <v>509</v>
      </c>
      <c r="L2288" s="32" t="n">
        <v>1</v>
      </c>
      <c r="M2288" s="35" t="s">
        <v>386</v>
      </c>
      <c r="N2288" s="31" t="s">
        <v>387</v>
      </c>
      <c r="O2288" s="32" t="n">
        <v>1</v>
      </c>
      <c r="P2288" s="15" t="n">
        <f aca="false">IF(A2288="","",IF(O2288&lt;&gt;"",O2288,IF(L2288&lt;&gt;"",L2288,F2288)))</f>
        <v>1</v>
      </c>
    </row>
    <row r="2289" customFormat="false" ht="15" hidden="false" customHeight="true" outlineLevel="0" collapsed="false">
      <c r="A2289" s="26" t="s">
        <v>275</v>
      </c>
      <c r="B2289" s="26"/>
      <c r="C2289" s="14" t="n">
        <f aca="false">IF(A2289="","",IFERROR(VLOOKUP(A2289,'Recert Status'!$A$8:$C$400,3,FALSE()),""))</f>
        <v>0</v>
      </c>
      <c r="D2289" s="18" t="s">
        <v>591</v>
      </c>
      <c r="E2289" s="26" t="n">
        <v>57435</v>
      </c>
      <c r="F2289" s="27" t="n">
        <v>0.5</v>
      </c>
      <c r="G2289" s="28" t="n">
        <v>45985</v>
      </c>
      <c r="H2289" s="28" t="n">
        <v>45985</v>
      </c>
      <c r="I2289" s="18" t="s">
        <v>592</v>
      </c>
      <c r="J2289" s="26" t="s">
        <v>593</v>
      </c>
      <c r="K2289" s="18" t="s">
        <v>446</v>
      </c>
      <c r="L2289" s="27" t="n">
        <v>0.5</v>
      </c>
      <c r="M2289" s="35" t="s">
        <v>386</v>
      </c>
      <c r="N2289" s="18" t="s">
        <v>387</v>
      </c>
      <c r="O2289" s="27" t="n">
        <v>0.5</v>
      </c>
      <c r="P2289" s="15" t="n">
        <f aca="false">IF(A2289="","",IF(O2289&lt;&gt;"",O2289,IF(L2289&lt;&gt;"",L2289,F2289)))</f>
        <v>0.5</v>
      </c>
    </row>
    <row r="2290" customFormat="false" ht="15" hidden="false" customHeight="true" outlineLevel="0" collapsed="false">
      <c r="A2290" s="30" t="s">
        <v>275</v>
      </c>
      <c r="B2290" s="30"/>
      <c r="C2290" s="21" t="n">
        <f aca="false">IF(A2290="","",IFERROR(VLOOKUP(A2290,'Recert Status'!$A$8:$C$400,3,FALSE()),""))</f>
        <v>0</v>
      </c>
      <c r="D2290" s="31" t="s">
        <v>1289</v>
      </c>
      <c r="E2290" s="30" t="n">
        <v>29675</v>
      </c>
      <c r="F2290" s="32" t="n">
        <v>4</v>
      </c>
      <c r="G2290" s="33" t="n">
        <v>45986</v>
      </c>
      <c r="H2290" s="33" t="n">
        <v>45986</v>
      </c>
      <c r="I2290" s="31" t="s">
        <v>1074</v>
      </c>
      <c r="J2290" s="30" t="s">
        <v>406</v>
      </c>
      <c r="K2290" s="31" t="s">
        <v>446</v>
      </c>
      <c r="L2290" s="32" t="n">
        <v>1</v>
      </c>
      <c r="M2290" s="35" t="s">
        <v>386</v>
      </c>
      <c r="N2290" s="31" t="s">
        <v>387</v>
      </c>
      <c r="O2290" s="32" t="n">
        <v>1</v>
      </c>
      <c r="P2290" s="15" t="n">
        <f aca="false">IF(A2290="","",IF(O2290&lt;&gt;"",O2290,IF(L2290&lt;&gt;"",L2290,F2290)))</f>
        <v>1</v>
      </c>
    </row>
    <row r="2291" customFormat="false" ht="15" hidden="false" customHeight="true" outlineLevel="0" collapsed="false">
      <c r="A2291" s="26" t="s">
        <v>275</v>
      </c>
      <c r="B2291" s="26"/>
      <c r="C2291" s="14" t="n">
        <f aca="false">IF(A2291="","",IFERROR(VLOOKUP(A2291,'Recert Status'!$A$8:$C$400,3,FALSE()),""))</f>
        <v>0</v>
      </c>
      <c r="D2291" s="18" t="s">
        <v>447</v>
      </c>
      <c r="E2291" s="26" t="n">
        <v>29675</v>
      </c>
      <c r="F2291" s="27" t="n">
        <v>1</v>
      </c>
      <c r="G2291" s="28" t="n">
        <v>45986</v>
      </c>
      <c r="H2291" s="28" t="n">
        <v>45986</v>
      </c>
      <c r="I2291" s="18" t="s">
        <v>448</v>
      </c>
      <c r="J2291" s="26" t="s">
        <v>406</v>
      </c>
      <c r="K2291" s="18" t="s">
        <v>446</v>
      </c>
      <c r="L2291" s="27" t="n">
        <v>1</v>
      </c>
      <c r="M2291" s="35" t="s">
        <v>386</v>
      </c>
      <c r="N2291" s="18" t="s">
        <v>387</v>
      </c>
      <c r="O2291" s="27" t="n">
        <v>1</v>
      </c>
      <c r="P2291" s="15" t="n">
        <f aca="false">IF(A2291="","",IF(O2291&lt;&gt;"",O2291,IF(L2291&lt;&gt;"",L2291,F2291)))</f>
        <v>1</v>
      </c>
    </row>
    <row r="2292" customFormat="false" ht="15" hidden="false" customHeight="true" outlineLevel="0" collapsed="false">
      <c r="A2292" s="30" t="s">
        <v>275</v>
      </c>
      <c r="B2292" s="30"/>
      <c r="C2292" s="21" t="n">
        <f aca="false">IF(A2292="","",IFERROR(VLOOKUP(A2292,'Recert Status'!$A$8:$C$400,3,FALSE()),""))</f>
        <v>0</v>
      </c>
      <c r="D2292" s="31" t="s">
        <v>573</v>
      </c>
      <c r="E2292" s="30" t="s">
        <v>389</v>
      </c>
      <c r="F2292" s="32" t="n">
        <v>1</v>
      </c>
      <c r="G2292" s="33" t="n">
        <v>45987</v>
      </c>
      <c r="H2292" s="33" t="n">
        <v>45987</v>
      </c>
      <c r="I2292" s="31" t="s">
        <v>574</v>
      </c>
      <c r="J2292" s="30" t="s">
        <v>389</v>
      </c>
      <c r="K2292" s="31" t="s">
        <v>451</v>
      </c>
      <c r="L2292" s="32" t="n">
        <v>1</v>
      </c>
      <c r="M2292" s="35" t="s">
        <v>386</v>
      </c>
      <c r="N2292" s="31" t="s">
        <v>387</v>
      </c>
      <c r="O2292" s="32" t="n">
        <v>1</v>
      </c>
      <c r="P2292" s="15" t="n">
        <f aca="false">IF(A2292="","",IF(O2292&lt;&gt;"",O2292,IF(L2292&lt;&gt;"",L2292,F2292)))</f>
        <v>1</v>
      </c>
    </row>
    <row r="2293" customFormat="false" ht="15" hidden="false" customHeight="true" outlineLevel="0" collapsed="false">
      <c r="A2293" s="26" t="s">
        <v>275</v>
      </c>
      <c r="B2293" s="26"/>
      <c r="C2293" s="14" t="n">
        <f aca="false">IF(A2293="","",IFERROR(VLOOKUP(A2293,'Recert Status'!$A$8:$C$400,3,FALSE()),""))</f>
        <v>0</v>
      </c>
      <c r="D2293" s="18" t="s">
        <v>682</v>
      </c>
      <c r="E2293" s="26" t="n">
        <v>29675</v>
      </c>
      <c r="F2293" s="27" t="n">
        <v>1</v>
      </c>
      <c r="G2293" s="28" t="n">
        <v>45987</v>
      </c>
      <c r="H2293" s="28" t="n">
        <v>45987</v>
      </c>
      <c r="I2293" s="18" t="s">
        <v>683</v>
      </c>
      <c r="J2293" s="26" t="s">
        <v>406</v>
      </c>
      <c r="K2293" s="18" t="s">
        <v>446</v>
      </c>
      <c r="L2293" s="27" t="n">
        <v>1</v>
      </c>
      <c r="M2293" s="35" t="s">
        <v>386</v>
      </c>
      <c r="N2293" s="18" t="s">
        <v>387</v>
      </c>
      <c r="O2293" s="27" t="n">
        <v>1</v>
      </c>
      <c r="P2293" s="15" t="n">
        <f aca="false">IF(A2293="","",IF(O2293&lt;&gt;"",O2293,IF(L2293&lt;&gt;"",L2293,F2293)))</f>
        <v>1</v>
      </c>
    </row>
    <row r="2294" customFormat="false" ht="15" hidden="false" customHeight="true" outlineLevel="0" collapsed="false">
      <c r="A2294" s="30" t="s">
        <v>275</v>
      </c>
      <c r="B2294" s="30"/>
      <c r="C2294" s="21" t="n">
        <f aca="false">IF(A2294="","",IFERROR(VLOOKUP(A2294,'Recert Status'!$A$8:$C$400,3,FALSE()),""))</f>
        <v>0</v>
      </c>
      <c r="D2294" s="31" t="s">
        <v>447</v>
      </c>
      <c r="E2294" s="30" t="n">
        <v>29675</v>
      </c>
      <c r="F2294" s="32" t="n">
        <v>1</v>
      </c>
      <c r="G2294" s="33" t="n">
        <v>45987</v>
      </c>
      <c r="H2294" s="33" t="n">
        <v>45987</v>
      </c>
      <c r="I2294" s="31" t="s">
        <v>683</v>
      </c>
      <c r="J2294" s="30" t="s">
        <v>406</v>
      </c>
      <c r="K2294" s="31" t="s">
        <v>446</v>
      </c>
      <c r="L2294" s="32" t="n">
        <v>1</v>
      </c>
      <c r="M2294" s="35" t="s">
        <v>386</v>
      </c>
      <c r="N2294" s="31" t="s">
        <v>387</v>
      </c>
      <c r="O2294" s="32" t="n">
        <v>1</v>
      </c>
      <c r="P2294" s="15" t="n">
        <f aca="false">IF(A2294="","",IF(O2294&lt;&gt;"",O2294,IF(L2294&lt;&gt;"",L2294,F2294)))</f>
        <v>1</v>
      </c>
    </row>
    <row r="2295" customFormat="false" ht="15" hidden="false" customHeight="true" outlineLevel="0" collapsed="false">
      <c r="A2295" s="26" t="s">
        <v>275</v>
      </c>
      <c r="B2295" s="26"/>
      <c r="C2295" s="14" t="n">
        <f aca="false">IF(A2295="","",IFERROR(VLOOKUP(A2295,'Recert Status'!$A$8:$C$400,3,FALSE()),""))</f>
        <v>0</v>
      </c>
      <c r="D2295" s="18" t="s">
        <v>1088</v>
      </c>
      <c r="E2295" s="26" t="n">
        <v>29740</v>
      </c>
      <c r="F2295" s="27" t="n">
        <v>1</v>
      </c>
      <c r="G2295" s="28" t="n">
        <v>45987</v>
      </c>
      <c r="H2295" s="28" t="n">
        <v>45987</v>
      </c>
      <c r="I2295" s="18" t="s">
        <v>1089</v>
      </c>
      <c r="J2295" s="26" t="s">
        <v>394</v>
      </c>
      <c r="K2295" s="18" t="s">
        <v>468</v>
      </c>
      <c r="L2295" s="27" t="n">
        <v>1</v>
      </c>
      <c r="M2295" s="35" t="s">
        <v>386</v>
      </c>
      <c r="N2295" s="18" t="s">
        <v>387</v>
      </c>
      <c r="O2295" s="27" t="n">
        <v>1</v>
      </c>
      <c r="P2295" s="15" t="n">
        <f aca="false">IF(A2295="","",IF(O2295&lt;&gt;"",O2295,IF(L2295&lt;&gt;"",L2295,F2295)))</f>
        <v>1</v>
      </c>
    </row>
    <row r="2296" customFormat="false" ht="15" hidden="false" customHeight="true" outlineLevel="0" collapsed="false">
      <c r="A2296" s="30" t="s">
        <v>275</v>
      </c>
      <c r="B2296" s="30"/>
      <c r="C2296" s="21" t="n">
        <f aca="false">IF(A2296="","",IFERROR(VLOOKUP(A2296,'Recert Status'!$A$8:$C$400,3,FALSE()),""))</f>
        <v>0</v>
      </c>
      <c r="D2296" s="31" t="s">
        <v>591</v>
      </c>
      <c r="E2296" s="30" t="s">
        <v>389</v>
      </c>
      <c r="F2296" s="32" t="n">
        <v>1</v>
      </c>
      <c r="G2296" s="33" t="n">
        <v>45994</v>
      </c>
      <c r="H2296" s="33" t="n">
        <v>45994</v>
      </c>
      <c r="I2296" s="31" t="s">
        <v>770</v>
      </c>
      <c r="J2296" s="30" t="s">
        <v>389</v>
      </c>
      <c r="K2296" s="31" t="s">
        <v>451</v>
      </c>
      <c r="L2296" s="32" t="n">
        <v>1</v>
      </c>
      <c r="M2296" s="35" t="s">
        <v>386</v>
      </c>
      <c r="N2296" s="31" t="s">
        <v>387</v>
      </c>
      <c r="O2296" s="32" t="n">
        <v>1</v>
      </c>
      <c r="P2296" s="15" t="n">
        <f aca="false">IF(A2296="","",IF(O2296&lt;&gt;"",O2296,IF(L2296&lt;&gt;"",L2296,F2296)))</f>
        <v>1</v>
      </c>
    </row>
    <row r="2297" customFormat="false" ht="15" hidden="false" customHeight="true" outlineLevel="0" collapsed="false">
      <c r="A2297" s="26" t="s">
        <v>275</v>
      </c>
      <c r="B2297" s="26"/>
      <c r="C2297" s="14" t="n">
        <f aca="false">IF(A2297="","",IFERROR(VLOOKUP(A2297,'Recert Status'!$A$8:$C$400,3,FALSE()),""))</f>
        <v>0</v>
      </c>
      <c r="D2297" s="18" t="s">
        <v>1133</v>
      </c>
      <c r="E2297" s="26" t="n">
        <v>57435</v>
      </c>
      <c r="F2297" s="27" t="n">
        <v>1</v>
      </c>
      <c r="G2297" s="28" t="n">
        <v>45994</v>
      </c>
      <c r="H2297" s="28" t="n">
        <v>45994</v>
      </c>
      <c r="I2297" s="18" t="s">
        <v>1134</v>
      </c>
      <c r="J2297" s="26" t="s">
        <v>593</v>
      </c>
      <c r="K2297" s="18" t="s">
        <v>446</v>
      </c>
      <c r="L2297" s="27" t="n">
        <v>1</v>
      </c>
      <c r="M2297" s="35" t="s">
        <v>386</v>
      </c>
      <c r="N2297" s="18" t="s">
        <v>387</v>
      </c>
      <c r="O2297" s="27" t="n">
        <v>1</v>
      </c>
      <c r="P2297" s="15" t="n">
        <f aca="false">IF(A2297="","",IF(O2297&lt;&gt;"",O2297,IF(L2297&lt;&gt;"",L2297,F2297)))</f>
        <v>1</v>
      </c>
    </row>
    <row r="2298" customFormat="false" ht="15" hidden="false" customHeight="true" outlineLevel="0" collapsed="false">
      <c r="A2298" s="30" t="s">
        <v>275</v>
      </c>
      <c r="B2298" s="30"/>
      <c r="C2298" s="21" t="n">
        <f aca="false">IF(A2298="","",IFERROR(VLOOKUP(A2298,'Recert Status'!$A$8:$C$400,3,FALSE()),""))</f>
        <v>0</v>
      </c>
      <c r="D2298" s="31" t="s">
        <v>1061</v>
      </c>
      <c r="E2298" s="30" t="n">
        <v>29675</v>
      </c>
      <c r="F2298" s="32" t="n">
        <v>1</v>
      </c>
      <c r="G2298" s="33" t="n">
        <v>45995</v>
      </c>
      <c r="H2298" s="33" t="n">
        <v>45995</v>
      </c>
      <c r="I2298" s="31" t="s">
        <v>1062</v>
      </c>
      <c r="J2298" s="30" t="s">
        <v>406</v>
      </c>
      <c r="K2298" s="31" t="s">
        <v>446</v>
      </c>
      <c r="L2298" s="32" t="n">
        <v>1</v>
      </c>
      <c r="M2298" s="35" t="s">
        <v>386</v>
      </c>
      <c r="N2298" s="31" t="s">
        <v>387</v>
      </c>
      <c r="O2298" s="32" t="n">
        <v>1</v>
      </c>
      <c r="P2298" s="15" t="n">
        <f aca="false">IF(A2298="","",IF(O2298&lt;&gt;"",O2298,IF(L2298&lt;&gt;"",L2298,F2298)))</f>
        <v>1</v>
      </c>
    </row>
    <row r="2299" customFormat="false" ht="15" hidden="false" customHeight="true" outlineLevel="0" collapsed="false">
      <c r="A2299" s="26" t="s">
        <v>275</v>
      </c>
      <c r="B2299" s="26"/>
      <c r="C2299" s="14" t="n">
        <f aca="false">IF(A2299="","",IFERROR(VLOOKUP(A2299,'Recert Status'!$A$8:$C$400,3,FALSE()),""))</f>
        <v>0</v>
      </c>
      <c r="D2299" s="18" t="s">
        <v>672</v>
      </c>
      <c r="E2299" s="26" t="n">
        <v>29675</v>
      </c>
      <c r="F2299" s="27" t="n">
        <v>1</v>
      </c>
      <c r="G2299" s="28" t="n">
        <v>45824</v>
      </c>
      <c r="H2299" s="28" t="n">
        <v>45824</v>
      </c>
      <c r="I2299" s="18" t="s">
        <v>970</v>
      </c>
      <c r="J2299" s="26" t="s">
        <v>406</v>
      </c>
      <c r="K2299" s="18" t="s">
        <v>418</v>
      </c>
      <c r="L2299" s="27" t="n">
        <v>1</v>
      </c>
      <c r="M2299" s="39" t="s">
        <v>413</v>
      </c>
      <c r="N2299" s="18" t="s">
        <v>414</v>
      </c>
      <c r="O2299" s="27" t="n">
        <v>1</v>
      </c>
      <c r="P2299" s="15" t="n">
        <f aca="false">IF(A2299="","",IF(O2299&lt;&gt;"",O2299,IF(L2299&lt;&gt;"",L2299,F2299)))</f>
        <v>1</v>
      </c>
    </row>
    <row r="2300" customFormat="false" ht="15" hidden="false" customHeight="true" outlineLevel="0" collapsed="false">
      <c r="A2300" s="30" t="s">
        <v>275</v>
      </c>
      <c r="B2300" s="30"/>
      <c r="C2300" s="21" t="n">
        <f aca="false">IF(A2300="","",IFERROR(VLOOKUP(A2300,'Recert Status'!$A$8:$C$400,3,FALSE()),""))</f>
        <v>0</v>
      </c>
      <c r="D2300" s="31" t="s">
        <v>992</v>
      </c>
      <c r="E2300" s="30" t="s">
        <v>416</v>
      </c>
      <c r="F2300" s="32" t="n">
        <v>1</v>
      </c>
      <c r="G2300" s="33" t="n">
        <v>45825</v>
      </c>
      <c r="H2300" s="33" t="n">
        <v>45825</v>
      </c>
      <c r="I2300" s="31" t="s">
        <v>993</v>
      </c>
      <c r="J2300" s="30" t="s">
        <v>416</v>
      </c>
      <c r="K2300" s="31" t="s">
        <v>418</v>
      </c>
      <c r="L2300" s="32" t="n">
        <v>1</v>
      </c>
      <c r="M2300" s="39" t="s">
        <v>413</v>
      </c>
      <c r="N2300" s="31" t="s">
        <v>414</v>
      </c>
      <c r="O2300" s="32" t="n">
        <v>1</v>
      </c>
      <c r="P2300" s="15" t="n">
        <f aca="false">IF(A2300="","",IF(O2300&lt;&gt;"",O2300,IF(L2300&lt;&gt;"",L2300,F2300)))</f>
        <v>1</v>
      </c>
    </row>
    <row r="2301" customFormat="false" ht="15" hidden="false" customHeight="true" outlineLevel="0" collapsed="false">
      <c r="A2301" s="26" t="s">
        <v>275</v>
      </c>
      <c r="B2301" s="26"/>
      <c r="C2301" s="14" t="n">
        <f aca="false">IF(A2301="","",IFERROR(VLOOKUP(A2301,'Recert Status'!$A$8:$C$400,3,FALSE()),""))</f>
        <v>0</v>
      </c>
      <c r="D2301" s="18" t="s">
        <v>580</v>
      </c>
      <c r="E2301" s="26" t="s">
        <v>416</v>
      </c>
      <c r="F2301" s="27" t="n">
        <v>1</v>
      </c>
      <c r="G2301" s="28" t="n">
        <v>45825</v>
      </c>
      <c r="H2301" s="28" t="n">
        <v>45825</v>
      </c>
      <c r="I2301" s="18" t="s">
        <v>581</v>
      </c>
      <c r="J2301" s="26" t="s">
        <v>416</v>
      </c>
      <c r="K2301" s="18" t="s">
        <v>418</v>
      </c>
      <c r="L2301" s="27" t="n">
        <v>1</v>
      </c>
      <c r="M2301" s="39" t="s">
        <v>413</v>
      </c>
      <c r="N2301" s="18" t="s">
        <v>414</v>
      </c>
      <c r="O2301" s="27" t="n">
        <v>1</v>
      </c>
      <c r="P2301" s="15" t="n">
        <f aca="false">IF(A2301="","",IF(O2301&lt;&gt;"",O2301,IF(L2301&lt;&gt;"",L2301,F2301)))</f>
        <v>1</v>
      </c>
    </row>
    <row r="2302" customFormat="false" ht="15" hidden="false" customHeight="true" outlineLevel="0" collapsed="false">
      <c r="A2302" s="30" t="s">
        <v>275</v>
      </c>
      <c r="B2302" s="30"/>
      <c r="C2302" s="21" t="n">
        <f aca="false">IF(A2302="","",IFERROR(VLOOKUP(A2302,'Recert Status'!$A$8:$C$400,3,FALSE()),""))</f>
        <v>0</v>
      </c>
      <c r="D2302" s="31" t="s">
        <v>415</v>
      </c>
      <c r="E2302" s="30" t="s">
        <v>416</v>
      </c>
      <c r="F2302" s="32" t="n">
        <v>1</v>
      </c>
      <c r="G2302" s="33" t="n">
        <v>45826</v>
      </c>
      <c r="H2302" s="33" t="n">
        <v>45826</v>
      </c>
      <c r="I2302" s="31" t="s">
        <v>986</v>
      </c>
      <c r="J2302" s="30" t="s">
        <v>416</v>
      </c>
      <c r="K2302" s="31" t="s">
        <v>523</v>
      </c>
      <c r="L2302" s="32" t="n">
        <v>1</v>
      </c>
      <c r="M2302" s="39" t="s">
        <v>413</v>
      </c>
      <c r="N2302" s="31" t="s">
        <v>414</v>
      </c>
      <c r="O2302" s="32" t="n">
        <v>1</v>
      </c>
      <c r="P2302" s="15" t="n">
        <f aca="false">IF(A2302="","",IF(O2302&lt;&gt;"",O2302,IF(L2302&lt;&gt;"",L2302,F2302)))</f>
        <v>1</v>
      </c>
    </row>
    <row r="2303" customFormat="false" ht="15" hidden="false" customHeight="true" outlineLevel="0" collapsed="false">
      <c r="A2303" s="26" t="s">
        <v>275</v>
      </c>
      <c r="B2303" s="26"/>
      <c r="C2303" s="14" t="n">
        <f aca="false">IF(A2303="","",IFERROR(VLOOKUP(A2303,'Recert Status'!$A$8:$C$400,3,FALSE()),""))</f>
        <v>0</v>
      </c>
      <c r="D2303" s="18" t="s">
        <v>457</v>
      </c>
      <c r="E2303" s="26" t="s">
        <v>416</v>
      </c>
      <c r="F2303" s="27" t="n">
        <v>2</v>
      </c>
      <c r="G2303" s="28" t="n">
        <v>45860</v>
      </c>
      <c r="H2303" s="28" t="n">
        <v>45860</v>
      </c>
      <c r="I2303" s="18" t="s">
        <v>720</v>
      </c>
      <c r="J2303" s="26" t="s">
        <v>416</v>
      </c>
      <c r="K2303" s="18" t="s">
        <v>459</v>
      </c>
      <c r="L2303" s="27" t="n">
        <v>2</v>
      </c>
      <c r="M2303" s="39" t="s">
        <v>413</v>
      </c>
      <c r="N2303" s="18" t="s">
        <v>414</v>
      </c>
      <c r="O2303" s="27" t="n">
        <v>2</v>
      </c>
      <c r="P2303" s="15" t="n">
        <f aca="false">IF(A2303="","",IF(O2303&lt;&gt;"",O2303,IF(L2303&lt;&gt;"",L2303,F2303)))</f>
        <v>2</v>
      </c>
    </row>
    <row r="2304" customFormat="false" ht="15" hidden="false" customHeight="true" outlineLevel="0" collapsed="false">
      <c r="A2304" s="30" t="s">
        <v>276</v>
      </c>
      <c r="B2304" s="30" t="s">
        <v>277</v>
      </c>
      <c r="C2304" s="21" t="n">
        <f aca="false">IF(A2304="","",IFERROR(VLOOKUP(A2304,'Recert Status'!$A$8:$C$400,3,FALSE()),""))</f>
        <v>46387</v>
      </c>
      <c r="D2304" s="31" t="s">
        <v>621</v>
      </c>
      <c r="E2304" s="30" t="n">
        <v>29740</v>
      </c>
      <c r="F2304" s="32" t="n">
        <v>0.5</v>
      </c>
      <c r="G2304" s="33" t="n">
        <v>45783</v>
      </c>
      <c r="H2304" s="33" t="n">
        <v>45783</v>
      </c>
      <c r="I2304" s="31" t="s">
        <v>622</v>
      </c>
      <c r="J2304" s="30" t="s">
        <v>394</v>
      </c>
      <c r="K2304" s="31" t="s">
        <v>365</v>
      </c>
      <c r="L2304" s="32" t="n">
        <v>0.5</v>
      </c>
      <c r="M2304" s="29" t="s">
        <v>366</v>
      </c>
      <c r="N2304" s="31" t="s">
        <v>367</v>
      </c>
      <c r="O2304" s="32" t="n">
        <v>0.5</v>
      </c>
      <c r="P2304" s="15" t="n">
        <f aca="false">IF(A2304="","",IF(O2304&lt;&gt;"",O2304,IF(L2304&lt;&gt;"",L2304,F2304)))</f>
        <v>0.5</v>
      </c>
    </row>
    <row r="2305" customFormat="false" ht="15" hidden="false" customHeight="true" outlineLevel="0" collapsed="false">
      <c r="A2305" s="26" t="s">
        <v>276</v>
      </c>
      <c r="B2305" s="26" t="s">
        <v>277</v>
      </c>
      <c r="C2305" s="14" t="n">
        <f aca="false">IF(A2305="","",IFERROR(VLOOKUP(A2305,'Recert Status'!$A$8:$C$400,3,FALSE()),""))</f>
        <v>46387</v>
      </c>
      <c r="D2305" s="18" t="s">
        <v>824</v>
      </c>
      <c r="E2305" s="26" t="s">
        <v>363</v>
      </c>
      <c r="F2305" s="27" t="n">
        <v>0.5</v>
      </c>
      <c r="G2305" s="28" t="n">
        <v>45810</v>
      </c>
      <c r="H2305" s="28" t="n">
        <v>45810</v>
      </c>
      <c r="I2305" s="18" t="s">
        <v>825</v>
      </c>
      <c r="J2305" s="26" t="s">
        <v>363</v>
      </c>
      <c r="K2305" s="18" t="s">
        <v>370</v>
      </c>
      <c r="L2305" s="27" t="n">
        <v>0.5</v>
      </c>
      <c r="M2305" s="29" t="s">
        <v>366</v>
      </c>
      <c r="N2305" s="18" t="s">
        <v>367</v>
      </c>
      <c r="O2305" s="27" t="n">
        <v>0.5</v>
      </c>
      <c r="P2305" s="15" t="n">
        <f aca="false">IF(A2305="","",IF(O2305&lt;&gt;"",O2305,IF(L2305&lt;&gt;"",L2305,F2305)))</f>
        <v>0.5</v>
      </c>
    </row>
    <row r="2306" customFormat="false" ht="15" hidden="false" customHeight="true" outlineLevel="0" collapsed="false">
      <c r="A2306" s="30" t="s">
        <v>276</v>
      </c>
      <c r="B2306" s="30" t="s">
        <v>277</v>
      </c>
      <c r="C2306" s="21" t="n">
        <f aca="false">IF(A2306="","",IFERROR(VLOOKUP(A2306,'Recert Status'!$A$8:$C$400,3,FALSE()),""))</f>
        <v>46387</v>
      </c>
      <c r="D2306" s="31" t="s">
        <v>449</v>
      </c>
      <c r="E2306" s="30" t="s">
        <v>363</v>
      </c>
      <c r="F2306" s="32" t="n">
        <v>1</v>
      </c>
      <c r="G2306" s="33" t="n">
        <v>45813</v>
      </c>
      <c r="H2306" s="33" t="n">
        <v>45813</v>
      </c>
      <c r="I2306" s="31" t="s">
        <v>826</v>
      </c>
      <c r="J2306" s="30" t="s">
        <v>363</v>
      </c>
      <c r="K2306" s="31" t="s">
        <v>365</v>
      </c>
      <c r="L2306" s="32" t="n">
        <v>1</v>
      </c>
      <c r="M2306" s="29" t="s">
        <v>366</v>
      </c>
      <c r="N2306" s="31" t="s">
        <v>367</v>
      </c>
      <c r="O2306" s="32" t="n">
        <v>1</v>
      </c>
      <c r="P2306" s="15" t="n">
        <f aca="false">IF(A2306="","",IF(O2306&lt;&gt;"",O2306,IF(L2306&lt;&gt;"",L2306,F2306)))</f>
        <v>1</v>
      </c>
    </row>
    <row r="2307" customFormat="false" ht="15" hidden="false" customHeight="true" outlineLevel="0" collapsed="false">
      <c r="A2307" s="26" t="s">
        <v>276</v>
      </c>
      <c r="B2307" s="26" t="s">
        <v>277</v>
      </c>
      <c r="C2307" s="14" t="n">
        <f aca="false">IF(A2307="","",IFERROR(VLOOKUP(A2307,'Recert Status'!$A$8:$C$400,3,FALSE()),""))</f>
        <v>46387</v>
      </c>
      <c r="D2307" s="18" t="s">
        <v>827</v>
      </c>
      <c r="E2307" s="26" t="s">
        <v>389</v>
      </c>
      <c r="F2307" s="27" t="n">
        <v>2.5</v>
      </c>
      <c r="G2307" s="28" t="n">
        <v>45867</v>
      </c>
      <c r="H2307" s="28" t="n">
        <v>45867</v>
      </c>
      <c r="I2307" s="18" t="s">
        <v>828</v>
      </c>
      <c r="J2307" s="26" t="s">
        <v>389</v>
      </c>
      <c r="K2307" s="18" t="s">
        <v>829</v>
      </c>
      <c r="L2307" s="27" t="n">
        <v>1.5</v>
      </c>
      <c r="M2307" s="29" t="s">
        <v>366</v>
      </c>
      <c r="N2307" s="18" t="s">
        <v>830</v>
      </c>
      <c r="O2307" s="27" t="n">
        <v>2.5</v>
      </c>
      <c r="P2307" s="15" t="n">
        <f aca="false">IF(A2307="","",IF(O2307&lt;&gt;"",O2307,IF(L2307&lt;&gt;"",L2307,F2307)))</f>
        <v>2.5</v>
      </c>
    </row>
    <row r="2308" customFormat="false" ht="15" hidden="false" customHeight="true" outlineLevel="0" collapsed="false">
      <c r="A2308" s="30" t="s">
        <v>276</v>
      </c>
      <c r="B2308" s="30" t="s">
        <v>277</v>
      </c>
      <c r="C2308" s="21" t="n">
        <f aca="false">IF(A2308="","",IFERROR(VLOOKUP(A2308,'Recert Status'!$A$8:$C$400,3,FALSE()),""))</f>
        <v>46387</v>
      </c>
      <c r="D2308" s="31" t="s">
        <v>1645</v>
      </c>
      <c r="E2308" s="30" t="s">
        <v>363</v>
      </c>
      <c r="F2308" s="32" t="n">
        <v>1</v>
      </c>
      <c r="G2308" s="33" t="n">
        <v>45912</v>
      </c>
      <c r="H2308" s="33" t="n">
        <v>45912</v>
      </c>
      <c r="I2308" s="31" t="s">
        <v>1646</v>
      </c>
      <c r="J2308" s="30" t="s">
        <v>363</v>
      </c>
      <c r="K2308" s="31" t="s">
        <v>370</v>
      </c>
      <c r="L2308" s="32" t="n">
        <v>1</v>
      </c>
      <c r="M2308" s="29" t="s">
        <v>366</v>
      </c>
      <c r="N2308" s="31" t="s">
        <v>367</v>
      </c>
      <c r="O2308" s="32" t="n">
        <v>1</v>
      </c>
      <c r="P2308" s="15" t="n">
        <f aca="false">IF(A2308="","",IF(O2308&lt;&gt;"",O2308,IF(L2308&lt;&gt;"",L2308,F2308)))</f>
        <v>1</v>
      </c>
    </row>
    <row r="2309" customFormat="false" ht="15" hidden="false" customHeight="true" outlineLevel="0" collapsed="false">
      <c r="A2309" s="26" t="s">
        <v>276</v>
      </c>
      <c r="B2309" s="26" t="s">
        <v>277</v>
      </c>
      <c r="C2309" s="14" t="n">
        <f aca="false">IF(A2309="","",IFERROR(VLOOKUP(A2309,'Recert Status'!$A$8:$C$400,3,FALSE()),""))</f>
        <v>46387</v>
      </c>
      <c r="D2309" s="18" t="s">
        <v>949</v>
      </c>
      <c r="E2309" s="26" t="s">
        <v>542</v>
      </c>
      <c r="F2309" s="27" t="n">
        <v>1</v>
      </c>
      <c r="G2309" s="28" t="n">
        <v>46056</v>
      </c>
      <c r="H2309" s="28" t="n">
        <v>46056</v>
      </c>
      <c r="I2309" s="18" t="s">
        <v>950</v>
      </c>
      <c r="J2309" s="26" t="s">
        <v>542</v>
      </c>
      <c r="K2309" s="18" t="s">
        <v>422</v>
      </c>
      <c r="L2309" s="27" t="n">
        <v>1</v>
      </c>
      <c r="M2309" s="40" t="s">
        <v>423</v>
      </c>
      <c r="N2309" s="18" t="s">
        <v>424</v>
      </c>
      <c r="O2309" s="27" t="n">
        <v>1</v>
      </c>
      <c r="P2309" s="15" t="n">
        <f aca="false">IF(A2309="","",IF(O2309&lt;&gt;"",O2309,IF(L2309&lt;&gt;"",L2309,F2309)))</f>
        <v>1</v>
      </c>
    </row>
    <row r="2310" customFormat="false" ht="15" hidden="false" customHeight="true" outlineLevel="0" collapsed="false">
      <c r="A2310" s="30" t="s">
        <v>276</v>
      </c>
      <c r="B2310" s="30" t="s">
        <v>277</v>
      </c>
      <c r="C2310" s="21" t="n">
        <f aca="false">IF(A2310="","",IFERROR(VLOOKUP(A2310,'Recert Status'!$A$8:$C$400,3,FALSE()),""))</f>
        <v>46387</v>
      </c>
      <c r="D2310" s="31" t="s">
        <v>1647</v>
      </c>
      <c r="E2310" s="30" t="s">
        <v>426</v>
      </c>
      <c r="F2310" s="32" t="n">
        <v>1</v>
      </c>
      <c r="G2310" s="33" t="n">
        <v>45912</v>
      </c>
      <c r="H2310" s="33" t="n">
        <v>45912</v>
      </c>
      <c r="I2310" s="31" t="s">
        <v>1648</v>
      </c>
      <c r="J2310" s="30" t="s">
        <v>426</v>
      </c>
      <c r="K2310" s="31" t="s">
        <v>428</v>
      </c>
      <c r="L2310" s="32" t="n">
        <v>1</v>
      </c>
      <c r="M2310" s="41" t="s">
        <v>429</v>
      </c>
      <c r="N2310" s="31" t="s">
        <v>430</v>
      </c>
      <c r="O2310" s="32" t="n">
        <v>1</v>
      </c>
      <c r="P2310" s="15" t="n">
        <f aca="false">IF(A2310="","",IF(O2310&lt;&gt;"",O2310,IF(L2310&lt;&gt;"",L2310,F2310)))</f>
        <v>1</v>
      </c>
    </row>
    <row r="2311" customFormat="false" ht="15" hidden="false" customHeight="true" outlineLevel="0" collapsed="false">
      <c r="A2311" s="26" t="s">
        <v>276</v>
      </c>
      <c r="B2311" s="26" t="s">
        <v>277</v>
      </c>
      <c r="C2311" s="14" t="n">
        <f aca="false">IF(A2311="","",IFERROR(VLOOKUP(A2311,'Recert Status'!$A$8:$C$400,3,FALSE()),""))</f>
        <v>46387</v>
      </c>
      <c r="D2311" s="18" t="s">
        <v>569</v>
      </c>
      <c r="E2311" s="26" t="s">
        <v>426</v>
      </c>
      <c r="F2311" s="27" t="n">
        <v>0.5</v>
      </c>
      <c r="G2311" s="28" t="n">
        <v>45918</v>
      </c>
      <c r="H2311" s="28" t="n">
        <v>45918</v>
      </c>
      <c r="I2311" s="18" t="s">
        <v>836</v>
      </c>
      <c r="J2311" s="26" t="s">
        <v>426</v>
      </c>
      <c r="K2311" s="18" t="s">
        <v>428</v>
      </c>
      <c r="L2311" s="27" t="n">
        <v>0.5</v>
      </c>
      <c r="M2311" s="41" t="s">
        <v>429</v>
      </c>
      <c r="N2311" s="18" t="s">
        <v>430</v>
      </c>
      <c r="O2311" s="27" t="n">
        <v>0.5</v>
      </c>
      <c r="P2311" s="15" t="n">
        <f aca="false">IF(A2311="","",IF(O2311&lt;&gt;"",O2311,IF(L2311&lt;&gt;"",L2311,F2311)))</f>
        <v>0.5</v>
      </c>
    </row>
    <row r="2312" customFormat="false" ht="15" hidden="false" customHeight="true" outlineLevel="0" collapsed="false">
      <c r="A2312" s="30" t="s">
        <v>276</v>
      </c>
      <c r="B2312" s="30" t="s">
        <v>277</v>
      </c>
      <c r="C2312" s="21" t="n">
        <f aca="false">IF(A2312="","",IFERROR(VLOOKUP(A2312,'Recert Status'!$A$8:$C$400,3,FALSE()),""))</f>
        <v>46387</v>
      </c>
      <c r="D2312" s="31" t="s">
        <v>379</v>
      </c>
      <c r="E2312" s="30" t="n">
        <v>35513</v>
      </c>
      <c r="F2312" s="32" t="n">
        <v>1</v>
      </c>
      <c r="G2312" s="33" t="n">
        <v>46140</v>
      </c>
      <c r="H2312" s="33" t="n">
        <v>46140</v>
      </c>
      <c r="I2312" s="31" t="s">
        <v>963</v>
      </c>
      <c r="J2312" s="30" t="s">
        <v>384</v>
      </c>
      <c r="K2312" s="31" t="s">
        <v>381</v>
      </c>
      <c r="L2312" s="32" t="n">
        <v>1</v>
      </c>
      <c r="M2312" s="34" t="s">
        <v>375</v>
      </c>
      <c r="N2312" s="31" t="s">
        <v>376</v>
      </c>
      <c r="O2312" s="32" t="n">
        <v>1</v>
      </c>
      <c r="P2312" s="15" t="n">
        <f aca="false">IF(A2312="","",IF(O2312&lt;&gt;"",O2312,IF(L2312&lt;&gt;"",L2312,F2312)))</f>
        <v>1</v>
      </c>
    </row>
    <row r="2313" customFormat="false" ht="15" hidden="false" customHeight="true" outlineLevel="0" collapsed="false">
      <c r="A2313" s="26" t="s">
        <v>276</v>
      </c>
      <c r="B2313" s="26" t="s">
        <v>277</v>
      </c>
      <c r="C2313" s="14" t="n">
        <f aca="false">IF(A2313="","",IFERROR(VLOOKUP(A2313,'Recert Status'!$A$8:$C$400,3,FALSE()),""))</f>
        <v>46387</v>
      </c>
      <c r="D2313" s="18" t="s">
        <v>449</v>
      </c>
      <c r="E2313" s="26" t="s">
        <v>389</v>
      </c>
      <c r="F2313" s="27" t="n">
        <v>1</v>
      </c>
      <c r="G2313" s="28" t="n">
        <v>45813</v>
      </c>
      <c r="H2313" s="28" t="n">
        <v>45813</v>
      </c>
      <c r="I2313" s="18" t="s">
        <v>844</v>
      </c>
      <c r="J2313" s="26" t="s">
        <v>389</v>
      </c>
      <c r="K2313" s="18" t="s">
        <v>845</v>
      </c>
      <c r="L2313" s="27" t="n">
        <v>1</v>
      </c>
      <c r="M2313" s="35" t="s">
        <v>386</v>
      </c>
      <c r="N2313" s="18" t="s">
        <v>387</v>
      </c>
      <c r="O2313" s="27" t="n">
        <v>1</v>
      </c>
      <c r="P2313" s="15" t="n">
        <f aca="false">IF(A2313="","",IF(O2313&lt;&gt;"",O2313,IF(L2313&lt;&gt;"",L2313,F2313)))</f>
        <v>1</v>
      </c>
    </row>
    <row r="2314" customFormat="false" ht="15" hidden="false" customHeight="true" outlineLevel="0" collapsed="false">
      <c r="A2314" s="30" t="s">
        <v>276</v>
      </c>
      <c r="B2314" s="30" t="s">
        <v>277</v>
      </c>
      <c r="C2314" s="21" t="n">
        <f aca="false">IF(A2314="","",IFERROR(VLOOKUP(A2314,'Recert Status'!$A$8:$C$400,3,FALSE()),""))</f>
        <v>46387</v>
      </c>
      <c r="D2314" s="31" t="s">
        <v>647</v>
      </c>
      <c r="E2314" s="30" t="n">
        <v>29675</v>
      </c>
      <c r="F2314" s="32" t="n">
        <v>1</v>
      </c>
      <c r="G2314" s="33" t="n">
        <v>45840</v>
      </c>
      <c r="H2314" s="33" t="n">
        <v>45840</v>
      </c>
      <c r="I2314" s="31" t="s">
        <v>648</v>
      </c>
      <c r="J2314" s="30" t="s">
        <v>406</v>
      </c>
      <c r="K2314" s="31" t="s">
        <v>385</v>
      </c>
      <c r="L2314" s="32" t="n">
        <v>1</v>
      </c>
      <c r="M2314" s="35" t="s">
        <v>386</v>
      </c>
      <c r="N2314" s="31" t="s">
        <v>387</v>
      </c>
      <c r="O2314" s="32" t="n">
        <v>1</v>
      </c>
      <c r="P2314" s="15" t="n">
        <f aca="false">IF(A2314="","",IF(O2314&lt;&gt;"",O2314,IF(L2314&lt;&gt;"",L2314,F2314)))</f>
        <v>1</v>
      </c>
    </row>
    <row r="2315" customFormat="false" ht="15" hidden="false" customHeight="true" outlineLevel="0" collapsed="false">
      <c r="A2315" s="26" t="s">
        <v>276</v>
      </c>
      <c r="B2315" s="26" t="s">
        <v>277</v>
      </c>
      <c r="C2315" s="14" t="n">
        <f aca="false">IF(A2315="","",IFERROR(VLOOKUP(A2315,'Recert Status'!$A$8:$C$400,3,FALSE()),""))</f>
        <v>46387</v>
      </c>
      <c r="D2315" s="18" t="s">
        <v>827</v>
      </c>
      <c r="E2315" s="26" t="s">
        <v>389</v>
      </c>
      <c r="F2315" s="27" t="n">
        <v>2.5</v>
      </c>
      <c r="G2315" s="28" t="n">
        <v>45867</v>
      </c>
      <c r="H2315" s="28" t="n">
        <v>45867</v>
      </c>
      <c r="I2315" s="18" t="s">
        <v>828</v>
      </c>
      <c r="J2315" s="26" t="s">
        <v>389</v>
      </c>
      <c r="K2315" s="18" t="s">
        <v>829</v>
      </c>
      <c r="L2315" s="27" t="n">
        <v>1</v>
      </c>
      <c r="M2315" s="35" t="s">
        <v>386</v>
      </c>
      <c r="N2315" s="18" t="s">
        <v>830</v>
      </c>
      <c r="O2315" s="27" t="n">
        <v>2.5</v>
      </c>
      <c r="P2315" s="15" t="n">
        <f aca="false">IF(A2315="","",IF(O2315&lt;&gt;"",O2315,IF(L2315&lt;&gt;"",L2315,F2315)))</f>
        <v>2.5</v>
      </c>
    </row>
    <row r="2316" customFormat="false" ht="15" hidden="false" customHeight="true" outlineLevel="0" collapsed="false">
      <c r="A2316" s="30" t="s">
        <v>276</v>
      </c>
      <c r="B2316" s="30" t="s">
        <v>277</v>
      </c>
      <c r="C2316" s="21" t="n">
        <f aca="false">IF(A2316="","",IFERROR(VLOOKUP(A2316,'Recert Status'!$A$8:$C$400,3,FALSE()),""))</f>
        <v>46387</v>
      </c>
      <c r="D2316" s="31" t="s">
        <v>573</v>
      </c>
      <c r="E2316" s="30" t="s">
        <v>389</v>
      </c>
      <c r="F2316" s="32" t="n">
        <v>1</v>
      </c>
      <c r="G2316" s="33" t="n">
        <v>45987</v>
      </c>
      <c r="H2316" s="33" t="n">
        <v>45987</v>
      </c>
      <c r="I2316" s="31" t="s">
        <v>574</v>
      </c>
      <c r="J2316" s="30" t="s">
        <v>389</v>
      </c>
      <c r="K2316" s="31" t="s">
        <v>451</v>
      </c>
      <c r="L2316" s="32" t="n">
        <v>1</v>
      </c>
      <c r="M2316" s="35" t="s">
        <v>386</v>
      </c>
      <c r="N2316" s="31" t="s">
        <v>387</v>
      </c>
      <c r="O2316" s="32" t="n">
        <v>1</v>
      </c>
      <c r="P2316" s="15" t="n">
        <f aca="false">IF(A2316="","",IF(O2316&lt;&gt;"",O2316,IF(L2316&lt;&gt;"",L2316,F2316)))</f>
        <v>1</v>
      </c>
    </row>
    <row r="2317" customFormat="false" ht="15" hidden="false" customHeight="true" outlineLevel="0" collapsed="false">
      <c r="A2317" s="26" t="s">
        <v>276</v>
      </c>
      <c r="B2317" s="26" t="s">
        <v>277</v>
      </c>
      <c r="C2317" s="14" t="n">
        <f aca="false">IF(A2317="","",IFERROR(VLOOKUP(A2317,'Recert Status'!$A$8:$C$400,3,FALSE()),""))</f>
        <v>46387</v>
      </c>
      <c r="D2317" s="18" t="s">
        <v>1625</v>
      </c>
      <c r="E2317" s="26" t="s">
        <v>389</v>
      </c>
      <c r="F2317" s="27" t="n">
        <v>1</v>
      </c>
      <c r="G2317" s="28" t="n">
        <v>46182</v>
      </c>
      <c r="H2317" s="28" t="n">
        <v>46182</v>
      </c>
      <c r="I2317" s="18" t="s">
        <v>1626</v>
      </c>
      <c r="J2317" s="26" t="s">
        <v>389</v>
      </c>
      <c r="K2317" s="18" t="s">
        <v>509</v>
      </c>
      <c r="L2317" s="27" t="n">
        <v>1</v>
      </c>
      <c r="M2317" s="35" t="s">
        <v>386</v>
      </c>
      <c r="N2317" s="18" t="s">
        <v>387</v>
      </c>
      <c r="O2317" s="27" t="n">
        <v>1</v>
      </c>
      <c r="P2317" s="15" t="n">
        <f aca="false">IF(A2317="","",IF(O2317&lt;&gt;"",O2317,IF(L2317&lt;&gt;"",L2317,F2317)))</f>
        <v>1</v>
      </c>
    </row>
    <row r="2318" customFormat="false" ht="15" hidden="false" customHeight="true" outlineLevel="0" collapsed="false">
      <c r="A2318" s="30" t="s">
        <v>276</v>
      </c>
      <c r="B2318" s="30" t="s">
        <v>277</v>
      </c>
      <c r="C2318" s="21" t="n">
        <f aca="false">IF(A2318="","",IFERROR(VLOOKUP(A2318,'Recert Status'!$A$8:$C$400,3,FALSE()),""))</f>
        <v>46387</v>
      </c>
      <c r="D2318" s="31" t="s">
        <v>387</v>
      </c>
      <c r="E2318" s="30" t="s">
        <v>389</v>
      </c>
      <c r="F2318" s="32" t="n">
        <v>1</v>
      </c>
      <c r="G2318" s="33" t="n">
        <v>46230</v>
      </c>
      <c r="H2318" s="33" t="n">
        <v>46230</v>
      </c>
      <c r="I2318" s="31" t="s">
        <v>846</v>
      </c>
      <c r="J2318" s="30" t="s">
        <v>389</v>
      </c>
      <c r="K2318" s="31" t="s">
        <v>451</v>
      </c>
      <c r="L2318" s="32" t="n">
        <v>1</v>
      </c>
      <c r="M2318" s="35" t="s">
        <v>386</v>
      </c>
      <c r="N2318" s="31" t="s">
        <v>387</v>
      </c>
      <c r="O2318" s="32" t="n">
        <v>1</v>
      </c>
      <c r="P2318" s="15" t="n">
        <f aca="false">IF(A2318="","",IF(O2318&lt;&gt;"",O2318,IF(L2318&lt;&gt;"",L2318,F2318)))</f>
        <v>1</v>
      </c>
    </row>
    <row r="2319" customFormat="false" ht="15" hidden="false" customHeight="true" outlineLevel="0" collapsed="false">
      <c r="A2319" s="26" t="s">
        <v>276</v>
      </c>
      <c r="B2319" s="26" t="s">
        <v>277</v>
      </c>
      <c r="C2319" s="14" t="n">
        <f aca="false">IF(A2319="","",IFERROR(VLOOKUP(A2319,'Recert Status'!$A$8:$C$400,3,FALSE()),""))</f>
        <v>46387</v>
      </c>
      <c r="D2319" s="18" t="s">
        <v>847</v>
      </c>
      <c r="E2319" s="26" t="s">
        <v>452</v>
      </c>
      <c r="F2319" s="27" t="n">
        <v>1</v>
      </c>
      <c r="G2319" s="28" t="n">
        <v>45801</v>
      </c>
      <c r="H2319" s="28" t="n">
        <v>45801</v>
      </c>
      <c r="I2319" s="18" t="s">
        <v>848</v>
      </c>
      <c r="J2319" s="26" t="s">
        <v>452</v>
      </c>
      <c r="K2319" s="18" t="s">
        <v>385</v>
      </c>
      <c r="L2319" s="27" t="n">
        <v>1</v>
      </c>
      <c r="M2319" s="36" t="s">
        <v>396</v>
      </c>
      <c r="N2319" s="18" t="s">
        <v>397</v>
      </c>
      <c r="O2319" s="27" t="n">
        <v>1</v>
      </c>
      <c r="P2319" s="15" t="n">
        <f aca="false">IF(A2319="","",IF(O2319&lt;&gt;"",O2319,IF(L2319&lt;&gt;"",L2319,F2319)))</f>
        <v>1</v>
      </c>
    </row>
    <row r="2320" customFormat="false" ht="15" hidden="false" customHeight="true" outlineLevel="0" collapsed="false">
      <c r="A2320" s="30" t="s">
        <v>276</v>
      </c>
      <c r="B2320" s="30" t="s">
        <v>277</v>
      </c>
      <c r="C2320" s="21" t="n">
        <f aca="false">IF(A2320="","",IFERROR(VLOOKUP(A2320,'Recert Status'!$A$8:$C$400,3,FALSE()),""))</f>
        <v>46387</v>
      </c>
      <c r="D2320" s="31" t="s">
        <v>415</v>
      </c>
      <c r="E2320" s="30" t="s">
        <v>416</v>
      </c>
      <c r="F2320" s="32" t="n">
        <v>1</v>
      </c>
      <c r="G2320" s="33" t="n">
        <v>45825</v>
      </c>
      <c r="H2320" s="33" t="n">
        <v>45825</v>
      </c>
      <c r="I2320" s="31" t="s">
        <v>820</v>
      </c>
      <c r="J2320" s="30" t="s">
        <v>416</v>
      </c>
      <c r="K2320" s="31" t="s">
        <v>412</v>
      </c>
      <c r="L2320" s="32" t="n">
        <v>1</v>
      </c>
      <c r="M2320" s="39" t="s">
        <v>413</v>
      </c>
      <c r="N2320" s="31" t="s">
        <v>414</v>
      </c>
      <c r="O2320" s="32" t="n">
        <v>1</v>
      </c>
      <c r="P2320" s="15" t="n">
        <f aca="false">IF(A2320="","",IF(O2320&lt;&gt;"",O2320,IF(L2320&lt;&gt;"",L2320,F2320)))</f>
        <v>1</v>
      </c>
    </row>
    <row r="2321" customFormat="false" ht="15" hidden="false" customHeight="true" outlineLevel="0" collapsed="false">
      <c r="A2321" s="26" t="s">
        <v>276</v>
      </c>
      <c r="B2321" s="26" t="s">
        <v>277</v>
      </c>
      <c r="C2321" s="14" t="n">
        <f aca="false">IF(A2321="","",IFERROR(VLOOKUP(A2321,'Recert Status'!$A$8:$C$400,3,FALSE()),""))</f>
        <v>46387</v>
      </c>
      <c r="D2321" s="18" t="s">
        <v>582</v>
      </c>
      <c r="E2321" s="26" t="s">
        <v>416</v>
      </c>
      <c r="F2321" s="27" t="n">
        <v>2</v>
      </c>
      <c r="G2321" s="28" t="n">
        <v>45861</v>
      </c>
      <c r="H2321" s="28" t="n">
        <v>45861</v>
      </c>
      <c r="I2321" s="18" t="s">
        <v>583</v>
      </c>
      <c r="J2321" s="26" t="s">
        <v>416</v>
      </c>
      <c r="K2321" s="18" t="s">
        <v>418</v>
      </c>
      <c r="L2321" s="27" t="n">
        <v>2</v>
      </c>
      <c r="M2321" s="39" t="s">
        <v>413</v>
      </c>
      <c r="N2321" s="18" t="s">
        <v>414</v>
      </c>
      <c r="O2321" s="27" t="n">
        <v>2</v>
      </c>
      <c r="P2321" s="15" t="n">
        <f aca="false">IF(A2321="","",IF(O2321&lt;&gt;"",O2321,IF(L2321&lt;&gt;"",L2321,F2321)))</f>
        <v>2</v>
      </c>
    </row>
    <row r="2322" customFormat="false" ht="15" hidden="false" customHeight="true" outlineLevel="0" collapsed="false">
      <c r="A2322" s="30" t="s">
        <v>276</v>
      </c>
      <c r="B2322" s="30" t="s">
        <v>277</v>
      </c>
      <c r="C2322" s="21" t="n">
        <f aca="false">IF(A2322="","",IFERROR(VLOOKUP(A2322,'Recert Status'!$A$8:$C$400,3,FALSE()),""))</f>
        <v>46387</v>
      </c>
      <c r="D2322" s="31" t="s">
        <v>968</v>
      </c>
      <c r="E2322" s="30" t="s">
        <v>416</v>
      </c>
      <c r="F2322" s="32" t="n">
        <v>0.5</v>
      </c>
      <c r="G2322" s="33" t="n">
        <v>45906</v>
      </c>
      <c r="H2322" s="33" t="n">
        <v>45906</v>
      </c>
      <c r="I2322" s="31" t="s">
        <v>969</v>
      </c>
      <c r="J2322" s="30" t="s">
        <v>416</v>
      </c>
      <c r="K2322" s="31" t="s">
        <v>485</v>
      </c>
      <c r="L2322" s="32" t="n">
        <v>0.5</v>
      </c>
      <c r="M2322" s="39" t="s">
        <v>413</v>
      </c>
      <c r="N2322" s="31" t="s">
        <v>414</v>
      </c>
      <c r="O2322" s="32" t="n">
        <v>0.5</v>
      </c>
      <c r="P2322" s="15" t="n">
        <f aca="false">IF(A2322="","",IF(O2322&lt;&gt;"",O2322,IF(L2322&lt;&gt;"",L2322,F2322)))</f>
        <v>0.5</v>
      </c>
    </row>
    <row r="2323" customFormat="false" ht="15" hidden="false" customHeight="true" outlineLevel="0" collapsed="false">
      <c r="A2323" s="26" t="s">
        <v>276</v>
      </c>
      <c r="B2323" s="26" t="s">
        <v>277</v>
      </c>
      <c r="C2323" s="14" t="n">
        <f aca="false">IF(A2323="","",IFERROR(VLOOKUP(A2323,'Recert Status'!$A$8:$C$400,3,FALSE()),""))</f>
        <v>46387</v>
      </c>
      <c r="D2323" s="18" t="s">
        <v>672</v>
      </c>
      <c r="E2323" s="26" t="s">
        <v>416</v>
      </c>
      <c r="F2323" s="27" t="n">
        <v>1</v>
      </c>
      <c r="G2323" s="28" t="n">
        <v>45933</v>
      </c>
      <c r="H2323" s="28" t="n">
        <v>45933</v>
      </c>
      <c r="I2323" s="18" t="s">
        <v>675</v>
      </c>
      <c r="J2323" s="26" t="s">
        <v>416</v>
      </c>
      <c r="K2323" s="18" t="s">
        <v>674</v>
      </c>
      <c r="L2323" s="27" t="n">
        <v>1</v>
      </c>
      <c r="M2323" s="39" t="s">
        <v>413</v>
      </c>
      <c r="N2323" s="18" t="s">
        <v>414</v>
      </c>
      <c r="O2323" s="27" t="n">
        <v>1</v>
      </c>
      <c r="P2323" s="15" t="n">
        <f aca="false">IF(A2323="","",IF(O2323&lt;&gt;"",O2323,IF(L2323&lt;&gt;"",L2323,F2323)))</f>
        <v>1</v>
      </c>
    </row>
    <row r="2324" customFormat="false" ht="15" hidden="false" customHeight="true" outlineLevel="0" collapsed="false">
      <c r="A2324" s="30" t="s">
        <v>276</v>
      </c>
      <c r="B2324" s="30" t="s">
        <v>277</v>
      </c>
      <c r="C2324" s="21" t="n">
        <f aca="false">IF(A2324="","",IFERROR(VLOOKUP(A2324,'Recert Status'!$A$8:$C$400,3,FALSE()),""))</f>
        <v>46387</v>
      </c>
      <c r="D2324" s="31" t="s">
        <v>672</v>
      </c>
      <c r="E2324" s="30" t="s">
        <v>416</v>
      </c>
      <c r="F2324" s="32" t="n">
        <v>1</v>
      </c>
      <c r="G2324" s="33" t="n">
        <v>45987</v>
      </c>
      <c r="H2324" s="33" t="n">
        <v>45987</v>
      </c>
      <c r="I2324" s="31" t="s">
        <v>862</v>
      </c>
      <c r="J2324" s="30" t="s">
        <v>416</v>
      </c>
      <c r="K2324" s="31" t="s">
        <v>674</v>
      </c>
      <c r="L2324" s="32" t="n">
        <v>1</v>
      </c>
      <c r="M2324" s="39" t="s">
        <v>413</v>
      </c>
      <c r="N2324" s="31" t="s">
        <v>414</v>
      </c>
      <c r="O2324" s="32" t="n">
        <v>1</v>
      </c>
      <c r="P2324" s="15" t="n">
        <f aca="false">IF(A2324="","",IF(O2324&lt;&gt;"",O2324,IF(L2324&lt;&gt;"",L2324,F2324)))</f>
        <v>1</v>
      </c>
    </row>
    <row r="2325" customFormat="false" ht="15" hidden="false" customHeight="true" outlineLevel="0" collapsed="false">
      <c r="A2325" s="26" t="s">
        <v>276</v>
      </c>
      <c r="B2325" s="26" t="s">
        <v>277</v>
      </c>
      <c r="C2325" s="14" t="n">
        <f aca="false">IF(A2325="","",IFERROR(VLOOKUP(A2325,'Recert Status'!$A$8:$C$400,3,FALSE()),""))</f>
        <v>46387</v>
      </c>
      <c r="D2325" s="18" t="s">
        <v>672</v>
      </c>
      <c r="E2325" s="26" t="s">
        <v>416</v>
      </c>
      <c r="F2325" s="27" t="n">
        <v>0.75</v>
      </c>
      <c r="G2325" s="28" t="n">
        <v>45990</v>
      </c>
      <c r="H2325" s="28" t="n">
        <v>45990</v>
      </c>
      <c r="I2325" s="18" t="s">
        <v>863</v>
      </c>
      <c r="J2325" s="26" t="s">
        <v>416</v>
      </c>
      <c r="K2325" s="18" t="s">
        <v>674</v>
      </c>
      <c r="L2325" s="27" t="n">
        <v>0.75</v>
      </c>
      <c r="M2325" s="39" t="s">
        <v>413</v>
      </c>
      <c r="N2325" s="18" t="s">
        <v>414</v>
      </c>
      <c r="O2325" s="27" t="n">
        <v>0.75</v>
      </c>
      <c r="P2325" s="15" t="n">
        <f aca="false">IF(A2325="","",IF(O2325&lt;&gt;"",O2325,IF(L2325&lt;&gt;"",L2325,F2325)))</f>
        <v>0.75</v>
      </c>
    </row>
    <row r="2326" customFormat="false" ht="15" hidden="false" customHeight="true" outlineLevel="0" collapsed="false">
      <c r="A2326" s="30" t="s">
        <v>276</v>
      </c>
      <c r="B2326" s="30" t="s">
        <v>277</v>
      </c>
      <c r="C2326" s="21" t="n">
        <f aca="false">IF(A2326="","",IFERROR(VLOOKUP(A2326,'Recert Status'!$A$8:$C$400,3,FALSE()),""))</f>
        <v>46387</v>
      </c>
      <c r="D2326" s="31" t="s">
        <v>488</v>
      </c>
      <c r="E2326" s="30" t="s">
        <v>416</v>
      </c>
      <c r="F2326" s="32" t="n">
        <v>1</v>
      </c>
      <c r="G2326" s="33" t="n">
        <v>46128</v>
      </c>
      <c r="H2326" s="33" t="n">
        <v>46128</v>
      </c>
      <c r="I2326" s="31" t="s">
        <v>609</v>
      </c>
      <c r="J2326" s="30" t="s">
        <v>416</v>
      </c>
      <c r="K2326" s="31" t="s">
        <v>490</v>
      </c>
      <c r="L2326" s="32" t="n">
        <v>1</v>
      </c>
      <c r="M2326" s="39" t="s">
        <v>413</v>
      </c>
      <c r="N2326" s="31" t="s">
        <v>414</v>
      </c>
      <c r="O2326" s="32" t="n">
        <v>1</v>
      </c>
      <c r="P2326" s="15" t="n">
        <f aca="false">IF(A2326="","",IF(O2326&lt;&gt;"",O2326,IF(L2326&lt;&gt;"",L2326,F2326)))</f>
        <v>1</v>
      </c>
    </row>
    <row r="2327" customFormat="false" ht="15" hidden="false" customHeight="true" outlineLevel="0" collapsed="false">
      <c r="A2327" s="26" t="s">
        <v>276</v>
      </c>
      <c r="B2327" s="26" t="s">
        <v>277</v>
      </c>
      <c r="C2327" s="14" t="n">
        <f aca="false">IF(A2327="","",IFERROR(VLOOKUP(A2327,'Recert Status'!$A$8:$C$400,3,FALSE()),""))</f>
        <v>46387</v>
      </c>
      <c r="D2327" s="18" t="s">
        <v>414</v>
      </c>
      <c r="E2327" s="26" t="s">
        <v>416</v>
      </c>
      <c r="F2327" s="27" t="n">
        <v>2</v>
      </c>
      <c r="G2327" s="28" t="n">
        <v>46218</v>
      </c>
      <c r="H2327" s="28" t="n">
        <v>46218</v>
      </c>
      <c r="I2327" s="18" t="s">
        <v>535</v>
      </c>
      <c r="J2327" s="26" t="s">
        <v>416</v>
      </c>
      <c r="K2327" s="18" t="s">
        <v>418</v>
      </c>
      <c r="L2327" s="27" t="n">
        <v>2</v>
      </c>
      <c r="M2327" s="39" t="s">
        <v>413</v>
      </c>
      <c r="N2327" s="18" t="s">
        <v>414</v>
      </c>
      <c r="O2327" s="27" t="n">
        <v>2</v>
      </c>
      <c r="P2327" s="15" t="n">
        <f aca="false">IF(A2327="","",IF(O2327&lt;&gt;"",O2327,IF(L2327&lt;&gt;"",L2327,F2327)))</f>
        <v>2</v>
      </c>
    </row>
    <row r="2328" customFormat="false" ht="15" hidden="false" customHeight="true" outlineLevel="0" collapsed="false">
      <c r="A2328" s="30" t="s">
        <v>278</v>
      </c>
      <c r="B2328" s="30" t="s">
        <v>279</v>
      </c>
      <c r="C2328" s="21" t="n">
        <f aca="false">IF(A2328="","",IFERROR(VLOOKUP(A2328,'Recert Status'!$A$8:$C$400,3,FALSE()),""))</f>
        <v>46752</v>
      </c>
      <c r="D2328" s="31" t="s">
        <v>1649</v>
      </c>
      <c r="E2328" s="30" t="s">
        <v>363</v>
      </c>
      <c r="F2328" s="32" t="n">
        <v>1</v>
      </c>
      <c r="G2328" s="33" t="n">
        <v>45704</v>
      </c>
      <c r="H2328" s="33" t="n">
        <v>45704</v>
      </c>
      <c r="I2328" s="31" t="s">
        <v>1650</v>
      </c>
      <c r="J2328" s="30" t="s">
        <v>363</v>
      </c>
      <c r="K2328" s="31" t="s">
        <v>495</v>
      </c>
      <c r="L2328" s="32" t="n">
        <v>1</v>
      </c>
      <c r="M2328" s="29" t="s">
        <v>366</v>
      </c>
      <c r="N2328" s="31" t="s">
        <v>367</v>
      </c>
      <c r="O2328" s="32" t="n">
        <v>1</v>
      </c>
      <c r="P2328" s="15" t="n">
        <f aca="false">IF(A2328="","",IF(O2328&lt;&gt;"",O2328,IF(L2328&lt;&gt;"",L2328,F2328)))</f>
        <v>1</v>
      </c>
    </row>
    <row r="2329" customFormat="false" ht="15" hidden="false" customHeight="true" outlineLevel="0" collapsed="false">
      <c r="A2329" s="26" t="s">
        <v>278</v>
      </c>
      <c r="B2329" s="26" t="s">
        <v>279</v>
      </c>
      <c r="C2329" s="14" t="n">
        <f aca="false">IF(A2329="","",IFERROR(VLOOKUP(A2329,'Recert Status'!$A$8:$C$400,3,FALSE()),""))</f>
        <v>46752</v>
      </c>
      <c r="D2329" s="18" t="s">
        <v>1433</v>
      </c>
      <c r="E2329" s="26" t="s">
        <v>363</v>
      </c>
      <c r="F2329" s="27" t="n">
        <v>1</v>
      </c>
      <c r="G2329" s="28" t="n">
        <v>45710</v>
      </c>
      <c r="H2329" s="28" t="n">
        <v>45710</v>
      </c>
      <c r="I2329" s="18" t="s">
        <v>1434</v>
      </c>
      <c r="J2329" s="26" t="s">
        <v>363</v>
      </c>
      <c r="K2329" s="18" t="s">
        <v>370</v>
      </c>
      <c r="L2329" s="27" t="n">
        <v>1</v>
      </c>
      <c r="M2329" s="29" t="s">
        <v>366</v>
      </c>
      <c r="N2329" s="18" t="s">
        <v>367</v>
      </c>
      <c r="O2329" s="27" t="n">
        <v>1</v>
      </c>
      <c r="P2329" s="15" t="n">
        <f aca="false">IF(A2329="","",IF(O2329&lt;&gt;"",O2329,IF(L2329&lt;&gt;"",L2329,F2329)))</f>
        <v>1</v>
      </c>
    </row>
    <row r="2330" customFormat="false" ht="15" hidden="false" customHeight="true" outlineLevel="0" collapsed="false">
      <c r="A2330" s="30" t="s">
        <v>278</v>
      </c>
      <c r="B2330" s="30" t="s">
        <v>279</v>
      </c>
      <c r="C2330" s="21" t="n">
        <f aca="false">IF(A2330="","",IFERROR(VLOOKUP(A2330,'Recert Status'!$A$8:$C$400,3,FALSE()),""))</f>
        <v>46752</v>
      </c>
      <c r="D2330" s="31" t="s">
        <v>1339</v>
      </c>
      <c r="E2330" s="30" t="s">
        <v>363</v>
      </c>
      <c r="F2330" s="32" t="n">
        <v>0.5</v>
      </c>
      <c r="G2330" s="33" t="n">
        <v>45794</v>
      </c>
      <c r="H2330" s="33" t="n">
        <v>45794</v>
      </c>
      <c r="I2330" s="31" t="s">
        <v>1340</v>
      </c>
      <c r="J2330" s="30" t="s">
        <v>363</v>
      </c>
      <c r="K2330" s="31" t="s">
        <v>365</v>
      </c>
      <c r="L2330" s="32" t="n">
        <v>0.5</v>
      </c>
      <c r="M2330" s="29" t="s">
        <v>366</v>
      </c>
      <c r="N2330" s="31" t="s">
        <v>367</v>
      </c>
      <c r="O2330" s="32" t="n">
        <v>0.5</v>
      </c>
      <c r="P2330" s="15" t="n">
        <f aca="false">IF(A2330="","",IF(O2330&lt;&gt;"",O2330,IF(L2330&lt;&gt;"",L2330,F2330)))</f>
        <v>0.5</v>
      </c>
    </row>
    <row r="2331" customFormat="false" ht="15" hidden="false" customHeight="true" outlineLevel="0" collapsed="false">
      <c r="A2331" s="26" t="s">
        <v>278</v>
      </c>
      <c r="B2331" s="26" t="s">
        <v>279</v>
      </c>
      <c r="C2331" s="14" t="n">
        <f aca="false">IF(A2331="","",IFERROR(VLOOKUP(A2331,'Recert Status'!$A$8:$C$400,3,FALSE()),""))</f>
        <v>46752</v>
      </c>
      <c r="D2331" s="18" t="s">
        <v>924</v>
      </c>
      <c r="E2331" s="26" t="s">
        <v>363</v>
      </c>
      <c r="F2331" s="27" t="n">
        <v>0.5</v>
      </c>
      <c r="G2331" s="28" t="n">
        <v>45824</v>
      </c>
      <c r="H2331" s="28" t="n">
        <v>45824</v>
      </c>
      <c r="I2331" s="18" t="s">
        <v>925</v>
      </c>
      <c r="J2331" s="26" t="s">
        <v>363</v>
      </c>
      <c r="K2331" s="18" t="s">
        <v>365</v>
      </c>
      <c r="L2331" s="27" t="n">
        <v>0.5</v>
      </c>
      <c r="M2331" s="29" t="s">
        <v>366</v>
      </c>
      <c r="N2331" s="18" t="s">
        <v>367</v>
      </c>
      <c r="O2331" s="27" t="n">
        <v>0.5</v>
      </c>
      <c r="P2331" s="15" t="n">
        <f aca="false">IF(A2331="","",IF(O2331&lt;&gt;"",O2331,IF(L2331&lt;&gt;"",L2331,F2331)))</f>
        <v>0.5</v>
      </c>
    </row>
    <row r="2332" customFormat="false" ht="15" hidden="false" customHeight="true" outlineLevel="0" collapsed="false">
      <c r="A2332" s="30" t="s">
        <v>278</v>
      </c>
      <c r="B2332" s="30" t="s">
        <v>279</v>
      </c>
      <c r="C2332" s="21" t="n">
        <f aca="false">IF(A2332="","",IFERROR(VLOOKUP(A2332,'Recert Status'!$A$8:$C$400,3,FALSE()),""))</f>
        <v>46752</v>
      </c>
      <c r="D2332" s="31" t="s">
        <v>1651</v>
      </c>
      <c r="E2332" s="30" t="n">
        <v>29737</v>
      </c>
      <c r="F2332" s="32" t="n">
        <v>0.5</v>
      </c>
      <c r="G2332" s="33" t="n">
        <v>45854</v>
      </c>
      <c r="H2332" s="33" t="n">
        <v>45854</v>
      </c>
      <c r="I2332" s="31" t="s">
        <v>1652</v>
      </c>
      <c r="J2332" s="30" t="s">
        <v>411</v>
      </c>
      <c r="K2332" s="31" t="s">
        <v>1653</v>
      </c>
      <c r="L2332" s="32" t="n">
        <v>0.5</v>
      </c>
      <c r="M2332" s="29" t="s">
        <v>366</v>
      </c>
      <c r="N2332" s="31" t="s">
        <v>514</v>
      </c>
      <c r="O2332" s="32" t="n">
        <v>0.5</v>
      </c>
      <c r="P2332" s="15" t="n">
        <f aca="false">IF(A2332="","",IF(O2332&lt;&gt;"",O2332,IF(L2332&lt;&gt;"",L2332,F2332)))</f>
        <v>0.5</v>
      </c>
    </row>
    <row r="2333" customFormat="false" ht="15" hidden="false" customHeight="true" outlineLevel="0" collapsed="false">
      <c r="A2333" s="26" t="s">
        <v>278</v>
      </c>
      <c r="B2333" s="26" t="s">
        <v>279</v>
      </c>
      <c r="C2333" s="14" t="n">
        <f aca="false">IF(A2333="","",IFERROR(VLOOKUP(A2333,'Recert Status'!$A$8:$C$400,3,FALSE()),""))</f>
        <v>46752</v>
      </c>
      <c r="D2333" s="18" t="s">
        <v>425</v>
      </c>
      <c r="E2333" s="26" t="s">
        <v>426</v>
      </c>
      <c r="F2333" s="27" t="n">
        <v>2</v>
      </c>
      <c r="G2333" s="28" t="n">
        <v>45929</v>
      </c>
      <c r="H2333" s="28" t="n">
        <v>45929</v>
      </c>
      <c r="I2333" s="18" t="s">
        <v>427</v>
      </c>
      <c r="J2333" s="26" t="s">
        <v>426</v>
      </c>
      <c r="K2333" s="18" t="s">
        <v>428</v>
      </c>
      <c r="L2333" s="27" t="n">
        <v>2</v>
      </c>
      <c r="M2333" s="41" t="s">
        <v>429</v>
      </c>
      <c r="N2333" s="18" t="s">
        <v>430</v>
      </c>
      <c r="O2333" s="27" t="n">
        <v>2</v>
      </c>
      <c r="P2333" s="15" t="n">
        <f aca="false">IF(A2333="","",IF(O2333&lt;&gt;"",O2333,IF(L2333&lt;&gt;"",L2333,F2333)))</f>
        <v>2</v>
      </c>
    </row>
    <row r="2334" customFormat="false" ht="15" hidden="false" customHeight="true" outlineLevel="0" collapsed="false">
      <c r="A2334" s="30" t="s">
        <v>278</v>
      </c>
      <c r="B2334" s="30" t="s">
        <v>279</v>
      </c>
      <c r="C2334" s="21" t="n">
        <f aca="false">IF(A2334="","",IFERROR(VLOOKUP(A2334,'Recert Status'!$A$8:$C$400,3,FALSE()),""))</f>
        <v>46752</v>
      </c>
      <c r="D2334" s="31" t="s">
        <v>1654</v>
      </c>
      <c r="E2334" s="30" t="s">
        <v>372</v>
      </c>
      <c r="F2334" s="32" t="n">
        <v>1</v>
      </c>
      <c r="G2334" s="33" t="n">
        <v>45749</v>
      </c>
      <c r="H2334" s="33" t="n">
        <v>45749</v>
      </c>
      <c r="I2334" s="31" t="s">
        <v>1655</v>
      </c>
      <c r="J2334" s="30" t="s">
        <v>372</v>
      </c>
      <c r="K2334" s="31" t="s">
        <v>374</v>
      </c>
      <c r="L2334" s="32" t="n">
        <v>1</v>
      </c>
      <c r="M2334" s="34" t="s">
        <v>375</v>
      </c>
      <c r="N2334" s="31" t="s">
        <v>376</v>
      </c>
      <c r="O2334" s="32" t="n">
        <v>1</v>
      </c>
      <c r="P2334" s="15" t="n">
        <f aca="false">IF(A2334="","",IF(O2334&lt;&gt;"",O2334,IF(L2334&lt;&gt;"",L2334,F2334)))</f>
        <v>1</v>
      </c>
    </row>
    <row r="2335" customFormat="false" ht="15" hidden="false" customHeight="true" outlineLevel="0" collapsed="false">
      <c r="A2335" s="26" t="s">
        <v>278</v>
      </c>
      <c r="B2335" s="26" t="s">
        <v>279</v>
      </c>
      <c r="C2335" s="14" t="n">
        <f aca="false">IF(A2335="","",IFERROR(VLOOKUP(A2335,'Recert Status'!$A$8:$C$400,3,FALSE()),""))</f>
        <v>46752</v>
      </c>
      <c r="D2335" s="18" t="s">
        <v>1110</v>
      </c>
      <c r="E2335" s="26" t="s">
        <v>389</v>
      </c>
      <c r="F2335" s="27" t="n">
        <v>1</v>
      </c>
      <c r="G2335" s="28" t="n">
        <v>45698</v>
      </c>
      <c r="H2335" s="28" t="n">
        <v>45698</v>
      </c>
      <c r="I2335" s="18" t="s">
        <v>1111</v>
      </c>
      <c r="J2335" s="26" t="s">
        <v>389</v>
      </c>
      <c r="K2335" s="18" t="s">
        <v>451</v>
      </c>
      <c r="L2335" s="27" t="n">
        <v>1</v>
      </c>
      <c r="M2335" s="35" t="s">
        <v>386</v>
      </c>
      <c r="N2335" s="18" t="s">
        <v>387</v>
      </c>
      <c r="O2335" s="27" t="n">
        <v>1</v>
      </c>
      <c r="P2335" s="15" t="n">
        <f aca="false">IF(A2335="","",IF(O2335&lt;&gt;"",O2335,IF(L2335&lt;&gt;"",L2335,F2335)))</f>
        <v>1</v>
      </c>
    </row>
    <row r="2336" customFormat="false" ht="15" hidden="false" customHeight="true" outlineLevel="0" collapsed="false">
      <c r="A2336" s="30" t="s">
        <v>278</v>
      </c>
      <c r="B2336" s="30" t="s">
        <v>279</v>
      </c>
      <c r="C2336" s="21" t="n">
        <f aca="false">IF(A2336="","",IFERROR(VLOOKUP(A2336,'Recert Status'!$A$8:$C$400,3,FALSE()),""))</f>
        <v>46752</v>
      </c>
      <c r="D2336" s="31" t="s">
        <v>1114</v>
      </c>
      <c r="E2336" s="30" t="n">
        <v>29743</v>
      </c>
      <c r="F2336" s="32" t="n">
        <v>2</v>
      </c>
      <c r="G2336" s="33" t="n">
        <v>45911</v>
      </c>
      <c r="H2336" s="33" t="n">
        <v>45911</v>
      </c>
      <c r="I2336" s="31" t="s">
        <v>1115</v>
      </c>
      <c r="J2336" s="30" t="s">
        <v>439</v>
      </c>
      <c r="K2336" s="31" t="s">
        <v>1116</v>
      </c>
      <c r="L2336" s="32" t="n">
        <v>2</v>
      </c>
      <c r="M2336" s="35" t="s">
        <v>386</v>
      </c>
      <c r="N2336" s="31" t="s">
        <v>514</v>
      </c>
      <c r="O2336" s="32" t="n">
        <v>2</v>
      </c>
      <c r="P2336" s="15" t="n">
        <f aca="false">IF(A2336="","",IF(O2336&lt;&gt;"",O2336,IF(L2336&lt;&gt;"",L2336,F2336)))</f>
        <v>2</v>
      </c>
    </row>
    <row r="2337" customFormat="false" ht="15" hidden="false" customHeight="true" outlineLevel="0" collapsed="false">
      <c r="A2337" s="26" t="s">
        <v>278</v>
      </c>
      <c r="B2337" s="26" t="s">
        <v>279</v>
      </c>
      <c r="C2337" s="14" t="n">
        <f aca="false">IF(A2337="","",IFERROR(VLOOKUP(A2337,'Recert Status'!$A$8:$C$400,3,FALSE()),""))</f>
        <v>46752</v>
      </c>
      <c r="D2337" s="18" t="s">
        <v>1289</v>
      </c>
      <c r="E2337" s="26" t="n">
        <v>29675</v>
      </c>
      <c r="F2337" s="27" t="n">
        <v>4</v>
      </c>
      <c r="G2337" s="28" t="n">
        <v>45986</v>
      </c>
      <c r="H2337" s="28" t="n">
        <v>45986</v>
      </c>
      <c r="I2337" s="18" t="s">
        <v>1074</v>
      </c>
      <c r="J2337" s="26" t="s">
        <v>406</v>
      </c>
      <c r="K2337" s="18" t="s">
        <v>446</v>
      </c>
      <c r="L2337" s="27" t="n">
        <v>1</v>
      </c>
      <c r="M2337" s="35" t="s">
        <v>386</v>
      </c>
      <c r="N2337" s="18" t="s">
        <v>387</v>
      </c>
      <c r="O2337" s="27" t="n">
        <v>1</v>
      </c>
      <c r="P2337" s="15" t="n">
        <f aca="false">IF(A2337="","",IF(O2337&lt;&gt;"",O2337,IF(L2337&lt;&gt;"",L2337,F2337)))</f>
        <v>1</v>
      </c>
    </row>
    <row r="2338" customFormat="false" ht="15" hidden="false" customHeight="true" outlineLevel="0" collapsed="false">
      <c r="A2338" s="30" t="s">
        <v>278</v>
      </c>
      <c r="B2338" s="30" t="s">
        <v>279</v>
      </c>
      <c r="C2338" s="21" t="n">
        <f aca="false">IF(A2338="","",IFERROR(VLOOKUP(A2338,'Recert Status'!$A$8:$C$400,3,FALSE()),""))</f>
        <v>46752</v>
      </c>
      <c r="D2338" s="31" t="s">
        <v>447</v>
      </c>
      <c r="E2338" s="30" t="n">
        <v>29675</v>
      </c>
      <c r="F2338" s="32" t="n">
        <v>1</v>
      </c>
      <c r="G2338" s="33" t="n">
        <v>45987</v>
      </c>
      <c r="H2338" s="33" t="n">
        <v>45987</v>
      </c>
      <c r="I2338" s="31" t="s">
        <v>683</v>
      </c>
      <c r="J2338" s="30" t="s">
        <v>406</v>
      </c>
      <c r="K2338" s="31" t="s">
        <v>446</v>
      </c>
      <c r="L2338" s="32" t="n">
        <v>1</v>
      </c>
      <c r="M2338" s="35" t="s">
        <v>386</v>
      </c>
      <c r="N2338" s="31" t="s">
        <v>387</v>
      </c>
      <c r="O2338" s="32" t="n">
        <v>1</v>
      </c>
      <c r="P2338" s="15" t="n">
        <f aca="false">IF(A2338="","",IF(O2338&lt;&gt;"",O2338,IF(L2338&lt;&gt;"",L2338,F2338)))</f>
        <v>1</v>
      </c>
    </row>
    <row r="2339" customFormat="false" ht="15" hidden="false" customHeight="true" outlineLevel="0" collapsed="false">
      <c r="A2339" s="26" t="s">
        <v>278</v>
      </c>
      <c r="B2339" s="26" t="s">
        <v>279</v>
      </c>
      <c r="C2339" s="14" t="n">
        <f aca="false">IF(A2339="","",IFERROR(VLOOKUP(A2339,'Recert Status'!$A$8:$C$400,3,FALSE()),""))</f>
        <v>46752</v>
      </c>
      <c r="D2339" s="18" t="s">
        <v>474</v>
      </c>
      <c r="E2339" s="26" t="s">
        <v>389</v>
      </c>
      <c r="F2339" s="27" t="n">
        <v>1</v>
      </c>
      <c r="G2339" s="28" t="n">
        <v>46204</v>
      </c>
      <c r="H2339" s="28" t="n">
        <v>46204</v>
      </c>
      <c r="I2339" s="18" t="s">
        <v>475</v>
      </c>
      <c r="J2339" s="26" t="s">
        <v>389</v>
      </c>
      <c r="K2339" s="18" t="s">
        <v>476</v>
      </c>
      <c r="L2339" s="27" t="n">
        <v>1</v>
      </c>
      <c r="M2339" s="35" t="s">
        <v>386</v>
      </c>
      <c r="N2339" s="18" t="s">
        <v>387</v>
      </c>
      <c r="O2339" s="27" t="n">
        <v>1</v>
      </c>
      <c r="P2339" s="15" t="n">
        <f aca="false">IF(A2339="","",IF(O2339&lt;&gt;"",O2339,IF(L2339&lt;&gt;"",L2339,F2339)))</f>
        <v>1</v>
      </c>
    </row>
    <row r="2340" customFormat="false" ht="15" hidden="false" customHeight="true" outlineLevel="0" collapsed="false">
      <c r="A2340" s="30" t="s">
        <v>278</v>
      </c>
      <c r="B2340" s="30" t="s">
        <v>279</v>
      </c>
      <c r="C2340" s="21" t="n">
        <f aca="false">IF(A2340="","",IFERROR(VLOOKUP(A2340,'Recert Status'!$A$8:$C$400,3,FALSE()),""))</f>
        <v>46752</v>
      </c>
      <c r="D2340" s="31" t="s">
        <v>1584</v>
      </c>
      <c r="E2340" s="30" t="n">
        <v>29769</v>
      </c>
      <c r="F2340" s="32" t="n">
        <v>1</v>
      </c>
      <c r="G2340" s="33" t="n">
        <v>45749</v>
      </c>
      <c r="H2340" s="33" t="n">
        <v>45749</v>
      </c>
      <c r="I2340" s="31" t="s">
        <v>1585</v>
      </c>
      <c r="J2340" s="30" t="s">
        <v>517</v>
      </c>
      <c r="K2340" s="31" t="s">
        <v>412</v>
      </c>
      <c r="L2340" s="32" t="n">
        <v>1</v>
      </c>
      <c r="M2340" s="36" t="s">
        <v>396</v>
      </c>
      <c r="N2340" s="31" t="s">
        <v>397</v>
      </c>
      <c r="O2340" s="32" t="n">
        <v>1</v>
      </c>
      <c r="P2340" s="15" t="n">
        <f aca="false">IF(A2340="","",IF(O2340&lt;&gt;"",O2340,IF(L2340&lt;&gt;"",L2340,F2340)))</f>
        <v>1</v>
      </c>
    </row>
    <row r="2341" customFormat="false" ht="15" hidden="false" customHeight="true" outlineLevel="0" collapsed="false">
      <c r="A2341" s="26" t="s">
        <v>278</v>
      </c>
      <c r="B2341" s="26" t="s">
        <v>279</v>
      </c>
      <c r="C2341" s="14" t="n">
        <f aca="false">IF(A2341="","",IFERROR(VLOOKUP(A2341,'Recert Status'!$A$8:$C$400,3,FALSE()),""))</f>
        <v>46752</v>
      </c>
      <c r="D2341" s="18" t="s">
        <v>397</v>
      </c>
      <c r="E2341" s="26" t="s">
        <v>452</v>
      </c>
      <c r="F2341" s="27" t="n">
        <v>1</v>
      </c>
      <c r="G2341" s="28" t="n">
        <v>46244</v>
      </c>
      <c r="H2341" s="28" t="n">
        <v>46244</v>
      </c>
      <c r="I2341" s="18" t="s">
        <v>577</v>
      </c>
      <c r="J2341" s="26" t="s">
        <v>452</v>
      </c>
      <c r="K2341" s="18" t="s">
        <v>385</v>
      </c>
      <c r="L2341" s="27" t="n">
        <v>1</v>
      </c>
      <c r="M2341" s="36" t="s">
        <v>396</v>
      </c>
      <c r="N2341" s="18" t="s">
        <v>397</v>
      </c>
      <c r="O2341" s="27" t="n">
        <v>1</v>
      </c>
      <c r="P2341" s="15" t="n">
        <f aca="false">IF(A2341="","",IF(O2341&lt;&gt;"",O2341,IF(L2341&lt;&gt;"",L2341,F2341)))</f>
        <v>1</v>
      </c>
    </row>
    <row r="2342" customFormat="false" ht="15" hidden="false" customHeight="true" outlineLevel="0" collapsed="false">
      <c r="A2342" s="30" t="s">
        <v>278</v>
      </c>
      <c r="B2342" s="30" t="s">
        <v>279</v>
      </c>
      <c r="C2342" s="21" t="n">
        <f aca="false">IF(A2342="","",IFERROR(VLOOKUP(A2342,'Recert Status'!$A$8:$C$400,3,FALSE()),""))</f>
        <v>46752</v>
      </c>
      <c r="D2342" s="31" t="s">
        <v>398</v>
      </c>
      <c r="E2342" s="30" t="s">
        <v>399</v>
      </c>
      <c r="F2342" s="32" t="n">
        <v>1.5</v>
      </c>
      <c r="G2342" s="33" t="n">
        <v>46092</v>
      </c>
      <c r="H2342" s="33" t="n">
        <v>46092</v>
      </c>
      <c r="I2342" s="31" t="s">
        <v>1656</v>
      </c>
      <c r="J2342" s="30" t="s">
        <v>399</v>
      </c>
      <c r="K2342" s="31" t="s">
        <v>401</v>
      </c>
      <c r="L2342" s="32" t="n">
        <v>1.5</v>
      </c>
      <c r="M2342" s="37" t="s">
        <v>402</v>
      </c>
      <c r="N2342" s="31" t="s">
        <v>403</v>
      </c>
      <c r="O2342" s="32" t="n">
        <v>1.5</v>
      </c>
      <c r="P2342" s="15" t="n">
        <f aca="false">IF(A2342="","",IF(O2342&lt;&gt;"",O2342,IF(L2342&lt;&gt;"",L2342,F2342)))</f>
        <v>1.5</v>
      </c>
    </row>
    <row r="2343" customFormat="false" ht="15" hidden="false" customHeight="true" outlineLevel="0" collapsed="false">
      <c r="A2343" s="26" t="s">
        <v>278</v>
      </c>
      <c r="B2343" s="26" t="s">
        <v>279</v>
      </c>
      <c r="C2343" s="14" t="n">
        <f aca="false">IF(A2343="","",IFERROR(VLOOKUP(A2343,'Recert Status'!$A$8:$C$400,3,FALSE()),""))</f>
        <v>46752</v>
      </c>
      <c r="D2343" s="18" t="s">
        <v>934</v>
      </c>
      <c r="E2343" s="26" t="s">
        <v>416</v>
      </c>
      <c r="F2343" s="27" t="n">
        <v>1</v>
      </c>
      <c r="G2343" s="28" t="n">
        <v>45824</v>
      </c>
      <c r="H2343" s="28" t="n">
        <v>45824</v>
      </c>
      <c r="I2343" s="18" t="s">
        <v>935</v>
      </c>
      <c r="J2343" s="26" t="s">
        <v>416</v>
      </c>
      <c r="K2343" s="18" t="s">
        <v>418</v>
      </c>
      <c r="L2343" s="27" t="n">
        <v>1</v>
      </c>
      <c r="M2343" s="39" t="s">
        <v>413</v>
      </c>
      <c r="N2343" s="18" t="s">
        <v>414</v>
      </c>
      <c r="O2343" s="27" t="n">
        <v>1</v>
      </c>
      <c r="P2343" s="15" t="n">
        <f aca="false">IF(A2343="","",IF(O2343&lt;&gt;"",O2343,IF(L2343&lt;&gt;"",L2343,F2343)))</f>
        <v>1</v>
      </c>
    </row>
    <row r="2344" customFormat="false" ht="15" hidden="false" customHeight="true" outlineLevel="0" collapsed="false">
      <c r="A2344" s="30" t="s">
        <v>278</v>
      </c>
      <c r="B2344" s="30" t="s">
        <v>279</v>
      </c>
      <c r="C2344" s="21" t="n">
        <f aca="false">IF(A2344="","",IFERROR(VLOOKUP(A2344,'Recert Status'!$A$8:$C$400,3,FALSE()),""))</f>
        <v>46752</v>
      </c>
      <c r="D2344" s="31" t="s">
        <v>414</v>
      </c>
      <c r="E2344" s="30" t="s">
        <v>416</v>
      </c>
      <c r="F2344" s="32" t="n">
        <v>2</v>
      </c>
      <c r="G2344" s="33" t="n">
        <v>46218</v>
      </c>
      <c r="H2344" s="33" t="n">
        <v>46218</v>
      </c>
      <c r="I2344" s="31" t="s">
        <v>535</v>
      </c>
      <c r="J2344" s="30" t="s">
        <v>416</v>
      </c>
      <c r="K2344" s="31" t="s">
        <v>418</v>
      </c>
      <c r="L2344" s="32" t="n">
        <v>2</v>
      </c>
      <c r="M2344" s="39" t="s">
        <v>413</v>
      </c>
      <c r="N2344" s="31" t="s">
        <v>414</v>
      </c>
      <c r="O2344" s="32" t="n">
        <v>2</v>
      </c>
      <c r="P2344" s="15" t="n">
        <f aca="false">IF(A2344="","",IF(O2344&lt;&gt;"",O2344,IF(L2344&lt;&gt;"",L2344,F2344)))</f>
        <v>2</v>
      </c>
    </row>
    <row r="2345" customFormat="false" ht="15" hidden="false" customHeight="true" outlineLevel="0" collapsed="false">
      <c r="A2345" s="26" t="s">
        <v>280</v>
      </c>
      <c r="B2345" s="26"/>
      <c r="C2345" s="14" t="n">
        <f aca="false">IF(A2345="","",IFERROR(VLOOKUP(A2345,'Recert Status'!$A$8:$C$400,3,FALSE()),""))</f>
        <v>0</v>
      </c>
      <c r="D2345" s="18" t="s">
        <v>632</v>
      </c>
      <c r="E2345" s="26" t="n">
        <v>29675</v>
      </c>
      <c r="F2345" s="27" t="n">
        <v>0.5</v>
      </c>
      <c r="G2345" s="28" t="n">
        <v>45855</v>
      </c>
      <c r="H2345" s="28" t="n">
        <v>45855</v>
      </c>
      <c r="I2345" s="18" t="s">
        <v>633</v>
      </c>
      <c r="J2345" s="26" t="s">
        <v>406</v>
      </c>
      <c r="K2345" s="18" t="s">
        <v>422</v>
      </c>
      <c r="L2345" s="27" t="n">
        <v>0.5</v>
      </c>
      <c r="M2345" s="40" t="s">
        <v>423</v>
      </c>
      <c r="N2345" s="18" t="s">
        <v>424</v>
      </c>
      <c r="O2345" s="27" t="n">
        <v>0.5</v>
      </c>
      <c r="P2345" s="15" t="n">
        <f aca="false">IF(A2345="","",IF(O2345&lt;&gt;"",O2345,IF(L2345&lt;&gt;"",L2345,F2345)))</f>
        <v>0.5</v>
      </c>
    </row>
    <row r="2346" customFormat="false" ht="15" hidden="false" customHeight="true" outlineLevel="0" collapsed="false">
      <c r="A2346" s="30" t="s">
        <v>280</v>
      </c>
      <c r="B2346" s="30"/>
      <c r="C2346" s="21" t="n">
        <f aca="false">IF(A2346="","",IFERROR(VLOOKUP(A2346,'Recert Status'!$A$8:$C$400,3,FALSE()),""))</f>
        <v>0</v>
      </c>
      <c r="D2346" s="31" t="s">
        <v>582</v>
      </c>
      <c r="E2346" s="30" t="s">
        <v>416</v>
      </c>
      <c r="F2346" s="32" t="n">
        <v>2</v>
      </c>
      <c r="G2346" s="33" t="n">
        <v>45861</v>
      </c>
      <c r="H2346" s="33" t="n">
        <v>45861</v>
      </c>
      <c r="I2346" s="31" t="s">
        <v>583</v>
      </c>
      <c r="J2346" s="30" t="s">
        <v>416</v>
      </c>
      <c r="K2346" s="31" t="s">
        <v>418</v>
      </c>
      <c r="L2346" s="32" t="n">
        <v>2</v>
      </c>
      <c r="M2346" s="39" t="s">
        <v>413</v>
      </c>
      <c r="N2346" s="31" t="s">
        <v>414</v>
      </c>
      <c r="O2346" s="32" t="n">
        <v>2</v>
      </c>
      <c r="P2346" s="15" t="n">
        <f aca="false">IF(A2346="","",IF(O2346&lt;&gt;"",O2346,IF(L2346&lt;&gt;"",L2346,F2346)))</f>
        <v>2</v>
      </c>
    </row>
    <row r="2347" customFormat="false" ht="15" hidden="false" customHeight="true" outlineLevel="0" collapsed="false">
      <c r="A2347" s="26" t="s">
        <v>281</v>
      </c>
      <c r="B2347" s="26" t="s">
        <v>282</v>
      </c>
      <c r="C2347" s="14" t="n">
        <f aca="false">IF(A2347="","",IFERROR(VLOOKUP(A2347,'Recert Status'!$A$8:$C$400,3,FALSE()),""))</f>
        <v>46387</v>
      </c>
      <c r="D2347" s="18" t="s">
        <v>362</v>
      </c>
      <c r="E2347" s="26" t="s">
        <v>363</v>
      </c>
      <c r="F2347" s="27" t="n">
        <v>1</v>
      </c>
      <c r="G2347" s="28" t="n">
        <v>45912</v>
      </c>
      <c r="H2347" s="28" t="n">
        <v>45912</v>
      </c>
      <c r="I2347" s="18" t="s">
        <v>961</v>
      </c>
      <c r="J2347" s="26" t="s">
        <v>363</v>
      </c>
      <c r="K2347" s="18" t="s">
        <v>495</v>
      </c>
      <c r="L2347" s="27" t="n">
        <v>1</v>
      </c>
      <c r="M2347" s="29" t="s">
        <v>366</v>
      </c>
      <c r="N2347" s="18" t="s">
        <v>367</v>
      </c>
      <c r="O2347" s="27" t="n">
        <v>1</v>
      </c>
      <c r="P2347" s="15" t="n">
        <f aca="false">IF(A2347="","",IF(O2347&lt;&gt;"",O2347,IF(L2347&lt;&gt;"",L2347,F2347)))</f>
        <v>1</v>
      </c>
    </row>
    <row r="2348" customFormat="false" ht="15" hidden="false" customHeight="true" outlineLevel="0" collapsed="false">
      <c r="A2348" s="30" t="s">
        <v>281</v>
      </c>
      <c r="B2348" s="30" t="s">
        <v>282</v>
      </c>
      <c r="C2348" s="21" t="n">
        <f aca="false">IF(A2348="","",IFERROR(VLOOKUP(A2348,'Recert Status'!$A$8:$C$400,3,FALSE()),""))</f>
        <v>46387</v>
      </c>
      <c r="D2348" s="31" t="s">
        <v>1657</v>
      </c>
      <c r="E2348" s="30" t="s">
        <v>363</v>
      </c>
      <c r="F2348" s="32" t="n">
        <v>1</v>
      </c>
      <c r="G2348" s="33" t="n">
        <v>46094</v>
      </c>
      <c r="H2348" s="33" t="n">
        <v>46094</v>
      </c>
      <c r="I2348" s="31" t="s">
        <v>1658</v>
      </c>
      <c r="J2348" s="30" t="s">
        <v>363</v>
      </c>
      <c r="K2348" s="31" t="s">
        <v>495</v>
      </c>
      <c r="L2348" s="32" t="n">
        <v>1</v>
      </c>
      <c r="M2348" s="29" t="s">
        <v>366</v>
      </c>
      <c r="N2348" s="31" t="s">
        <v>367</v>
      </c>
      <c r="O2348" s="32" t="n">
        <v>1</v>
      </c>
      <c r="P2348" s="15" t="n">
        <f aca="false">IF(A2348="","",IF(O2348&lt;&gt;"",O2348,IF(L2348&lt;&gt;"",L2348,F2348)))</f>
        <v>1</v>
      </c>
    </row>
    <row r="2349" customFormat="false" ht="15" hidden="false" customHeight="true" outlineLevel="0" collapsed="false">
      <c r="A2349" s="26" t="s">
        <v>281</v>
      </c>
      <c r="B2349" s="26" t="s">
        <v>282</v>
      </c>
      <c r="C2349" s="14" t="n">
        <f aca="false">IF(A2349="","",IFERROR(VLOOKUP(A2349,'Recert Status'!$A$8:$C$400,3,FALSE()),""))</f>
        <v>46387</v>
      </c>
      <c r="D2349" s="18" t="s">
        <v>1322</v>
      </c>
      <c r="E2349" s="26" t="s">
        <v>363</v>
      </c>
      <c r="F2349" s="27" t="n">
        <v>1</v>
      </c>
      <c r="G2349" s="28" t="n">
        <v>46101</v>
      </c>
      <c r="H2349" s="28" t="n">
        <v>46101</v>
      </c>
      <c r="I2349" s="18" t="s">
        <v>1658</v>
      </c>
      <c r="J2349" s="26" t="s">
        <v>363</v>
      </c>
      <c r="K2349" s="18" t="s">
        <v>370</v>
      </c>
      <c r="L2349" s="27" t="n">
        <v>1</v>
      </c>
      <c r="M2349" s="29" t="s">
        <v>366</v>
      </c>
      <c r="N2349" s="18" t="s">
        <v>367</v>
      </c>
      <c r="O2349" s="27" t="n">
        <v>1</v>
      </c>
      <c r="P2349" s="15" t="n">
        <f aca="false">IF(A2349="","",IF(O2349&lt;&gt;"",O2349,IF(L2349&lt;&gt;"",L2349,F2349)))</f>
        <v>1</v>
      </c>
    </row>
    <row r="2350" customFormat="false" ht="15" hidden="false" customHeight="true" outlineLevel="0" collapsed="false">
      <c r="A2350" s="30" t="s">
        <v>281</v>
      </c>
      <c r="B2350" s="30" t="s">
        <v>282</v>
      </c>
      <c r="C2350" s="21" t="n">
        <f aca="false">IF(A2350="","",IFERROR(VLOOKUP(A2350,'Recert Status'!$A$8:$C$400,3,FALSE()),""))</f>
        <v>46387</v>
      </c>
      <c r="D2350" s="31" t="s">
        <v>541</v>
      </c>
      <c r="E2350" s="30" t="s">
        <v>542</v>
      </c>
      <c r="F2350" s="32" t="n">
        <v>1</v>
      </c>
      <c r="G2350" s="33" t="n">
        <v>45811</v>
      </c>
      <c r="H2350" s="33" t="n">
        <v>45811</v>
      </c>
      <c r="I2350" s="31" t="s">
        <v>543</v>
      </c>
      <c r="J2350" s="30" t="s">
        <v>542</v>
      </c>
      <c r="K2350" s="31" t="s">
        <v>422</v>
      </c>
      <c r="L2350" s="32" t="n">
        <v>1</v>
      </c>
      <c r="M2350" s="40" t="s">
        <v>423</v>
      </c>
      <c r="N2350" s="31" t="s">
        <v>424</v>
      </c>
      <c r="O2350" s="32" t="n">
        <v>1</v>
      </c>
      <c r="P2350" s="15" t="n">
        <f aca="false">IF(A2350="","",IF(O2350&lt;&gt;"",O2350,IF(L2350&lt;&gt;"",L2350,F2350)))</f>
        <v>1</v>
      </c>
    </row>
    <row r="2351" customFormat="false" ht="15" hidden="false" customHeight="true" outlineLevel="0" collapsed="false">
      <c r="A2351" s="26" t="s">
        <v>281</v>
      </c>
      <c r="B2351" s="26" t="s">
        <v>282</v>
      </c>
      <c r="C2351" s="14" t="n">
        <f aca="false">IF(A2351="","",IFERROR(VLOOKUP(A2351,'Recert Status'!$A$8:$C$400,3,FALSE()),""))</f>
        <v>46387</v>
      </c>
      <c r="D2351" s="18" t="s">
        <v>962</v>
      </c>
      <c r="E2351" s="26" t="s">
        <v>426</v>
      </c>
      <c r="F2351" s="27" t="n">
        <v>1</v>
      </c>
      <c r="G2351" s="28" t="n">
        <v>45912</v>
      </c>
      <c r="H2351" s="28" t="n">
        <v>45912</v>
      </c>
      <c r="I2351" s="18" t="s">
        <v>961</v>
      </c>
      <c r="J2351" s="26" t="s">
        <v>426</v>
      </c>
      <c r="K2351" s="18" t="s">
        <v>495</v>
      </c>
      <c r="L2351" s="27" t="n">
        <v>1</v>
      </c>
      <c r="M2351" s="41" t="s">
        <v>429</v>
      </c>
      <c r="N2351" s="18" t="s">
        <v>430</v>
      </c>
      <c r="O2351" s="27" t="n">
        <v>1</v>
      </c>
      <c r="P2351" s="15" t="n">
        <f aca="false">IF(A2351="","",IF(O2351&lt;&gt;"",O2351,IF(L2351&lt;&gt;"",L2351,F2351)))</f>
        <v>1</v>
      </c>
    </row>
    <row r="2352" customFormat="false" ht="15" hidden="false" customHeight="true" outlineLevel="0" collapsed="false">
      <c r="A2352" s="30" t="s">
        <v>281</v>
      </c>
      <c r="B2352" s="30" t="s">
        <v>282</v>
      </c>
      <c r="C2352" s="21" t="n">
        <f aca="false">IF(A2352="","",IFERROR(VLOOKUP(A2352,'Recert Status'!$A$8:$C$400,3,FALSE()),""))</f>
        <v>46387</v>
      </c>
      <c r="D2352" s="31" t="s">
        <v>548</v>
      </c>
      <c r="E2352" s="30" t="s">
        <v>426</v>
      </c>
      <c r="F2352" s="32" t="n">
        <v>2</v>
      </c>
      <c r="G2352" s="33" t="n">
        <v>45979</v>
      </c>
      <c r="H2352" s="33" t="n">
        <v>45979</v>
      </c>
      <c r="I2352" s="31" t="s">
        <v>549</v>
      </c>
      <c r="J2352" s="30" t="s">
        <v>426</v>
      </c>
      <c r="K2352" s="31" t="s">
        <v>428</v>
      </c>
      <c r="L2352" s="32" t="n">
        <v>2</v>
      </c>
      <c r="M2352" s="41" t="s">
        <v>429</v>
      </c>
      <c r="N2352" s="31" t="s">
        <v>430</v>
      </c>
      <c r="O2352" s="32" t="n">
        <v>2</v>
      </c>
      <c r="P2352" s="15" t="n">
        <f aca="false">IF(A2352="","",IF(O2352&lt;&gt;"",O2352,IF(L2352&lt;&gt;"",L2352,F2352)))</f>
        <v>2</v>
      </c>
    </row>
    <row r="2353" customFormat="false" ht="15" hidden="false" customHeight="true" outlineLevel="0" collapsed="false">
      <c r="A2353" s="26" t="s">
        <v>281</v>
      </c>
      <c r="B2353" s="26" t="s">
        <v>282</v>
      </c>
      <c r="C2353" s="14" t="n">
        <f aca="false">IF(A2353="","",IFERROR(VLOOKUP(A2353,'Recert Status'!$A$8:$C$400,3,FALSE()),""))</f>
        <v>46387</v>
      </c>
      <c r="D2353" s="18" t="s">
        <v>1070</v>
      </c>
      <c r="E2353" s="26" t="s">
        <v>426</v>
      </c>
      <c r="F2353" s="27" t="n">
        <v>1</v>
      </c>
      <c r="G2353" s="28" t="n">
        <v>46084</v>
      </c>
      <c r="H2353" s="28" t="n">
        <v>46084</v>
      </c>
      <c r="I2353" s="18" t="s">
        <v>1659</v>
      </c>
      <c r="J2353" s="26" t="s">
        <v>426</v>
      </c>
      <c r="K2353" s="18" t="s">
        <v>1660</v>
      </c>
      <c r="L2353" s="27" t="n">
        <v>1</v>
      </c>
      <c r="M2353" s="41" t="s">
        <v>429</v>
      </c>
      <c r="N2353" s="18" t="s">
        <v>430</v>
      </c>
      <c r="O2353" s="27" t="n">
        <v>1</v>
      </c>
      <c r="P2353" s="15" t="n">
        <f aca="false">IF(A2353="","",IF(O2353&lt;&gt;"",O2353,IF(L2353&lt;&gt;"",L2353,F2353)))</f>
        <v>1</v>
      </c>
    </row>
    <row r="2354" customFormat="false" ht="15" hidden="false" customHeight="true" outlineLevel="0" collapsed="false">
      <c r="A2354" s="30" t="s">
        <v>281</v>
      </c>
      <c r="B2354" s="30" t="s">
        <v>282</v>
      </c>
      <c r="C2354" s="21" t="n">
        <f aca="false">IF(A2354="","",IFERROR(VLOOKUP(A2354,'Recert Status'!$A$8:$C$400,3,FALSE()),""))</f>
        <v>46387</v>
      </c>
      <c r="D2354" s="31" t="s">
        <v>1324</v>
      </c>
      <c r="E2354" s="30" t="s">
        <v>426</v>
      </c>
      <c r="F2354" s="32" t="n">
        <v>2</v>
      </c>
      <c r="G2354" s="33" t="n">
        <v>46093</v>
      </c>
      <c r="H2354" s="33" t="n">
        <v>46093</v>
      </c>
      <c r="I2354" s="31" t="s">
        <v>1658</v>
      </c>
      <c r="J2354" s="30" t="s">
        <v>426</v>
      </c>
      <c r="K2354" s="31" t="s">
        <v>1661</v>
      </c>
      <c r="L2354" s="32" t="n">
        <v>2</v>
      </c>
      <c r="M2354" s="41" t="s">
        <v>429</v>
      </c>
      <c r="N2354" s="31" t="s">
        <v>430</v>
      </c>
      <c r="O2354" s="32" t="n">
        <v>2</v>
      </c>
      <c r="P2354" s="15" t="n">
        <f aca="false">IF(A2354="","",IF(O2354&lt;&gt;"",O2354,IF(L2354&lt;&gt;"",L2354,F2354)))</f>
        <v>2</v>
      </c>
    </row>
    <row r="2355" customFormat="false" ht="15" hidden="false" customHeight="true" outlineLevel="0" collapsed="false">
      <c r="A2355" s="26" t="s">
        <v>281</v>
      </c>
      <c r="B2355" s="26" t="s">
        <v>282</v>
      </c>
      <c r="C2355" s="14" t="n">
        <f aca="false">IF(A2355="","",IFERROR(VLOOKUP(A2355,'Recert Status'!$A$8:$C$400,3,FALSE()),""))</f>
        <v>46387</v>
      </c>
      <c r="D2355" s="18" t="s">
        <v>551</v>
      </c>
      <c r="E2355" s="26" t="s">
        <v>372</v>
      </c>
      <c r="F2355" s="27" t="n">
        <v>1</v>
      </c>
      <c r="G2355" s="28" t="n">
        <v>46105</v>
      </c>
      <c r="H2355" s="28" t="n">
        <v>46105</v>
      </c>
      <c r="I2355" s="18" t="s">
        <v>1662</v>
      </c>
      <c r="J2355" s="26" t="s">
        <v>372</v>
      </c>
      <c r="K2355" s="18" t="s">
        <v>374</v>
      </c>
      <c r="L2355" s="27" t="n">
        <v>1</v>
      </c>
      <c r="M2355" s="34" t="s">
        <v>375</v>
      </c>
      <c r="N2355" s="18" t="s">
        <v>376</v>
      </c>
      <c r="O2355" s="27" t="n">
        <v>1</v>
      </c>
      <c r="P2355" s="15" t="n">
        <f aca="false">IF(A2355="","",IF(O2355&lt;&gt;"",O2355,IF(L2355&lt;&gt;"",L2355,F2355)))</f>
        <v>1</v>
      </c>
    </row>
    <row r="2356" customFormat="false" ht="15" hidden="false" customHeight="true" outlineLevel="0" collapsed="false">
      <c r="A2356" s="30" t="s">
        <v>281</v>
      </c>
      <c r="B2356" s="30" t="s">
        <v>282</v>
      </c>
      <c r="C2356" s="21" t="n">
        <f aca="false">IF(A2356="","",IFERROR(VLOOKUP(A2356,'Recert Status'!$A$8:$C$400,3,FALSE()),""))</f>
        <v>46387</v>
      </c>
      <c r="D2356" s="31" t="s">
        <v>868</v>
      </c>
      <c r="E2356" s="30" t="s">
        <v>372</v>
      </c>
      <c r="F2356" s="32" t="n">
        <v>1</v>
      </c>
      <c r="G2356" s="33" t="n">
        <v>46168</v>
      </c>
      <c r="H2356" s="33" t="n">
        <v>46168</v>
      </c>
      <c r="I2356" s="31" t="s">
        <v>1663</v>
      </c>
      <c r="J2356" s="30" t="s">
        <v>372</v>
      </c>
      <c r="K2356" s="31" t="s">
        <v>374</v>
      </c>
      <c r="L2356" s="32" t="n">
        <v>1</v>
      </c>
      <c r="M2356" s="34" t="s">
        <v>375</v>
      </c>
      <c r="N2356" s="31" t="s">
        <v>376</v>
      </c>
      <c r="O2356" s="32" t="n">
        <v>1</v>
      </c>
      <c r="P2356" s="15" t="n">
        <f aca="false">IF(A2356="","",IF(O2356&lt;&gt;"",O2356,IF(L2356&lt;&gt;"",L2356,F2356)))</f>
        <v>1</v>
      </c>
    </row>
    <row r="2357" customFormat="false" ht="15" hidden="false" customHeight="true" outlineLevel="0" collapsed="false">
      <c r="A2357" s="26" t="s">
        <v>281</v>
      </c>
      <c r="B2357" s="26" t="s">
        <v>282</v>
      </c>
      <c r="C2357" s="14" t="n">
        <f aca="false">IF(A2357="","",IFERROR(VLOOKUP(A2357,'Recert Status'!$A$8:$C$400,3,FALSE()),""))</f>
        <v>46387</v>
      </c>
      <c r="D2357" s="18" t="s">
        <v>466</v>
      </c>
      <c r="E2357" s="26" t="n">
        <v>29784</v>
      </c>
      <c r="F2357" s="27" t="n">
        <v>0.5</v>
      </c>
      <c r="G2357" s="28" t="n">
        <v>45691</v>
      </c>
      <c r="H2357" s="28" t="n">
        <v>45691</v>
      </c>
      <c r="I2357" s="18" t="s">
        <v>467</v>
      </c>
      <c r="J2357" s="26" t="s">
        <v>435</v>
      </c>
      <c r="K2357" s="18" t="s">
        <v>468</v>
      </c>
      <c r="L2357" s="27" t="n">
        <v>0.5</v>
      </c>
      <c r="M2357" s="35" t="s">
        <v>386</v>
      </c>
      <c r="N2357" s="18" t="s">
        <v>387</v>
      </c>
      <c r="O2357" s="27" t="n">
        <v>0.5</v>
      </c>
      <c r="P2357" s="15" t="n">
        <f aca="false">IF(A2357="","",IF(O2357&lt;&gt;"",O2357,IF(L2357&lt;&gt;"",L2357,F2357)))</f>
        <v>0.5</v>
      </c>
    </row>
    <row r="2358" customFormat="false" ht="15" hidden="false" customHeight="true" outlineLevel="0" collapsed="false">
      <c r="A2358" s="30" t="s">
        <v>281</v>
      </c>
      <c r="B2358" s="30" t="s">
        <v>282</v>
      </c>
      <c r="C2358" s="21" t="n">
        <f aca="false">IF(A2358="","",IFERROR(VLOOKUP(A2358,'Recert Status'!$A$8:$C$400,3,FALSE()),""))</f>
        <v>46387</v>
      </c>
      <c r="D2358" s="31" t="s">
        <v>929</v>
      </c>
      <c r="E2358" s="30" t="n">
        <v>29784</v>
      </c>
      <c r="F2358" s="32" t="n">
        <v>0.5</v>
      </c>
      <c r="G2358" s="33" t="n">
        <v>45878</v>
      </c>
      <c r="H2358" s="33" t="n">
        <v>45878</v>
      </c>
      <c r="I2358" s="31" t="s">
        <v>930</v>
      </c>
      <c r="J2358" s="30" t="s">
        <v>435</v>
      </c>
      <c r="K2358" s="31" t="s">
        <v>931</v>
      </c>
      <c r="L2358" s="32" t="n">
        <v>0.5</v>
      </c>
      <c r="M2358" s="35" t="s">
        <v>386</v>
      </c>
      <c r="N2358" s="31" t="s">
        <v>387</v>
      </c>
      <c r="O2358" s="32" t="n">
        <v>0.5</v>
      </c>
      <c r="P2358" s="15" t="n">
        <f aca="false">IF(A2358="","",IF(O2358&lt;&gt;"",O2358,IF(L2358&lt;&gt;"",L2358,F2358)))</f>
        <v>0.5</v>
      </c>
    </row>
    <row r="2359" customFormat="false" ht="15" hidden="false" customHeight="true" outlineLevel="0" collapsed="false">
      <c r="A2359" s="26" t="s">
        <v>281</v>
      </c>
      <c r="B2359" s="26" t="s">
        <v>282</v>
      </c>
      <c r="C2359" s="14" t="n">
        <f aca="false">IF(A2359="","",IFERROR(VLOOKUP(A2359,'Recert Status'!$A$8:$C$400,3,FALSE()),""))</f>
        <v>46387</v>
      </c>
      <c r="D2359" s="18" t="s">
        <v>804</v>
      </c>
      <c r="E2359" s="26" t="s">
        <v>389</v>
      </c>
      <c r="F2359" s="27" t="n">
        <v>1</v>
      </c>
      <c r="G2359" s="28" t="n">
        <v>46039</v>
      </c>
      <c r="H2359" s="28" t="n">
        <v>46039</v>
      </c>
      <c r="I2359" s="18" t="s">
        <v>805</v>
      </c>
      <c r="J2359" s="26" t="s">
        <v>389</v>
      </c>
      <c r="K2359" s="18" t="s">
        <v>451</v>
      </c>
      <c r="L2359" s="27" t="n">
        <v>1</v>
      </c>
      <c r="M2359" s="35" t="s">
        <v>386</v>
      </c>
      <c r="N2359" s="18" t="s">
        <v>387</v>
      </c>
      <c r="O2359" s="27" t="n">
        <v>1</v>
      </c>
      <c r="P2359" s="15" t="n">
        <f aca="false">IF(A2359="","",IF(O2359&lt;&gt;"",O2359,IF(L2359&lt;&gt;"",L2359,F2359)))</f>
        <v>1</v>
      </c>
    </row>
    <row r="2360" customFormat="false" ht="15" hidden="false" customHeight="true" outlineLevel="0" collapsed="false">
      <c r="A2360" s="30" t="s">
        <v>281</v>
      </c>
      <c r="B2360" s="30" t="s">
        <v>282</v>
      </c>
      <c r="C2360" s="21" t="n">
        <f aca="false">IF(A2360="","",IFERROR(VLOOKUP(A2360,'Recert Status'!$A$8:$C$400,3,FALSE()),""))</f>
        <v>46387</v>
      </c>
      <c r="D2360" s="31" t="s">
        <v>1365</v>
      </c>
      <c r="E2360" s="30" t="n">
        <v>29784</v>
      </c>
      <c r="F2360" s="32" t="n">
        <v>1</v>
      </c>
      <c r="G2360" s="33" t="n">
        <v>46085</v>
      </c>
      <c r="H2360" s="33" t="n">
        <v>46085</v>
      </c>
      <c r="I2360" s="31" t="s">
        <v>1659</v>
      </c>
      <c r="J2360" s="30" t="s">
        <v>435</v>
      </c>
      <c r="K2360" s="31" t="s">
        <v>1664</v>
      </c>
      <c r="L2360" s="32" t="n">
        <v>1</v>
      </c>
      <c r="M2360" s="35" t="s">
        <v>386</v>
      </c>
      <c r="N2360" s="31" t="s">
        <v>387</v>
      </c>
      <c r="O2360" s="32" t="n">
        <v>1</v>
      </c>
      <c r="P2360" s="15" t="n">
        <f aca="false">IF(A2360="","",IF(O2360&lt;&gt;"",O2360,IF(L2360&lt;&gt;"",L2360,F2360)))</f>
        <v>1</v>
      </c>
    </row>
    <row r="2361" customFormat="false" ht="15" hidden="false" customHeight="true" outlineLevel="0" collapsed="false">
      <c r="A2361" s="26" t="s">
        <v>281</v>
      </c>
      <c r="B2361" s="26" t="s">
        <v>282</v>
      </c>
      <c r="C2361" s="14" t="n">
        <f aca="false">IF(A2361="","",IFERROR(VLOOKUP(A2361,'Recert Status'!$A$8:$C$400,3,FALSE()),""))</f>
        <v>46387</v>
      </c>
      <c r="D2361" s="18" t="s">
        <v>1329</v>
      </c>
      <c r="E2361" s="26" t="n">
        <v>29740</v>
      </c>
      <c r="F2361" s="27" t="n">
        <v>1</v>
      </c>
      <c r="G2361" s="28" t="n">
        <v>46085</v>
      </c>
      <c r="H2361" s="28" t="n">
        <v>46085</v>
      </c>
      <c r="I2361" s="18" t="s">
        <v>1659</v>
      </c>
      <c r="J2361" s="26" t="s">
        <v>394</v>
      </c>
      <c r="K2361" s="18" t="s">
        <v>1665</v>
      </c>
      <c r="L2361" s="27" t="n">
        <v>1</v>
      </c>
      <c r="M2361" s="35" t="s">
        <v>386</v>
      </c>
      <c r="N2361" s="18" t="s">
        <v>387</v>
      </c>
      <c r="O2361" s="27" t="n">
        <v>1</v>
      </c>
      <c r="P2361" s="15" t="n">
        <f aca="false">IF(A2361="","",IF(O2361&lt;&gt;"",O2361,IF(L2361&lt;&gt;"",L2361,F2361)))</f>
        <v>1</v>
      </c>
    </row>
    <row r="2362" customFormat="false" ht="15" hidden="false" customHeight="true" outlineLevel="0" collapsed="false">
      <c r="A2362" s="30" t="s">
        <v>281</v>
      </c>
      <c r="B2362" s="30" t="s">
        <v>282</v>
      </c>
      <c r="C2362" s="21" t="n">
        <f aca="false">IF(A2362="","",IFERROR(VLOOKUP(A2362,'Recert Status'!$A$8:$C$400,3,FALSE()),""))</f>
        <v>46387</v>
      </c>
      <c r="D2362" s="31" t="s">
        <v>1463</v>
      </c>
      <c r="E2362" s="30" t="n">
        <v>29784</v>
      </c>
      <c r="F2362" s="32" t="n">
        <v>1</v>
      </c>
      <c r="G2362" s="33" t="n">
        <v>46086</v>
      </c>
      <c r="H2362" s="33" t="n">
        <v>46086</v>
      </c>
      <c r="I2362" s="31" t="s">
        <v>1658</v>
      </c>
      <c r="J2362" s="30" t="s">
        <v>435</v>
      </c>
      <c r="K2362" s="31" t="s">
        <v>1666</v>
      </c>
      <c r="L2362" s="32" t="n">
        <v>1</v>
      </c>
      <c r="M2362" s="35" t="s">
        <v>386</v>
      </c>
      <c r="N2362" s="31" t="s">
        <v>387</v>
      </c>
      <c r="O2362" s="32" t="n">
        <v>1</v>
      </c>
      <c r="P2362" s="15" t="n">
        <f aca="false">IF(A2362="","",IF(O2362&lt;&gt;"",O2362,IF(L2362&lt;&gt;"",L2362,F2362)))</f>
        <v>1</v>
      </c>
    </row>
    <row r="2363" customFormat="false" ht="15" hidden="false" customHeight="true" outlineLevel="0" collapsed="false">
      <c r="A2363" s="26" t="s">
        <v>281</v>
      </c>
      <c r="B2363" s="26" t="s">
        <v>282</v>
      </c>
      <c r="C2363" s="14" t="n">
        <f aca="false">IF(A2363="","",IFERROR(VLOOKUP(A2363,'Recert Status'!$A$8:$C$400,3,FALSE()),""))</f>
        <v>46387</v>
      </c>
      <c r="D2363" s="18" t="s">
        <v>1461</v>
      </c>
      <c r="E2363" s="26" t="n">
        <v>29740</v>
      </c>
      <c r="F2363" s="27" t="n">
        <v>1</v>
      </c>
      <c r="G2363" s="28" t="n">
        <v>46086</v>
      </c>
      <c r="H2363" s="28" t="n">
        <v>46086</v>
      </c>
      <c r="I2363" s="18" t="s">
        <v>1658</v>
      </c>
      <c r="J2363" s="26" t="s">
        <v>394</v>
      </c>
      <c r="K2363" s="18" t="s">
        <v>476</v>
      </c>
      <c r="L2363" s="27" t="n">
        <v>1</v>
      </c>
      <c r="M2363" s="35" t="s">
        <v>386</v>
      </c>
      <c r="N2363" s="18" t="s">
        <v>387</v>
      </c>
      <c r="O2363" s="27" t="n">
        <v>1</v>
      </c>
      <c r="P2363" s="15" t="n">
        <f aca="false">IF(A2363="","",IF(O2363&lt;&gt;"",O2363,IF(L2363&lt;&gt;"",L2363,F2363)))</f>
        <v>1</v>
      </c>
    </row>
    <row r="2364" customFormat="false" ht="15" hidden="false" customHeight="true" outlineLevel="0" collapsed="false">
      <c r="A2364" s="30" t="s">
        <v>281</v>
      </c>
      <c r="B2364" s="30" t="s">
        <v>282</v>
      </c>
      <c r="C2364" s="21" t="n">
        <f aca="false">IF(A2364="","",IFERROR(VLOOKUP(A2364,'Recert Status'!$A$8:$C$400,3,FALSE()),""))</f>
        <v>46387</v>
      </c>
      <c r="D2364" s="31" t="s">
        <v>1667</v>
      </c>
      <c r="E2364" s="30" t="n">
        <v>29740</v>
      </c>
      <c r="F2364" s="32" t="n">
        <v>1</v>
      </c>
      <c r="G2364" s="33" t="n">
        <v>46086</v>
      </c>
      <c r="H2364" s="33" t="n">
        <v>46086</v>
      </c>
      <c r="I2364" s="31" t="s">
        <v>1658</v>
      </c>
      <c r="J2364" s="30" t="s">
        <v>394</v>
      </c>
      <c r="K2364" s="31" t="s">
        <v>476</v>
      </c>
      <c r="L2364" s="32" t="n">
        <v>1</v>
      </c>
      <c r="M2364" s="35" t="s">
        <v>386</v>
      </c>
      <c r="N2364" s="31" t="s">
        <v>387</v>
      </c>
      <c r="O2364" s="32" t="n">
        <v>1</v>
      </c>
      <c r="P2364" s="15" t="n">
        <f aca="false">IF(A2364="","",IF(O2364&lt;&gt;"",O2364,IF(L2364&lt;&gt;"",L2364,F2364)))</f>
        <v>1</v>
      </c>
    </row>
    <row r="2365" customFormat="false" ht="15" hidden="false" customHeight="true" outlineLevel="0" collapsed="false">
      <c r="A2365" s="26" t="s">
        <v>281</v>
      </c>
      <c r="B2365" s="26" t="s">
        <v>282</v>
      </c>
      <c r="C2365" s="14" t="n">
        <f aca="false">IF(A2365="","",IFERROR(VLOOKUP(A2365,'Recert Status'!$A$8:$C$400,3,FALSE()),""))</f>
        <v>46387</v>
      </c>
      <c r="D2365" s="18" t="s">
        <v>1668</v>
      </c>
      <c r="E2365" s="26" t="n">
        <v>29740</v>
      </c>
      <c r="F2365" s="27" t="n">
        <v>1</v>
      </c>
      <c r="G2365" s="28" t="n">
        <v>46087</v>
      </c>
      <c r="H2365" s="28" t="n">
        <v>46087</v>
      </c>
      <c r="I2365" s="18" t="s">
        <v>1658</v>
      </c>
      <c r="J2365" s="26" t="s">
        <v>394</v>
      </c>
      <c r="K2365" s="18" t="s">
        <v>395</v>
      </c>
      <c r="L2365" s="27" t="n">
        <v>1</v>
      </c>
      <c r="M2365" s="35" t="s">
        <v>386</v>
      </c>
      <c r="N2365" s="18" t="s">
        <v>387</v>
      </c>
      <c r="O2365" s="27" t="n">
        <v>1</v>
      </c>
      <c r="P2365" s="15" t="n">
        <f aca="false">IF(A2365="","",IF(O2365&lt;&gt;"",O2365,IF(L2365&lt;&gt;"",L2365,F2365)))</f>
        <v>1</v>
      </c>
    </row>
    <row r="2366" customFormat="false" ht="15" hidden="false" customHeight="true" outlineLevel="0" collapsed="false">
      <c r="A2366" s="30" t="s">
        <v>281</v>
      </c>
      <c r="B2366" s="30" t="s">
        <v>282</v>
      </c>
      <c r="C2366" s="21" t="n">
        <f aca="false">IF(A2366="","",IFERROR(VLOOKUP(A2366,'Recert Status'!$A$8:$C$400,3,FALSE()),""))</f>
        <v>46387</v>
      </c>
      <c r="D2366" s="31" t="s">
        <v>1669</v>
      </c>
      <c r="E2366" s="30" t="n">
        <v>29740</v>
      </c>
      <c r="F2366" s="32" t="n">
        <v>1</v>
      </c>
      <c r="G2366" s="33" t="n">
        <v>46093</v>
      </c>
      <c r="H2366" s="33" t="n">
        <v>46093</v>
      </c>
      <c r="I2366" s="31" t="s">
        <v>1658</v>
      </c>
      <c r="J2366" s="30" t="s">
        <v>394</v>
      </c>
      <c r="K2366" s="31" t="s">
        <v>845</v>
      </c>
      <c r="L2366" s="32" t="n">
        <v>1</v>
      </c>
      <c r="M2366" s="35" t="s">
        <v>386</v>
      </c>
      <c r="N2366" s="31" t="s">
        <v>387</v>
      </c>
      <c r="O2366" s="32" t="n">
        <v>1</v>
      </c>
      <c r="P2366" s="15" t="n">
        <f aca="false">IF(A2366="","",IF(O2366&lt;&gt;"",O2366,IF(L2366&lt;&gt;"",L2366,F2366)))</f>
        <v>1</v>
      </c>
    </row>
    <row r="2367" customFormat="false" ht="15" hidden="false" customHeight="true" outlineLevel="0" collapsed="false">
      <c r="A2367" s="26" t="s">
        <v>281</v>
      </c>
      <c r="B2367" s="26" t="s">
        <v>282</v>
      </c>
      <c r="C2367" s="14" t="n">
        <f aca="false">IF(A2367="","",IFERROR(VLOOKUP(A2367,'Recert Status'!$A$8:$C$400,3,FALSE()),""))</f>
        <v>46387</v>
      </c>
      <c r="D2367" s="18" t="s">
        <v>1332</v>
      </c>
      <c r="E2367" s="26" t="n">
        <v>29784</v>
      </c>
      <c r="F2367" s="27" t="n">
        <v>1</v>
      </c>
      <c r="G2367" s="28" t="n">
        <v>46101</v>
      </c>
      <c r="H2367" s="28" t="n">
        <v>46101</v>
      </c>
      <c r="I2367" s="18" t="s">
        <v>1658</v>
      </c>
      <c r="J2367" s="26" t="s">
        <v>435</v>
      </c>
      <c r="K2367" s="18" t="s">
        <v>1670</v>
      </c>
      <c r="L2367" s="27" t="n">
        <v>1</v>
      </c>
      <c r="M2367" s="35" t="s">
        <v>386</v>
      </c>
      <c r="N2367" s="18" t="s">
        <v>387</v>
      </c>
      <c r="O2367" s="27" t="n">
        <v>1</v>
      </c>
      <c r="P2367" s="15" t="n">
        <f aca="false">IF(A2367="","",IF(O2367&lt;&gt;"",O2367,IF(L2367&lt;&gt;"",L2367,F2367)))</f>
        <v>1</v>
      </c>
    </row>
    <row r="2368" customFormat="false" ht="15" hidden="false" customHeight="true" outlineLevel="0" collapsed="false">
      <c r="A2368" s="30" t="s">
        <v>281</v>
      </c>
      <c r="B2368" s="30" t="s">
        <v>282</v>
      </c>
      <c r="C2368" s="21" t="n">
        <f aca="false">IF(A2368="","",IFERROR(VLOOKUP(A2368,'Recert Status'!$A$8:$C$400,3,FALSE()),""))</f>
        <v>46387</v>
      </c>
      <c r="D2368" s="31" t="s">
        <v>1671</v>
      </c>
      <c r="E2368" s="30" t="n">
        <v>29743</v>
      </c>
      <c r="F2368" s="32" t="n">
        <v>1</v>
      </c>
      <c r="G2368" s="33" t="n">
        <v>46101</v>
      </c>
      <c r="H2368" s="33" t="n">
        <v>46101</v>
      </c>
      <c r="I2368" s="31" t="s">
        <v>1658</v>
      </c>
      <c r="J2368" s="30" t="s">
        <v>439</v>
      </c>
      <c r="K2368" s="31" t="s">
        <v>1672</v>
      </c>
      <c r="L2368" s="32" t="n">
        <v>1</v>
      </c>
      <c r="M2368" s="35" t="s">
        <v>386</v>
      </c>
      <c r="N2368" s="31" t="s">
        <v>387</v>
      </c>
      <c r="O2368" s="32" t="n">
        <v>1</v>
      </c>
      <c r="P2368" s="15" t="n">
        <f aca="false">IF(A2368="","",IF(O2368&lt;&gt;"",O2368,IF(L2368&lt;&gt;"",L2368,F2368)))</f>
        <v>1</v>
      </c>
    </row>
    <row r="2369" customFormat="false" ht="15" hidden="false" customHeight="true" outlineLevel="0" collapsed="false">
      <c r="A2369" s="26" t="s">
        <v>281</v>
      </c>
      <c r="B2369" s="26" t="s">
        <v>282</v>
      </c>
      <c r="C2369" s="14" t="n">
        <f aca="false">IF(A2369="","",IFERROR(VLOOKUP(A2369,'Recert Status'!$A$8:$C$400,3,FALSE()),""))</f>
        <v>46387</v>
      </c>
      <c r="D2369" s="18" t="s">
        <v>474</v>
      </c>
      <c r="E2369" s="26" t="s">
        <v>389</v>
      </c>
      <c r="F2369" s="27" t="n">
        <v>1</v>
      </c>
      <c r="G2369" s="28" t="n">
        <v>46204</v>
      </c>
      <c r="H2369" s="28" t="n">
        <v>46204</v>
      </c>
      <c r="I2369" s="18" t="s">
        <v>475</v>
      </c>
      <c r="J2369" s="26" t="s">
        <v>389</v>
      </c>
      <c r="K2369" s="18" t="s">
        <v>476</v>
      </c>
      <c r="L2369" s="27" t="n">
        <v>1</v>
      </c>
      <c r="M2369" s="35" t="s">
        <v>386</v>
      </c>
      <c r="N2369" s="18" t="s">
        <v>387</v>
      </c>
      <c r="O2369" s="27" t="n">
        <v>1</v>
      </c>
      <c r="P2369" s="15" t="n">
        <f aca="false">IF(A2369="","",IF(O2369&lt;&gt;"",O2369,IF(L2369&lt;&gt;"",L2369,F2369)))</f>
        <v>1</v>
      </c>
    </row>
    <row r="2370" customFormat="false" ht="15" hidden="false" customHeight="true" outlineLevel="0" collapsed="false">
      <c r="A2370" s="30" t="s">
        <v>281</v>
      </c>
      <c r="B2370" s="30" t="s">
        <v>282</v>
      </c>
      <c r="C2370" s="21" t="n">
        <f aca="false">IF(A2370="","",IFERROR(VLOOKUP(A2370,'Recert Status'!$A$8:$C$400,3,FALSE()),""))</f>
        <v>46387</v>
      </c>
      <c r="D2370" s="31" t="s">
        <v>806</v>
      </c>
      <c r="E2370" s="30" t="s">
        <v>452</v>
      </c>
      <c r="F2370" s="32" t="n">
        <v>1</v>
      </c>
      <c r="G2370" s="33" t="n">
        <v>46039</v>
      </c>
      <c r="H2370" s="33" t="n">
        <v>46039</v>
      </c>
      <c r="I2370" s="31" t="s">
        <v>807</v>
      </c>
      <c r="J2370" s="30" t="s">
        <v>452</v>
      </c>
      <c r="K2370" s="31" t="s">
        <v>808</v>
      </c>
      <c r="L2370" s="32" t="n">
        <v>1</v>
      </c>
      <c r="M2370" s="36" t="s">
        <v>396</v>
      </c>
      <c r="N2370" s="31" t="s">
        <v>397</v>
      </c>
      <c r="O2370" s="32" t="n">
        <v>1</v>
      </c>
      <c r="P2370" s="15" t="n">
        <f aca="false">IF(A2370="","",IF(O2370&lt;&gt;"",O2370,IF(L2370&lt;&gt;"",L2370,F2370)))</f>
        <v>1</v>
      </c>
    </row>
    <row r="2371" customFormat="false" ht="15" hidden="false" customHeight="true" outlineLevel="0" collapsed="false">
      <c r="A2371" s="26" t="s">
        <v>281</v>
      </c>
      <c r="B2371" s="26" t="s">
        <v>282</v>
      </c>
      <c r="C2371" s="14" t="n">
        <f aca="false">IF(A2371="","",IFERROR(VLOOKUP(A2371,'Recert Status'!$A$8:$C$400,3,FALSE()),""))</f>
        <v>46387</v>
      </c>
      <c r="D2371" s="18" t="s">
        <v>560</v>
      </c>
      <c r="E2371" s="26" t="s">
        <v>452</v>
      </c>
      <c r="F2371" s="27" t="n">
        <v>1</v>
      </c>
      <c r="G2371" s="28" t="n">
        <v>46107</v>
      </c>
      <c r="H2371" s="28" t="n">
        <v>46107</v>
      </c>
      <c r="I2371" s="18" t="s">
        <v>1658</v>
      </c>
      <c r="J2371" s="26" t="s">
        <v>452</v>
      </c>
      <c r="K2371" s="18" t="s">
        <v>385</v>
      </c>
      <c r="L2371" s="27" t="n">
        <v>1</v>
      </c>
      <c r="M2371" s="36" t="s">
        <v>396</v>
      </c>
      <c r="N2371" s="18" t="s">
        <v>397</v>
      </c>
      <c r="O2371" s="27" t="n">
        <v>1</v>
      </c>
      <c r="P2371" s="15" t="n">
        <f aca="false">IF(A2371="","",IF(O2371&lt;&gt;"",O2371,IF(L2371&lt;&gt;"",L2371,F2371)))</f>
        <v>1</v>
      </c>
    </row>
    <row r="2372" customFormat="false" ht="15" hidden="false" customHeight="true" outlineLevel="0" collapsed="false">
      <c r="A2372" s="30" t="s">
        <v>281</v>
      </c>
      <c r="B2372" s="30" t="s">
        <v>282</v>
      </c>
      <c r="C2372" s="21" t="n">
        <f aca="false">IF(A2372="","",IFERROR(VLOOKUP(A2372,'Recert Status'!$A$8:$C$400,3,FALSE()),""))</f>
        <v>46387</v>
      </c>
      <c r="D2372" s="31" t="s">
        <v>397</v>
      </c>
      <c r="E2372" s="30" t="s">
        <v>452</v>
      </c>
      <c r="F2372" s="32" t="n">
        <v>1</v>
      </c>
      <c r="G2372" s="33" t="n">
        <v>46246</v>
      </c>
      <c r="H2372" s="33" t="n">
        <v>46246</v>
      </c>
      <c r="I2372" s="31" t="s">
        <v>478</v>
      </c>
      <c r="J2372" s="30" t="s">
        <v>452</v>
      </c>
      <c r="K2372" s="31" t="s">
        <v>385</v>
      </c>
      <c r="L2372" s="32" t="n">
        <v>1</v>
      </c>
      <c r="M2372" s="36" t="s">
        <v>396</v>
      </c>
      <c r="N2372" s="31" t="s">
        <v>397</v>
      </c>
      <c r="O2372" s="32" t="n">
        <v>1</v>
      </c>
      <c r="P2372" s="15" t="n">
        <f aca="false">IF(A2372="","",IF(O2372&lt;&gt;"",O2372,IF(L2372&lt;&gt;"",L2372,F2372)))</f>
        <v>1</v>
      </c>
    </row>
    <row r="2373" customFormat="false" ht="15" hidden="false" customHeight="true" outlineLevel="0" collapsed="false">
      <c r="A2373" s="26" t="s">
        <v>281</v>
      </c>
      <c r="B2373" s="26" t="s">
        <v>282</v>
      </c>
      <c r="C2373" s="14" t="n">
        <f aca="false">IF(A2373="","",IFERROR(VLOOKUP(A2373,'Recert Status'!$A$8:$C$400,3,FALSE()),""))</f>
        <v>46387</v>
      </c>
      <c r="D2373" s="18" t="s">
        <v>562</v>
      </c>
      <c r="E2373" s="26" t="s">
        <v>399</v>
      </c>
      <c r="F2373" s="27" t="n">
        <v>1</v>
      </c>
      <c r="G2373" s="28" t="n">
        <v>46105</v>
      </c>
      <c r="H2373" s="28" t="n">
        <v>46105</v>
      </c>
      <c r="I2373" s="18" t="s">
        <v>1662</v>
      </c>
      <c r="J2373" s="26" t="s">
        <v>399</v>
      </c>
      <c r="K2373" s="18" t="s">
        <v>401</v>
      </c>
      <c r="L2373" s="27" t="n">
        <v>1</v>
      </c>
      <c r="M2373" s="37" t="s">
        <v>402</v>
      </c>
      <c r="N2373" s="18" t="s">
        <v>403</v>
      </c>
      <c r="O2373" s="27" t="n">
        <v>1</v>
      </c>
      <c r="P2373" s="15" t="n">
        <f aca="false">IF(A2373="","",IF(O2373&lt;&gt;"",O2373,IF(L2373&lt;&gt;"",L2373,F2373)))</f>
        <v>1</v>
      </c>
    </row>
    <row r="2374" customFormat="false" ht="15" hidden="false" customHeight="true" outlineLevel="0" collapsed="false">
      <c r="A2374" s="30" t="s">
        <v>281</v>
      </c>
      <c r="B2374" s="30" t="s">
        <v>282</v>
      </c>
      <c r="C2374" s="21" t="n">
        <f aca="false">IF(A2374="","",IFERROR(VLOOKUP(A2374,'Recert Status'!$A$8:$C$400,3,FALSE()),""))</f>
        <v>46387</v>
      </c>
      <c r="D2374" s="31" t="s">
        <v>1190</v>
      </c>
      <c r="E2374" s="30" t="s">
        <v>389</v>
      </c>
      <c r="F2374" s="32" t="n">
        <v>1</v>
      </c>
      <c r="G2374" s="33" t="n">
        <v>46105</v>
      </c>
      <c r="H2374" s="33" t="n">
        <v>46105</v>
      </c>
      <c r="I2374" s="31" t="s">
        <v>1662</v>
      </c>
      <c r="J2374" s="30" t="s">
        <v>389</v>
      </c>
      <c r="K2374" s="31" t="s">
        <v>766</v>
      </c>
      <c r="L2374" s="32" t="n">
        <v>1</v>
      </c>
      <c r="M2374" s="38" t="s">
        <v>408</v>
      </c>
      <c r="N2374" s="31" t="s">
        <v>409</v>
      </c>
      <c r="O2374" s="32" t="n">
        <v>1</v>
      </c>
      <c r="P2374" s="15" t="n">
        <f aca="false">IF(A2374="","",IF(O2374&lt;&gt;"",O2374,IF(L2374&lt;&gt;"",L2374,F2374)))</f>
        <v>1</v>
      </c>
    </row>
    <row r="2375" customFormat="false" ht="15" hidden="false" customHeight="true" outlineLevel="0" collapsed="false">
      <c r="A2375" s="26" t="s">
        <v>281</v>
      </c>
      <c r="B2375" s="26" t="s">
        <v>282</v>
      </c>
      <c r="C2375" s="14" t="n">
        <f aca="false">IF(A2375="","",IFERROR(VLOOKUP(A2375,'Recert Status'!$A$8:$C$400,3,FALSE()),""))</f>
        <v>46387</v>
      </c>
      <c r="D2375" s="18" t="s">
        <v>415</v>
      </c>
      <c r="E2375" s="26" t="s">
        <v>416</v>
      </c>
      <c r="F2375" s="27" t="n">
        <v>1</v>
      </c>
      <c r="G2375" s="28" t="n">
        <v>45826</v>
      </c>
      <c r="H2375" s="28" t="n">
        <v>45826</v>
      </c>
      <c r="I2375" s="18" t="s">
        <v>986</v>
      </c>
      <c r="J2375" s="26" t="s">
        <v>416</v>
      </c>
      <c r="K2375" s="18" t="s">
        <v>523</v>
      </c>
      <c r="L2375" s="27" t="n">
        <v>1</v>
      </c>
      <c r="M2375" s="39" t="s">
        <v>413</v>
      </c>
      <c r="N2375" s="18" t="s">
        <v>414</v>
      </c>
      <c r="O2375" s="27" t="n">
        <v>1</v>
      </c>
      <c r="P2375" s="15" t="n">
        <f aca="false">IF(A2375="","",IF(O2375&lt;&gt;"",O2375,IF(L2375&lt;&gt;"",L2375,F2375)))</f>
        <v>1</v>
      </c>
    </row>
    <row r="2376" customFormat="false" ht="15" hidden="false" customHeight="true" outlineLevel="0" collapsed="false">
      <c r="A2376" s="30" t="s">
        <v>281</v>
      </c>
      <c r="B2376" s="30" t="s">
        <v>282</v>
      </c>
      <c r="C2376" s="21" t="n">
        <f aca="false">IF(A2376="","",IFERROR(VLOOKUP(A2376,'Recert Status'!$A$8:$C$400,3,FALSE()),""))</f>
        <v>46387</v>
      </c>
      <c r="D2376" s="31" t="s">
        <v>719</v>
      </c>
      <c r="E2376" s="30" t="s">
        <v>416</v>
      </c>
      <c r="F2376" s="32" t="n">
        <v>2</v>
      </c>
      <c r="G2376" s="33" t="n">
        <v>45859</v>
      </c>
      <c r="H2376" s="33" t="n">
        <v>45859</v>
      </c>
      <c r="I2376" s="31" t="s">
        <v>486</v>
      </c>
      <c r="J2376" s="30" t="s">
        <v>416</v>
      </c>
      <c r="K2376" s="31" t="s">
        <v>418</v>
      </c>
      <c r="L2376" s="32" t="n">
        <v>2</v>
      </c>
      <c r="M2376" s="39" t="s">
        <v>413</v>
      </c>
      <c r="N2376" s="31" t="s">
        <v>414</v>
      </c>
      <c r="O2376" s="32" t="n">
        <v>2</v>
      </c>
      <c r="P2376" s="15" t="n">
        <f aca="false">IF(A2376="","",IF(O2376&lt;&gt;"",O2376,IF(L2376&lt;&gt;"",L2376,F2376)))</f>
        <v>2</v>
      </c>
    </row>
    <row r="2377" customFormat="false" ht="15" hidden="false" customHeight="true" outlineLevel="0" collapsed="false">
      <c r="A2377" s="26" t="s">
        <v>281</v>
      </c>
      <c r="B2377" s="26" t="s">
        <v>282</v>
      </c>
      <c r="C2377" s="14" t="n">
        <f aca="false">IF(A2377="","",IFERROR(VLOOKUP(A2377,'Recert Status'!$A$8:$C$400,3,FALSE()),""))</f>
        <v>46387</v>
      </c>
      <c r="D2377" s="18" t="s">
        <v>1673</v>
      </c>
      <c r="E2377" s="26" t="s">
        <v>416</v>
      </c>
      <c r="F2377" s="27" t="n">
        <v>2</v>
      </c>
      <c r="G2377" s="28" t="n">
        <v>46084</v>
      </c>
      <c r="H2377" s="28" t="n">
        <v>46084</v>
      </c>
      <c r="I2377" s="18" t="s">
        <v>1659</v>
      </c>
      <c r="J2377" s="26" t="s">
        <v>416</v>
      </c>
      <c r="K2377" s="18" t="s">
        <v>456</v>
      </c>
      <c r="L2377" s="27" t="n">
        <v>2</v>
      </c>
      <c r="M2377" s="39" t="s">
        <v>413</v>
      </c>
      <c r="N2377" s="18" t="s">
        <v>414</v>
      </c>
      <c r="O2377" s="27" t="n">
        <v>2</v>
      </c>
      <c r="P2377" s="15" t="n">
        <f aca="false">IF(A2377="","",IF(O2377&lt;&gt;"",O2377,IF(L2377&lt;&gt;"",L2377,F2377)))</f>
        <v>2</v>
      </c>
    </row>
    <row r="2378" customFormat="false" ht="15" hidden="false" customHeight="true" outlineLevel="0" collapsed="false">
      <c r="A2378" s="30" t="s">
        <v>281</v>
      </c>
      <c r="B2378" s="30" t="s">
        <v>282</v>
      </c>
      <c r="C2378" s="21" t="n">
        <f aca="false">IF(A2378="","",IFERROR(VLOOKUP(A2378,'Recert Status'!$A$8:$C$400,3,FALSE()),""))</f>
        <v>46387</v>
      </c>
      <c r="D2378" s="31" t="s">
        <v>1077</v>
      </c>
      <c r="E2378" s="30" t="n">
        <v>29740</v>
      </c>
      <c r="F2378" s="32" t="n">
        <v>1</v>
      </c>
      <c r="G2378" s="33" t="n">
        <v>46087</v>
      </c>
      <c r="H2378" s="33" t="n">
        <v>46087</v>
      </c>
      <c r="I2378" s="31" t="s">
        <v>1658</v>
      </c>
      <c r="J2378" s="30" t="s">
        <v>394</v>
      </c>
      <c r="K2378" s="31" t="s">
        <v>485</v>
      </c>
      <c r="L2378" s="32" t="n">
        <v>1</v>
      </c>
      <c r="M2378" s="39" t="s">
        <v>413</v>
      </c>
      <c r="N2378" s="31" t="s">
        <v>414</v>
      </c>
      <c r="O2378" s="32" t="n">
        <v>1</v>
      </c>
      <c r="P2378" s="15" t="n">
        <f aca="false">IF(A2378="","",IF(O2378&lt;&gt;"",O2378,IF(L2378&lt;&gt;"",L2378,F2378)))</f>
        <v>1</v>
      </c>
    </row>
    <row r="2379" customFormat="false" ht="15" hidden="false" customHeight="true" outlineLevel="0" collapsed="false">
      <c r="A2379" s="26" t="s">
        <v>281</v>
      </c>
      <c r="B2379" s="26" t="s">
        <v>282</v>
      </c>
      <c r="C2379" s="14" t="n">
        <f aca="false">IF(A2379="","",IFERROR(VLOOKUP(A2379,'Recert Status'!$A$8:$C$400,3,FALSE()),""))</f>
        <v>46387</v>
      </c>
      <c r="D2379" s="18" t="s">
        <v>488</v>
      </c>
      <c r="E2379" s="26" t="s">
        <v>416</v>
      </c>
      <c r="F2379" s="27" t="n">
        <v>1</v>
      </c>
      <c r="G2379" s="28" t="n">
        <v>46127</v>
      </c>
      <c r="H2379" s="28" t="n">
        <v>46127</v>
      </c>
      <c r="I2379" s="18" t="s">
        <v>534</v>
      </c>
      <c r="J2379" s="26" t="s">
        <v>416</v>
      </c>
      <c r="K2379" s="18" t="s">
        <v>490</v>
      </c>
      <c r="L2379" s="27" t="n">
        <v>1</v>
      </c>
      <c r="M2379" s="39" t="s">
        <v>413</v>
      </c>
      <c r="N2379" s="18" t="s">
        <v>414</v>
      </c>
      <c r="O2379" s="27" t="n">
        <v>1</v>
      </c>
      <c r="P2379" s="15" t="n">
        <f aca="false">IF(A2379="","",IF(O2379&lt;&gt;"",O2379,IF(L2379&lt;&gt;"",L2379,F2379)))</f>
        <v>1</v>
      </c>
    </row>
    <row r="2380" customFormat="false" ht="15" hidden="false" customHeight="true" outlineLevel="0" collapsed="false">
      <c r="A2380" s="30" t="s">
        <v>281</v>
      </c>
      <c r="B2380" s="30" t="s">
        <v>282</v>
      </c>
      <c r="C2380" s="21" t="n">
        <f aca="false">IF(A2380="","",IFERROR(VLOOKUP(A2380,'Recert Status'!$A$8:$C$400,3,FALSE()),""))</f>
        <v>46387</v>
      </c>
      <c r="D2380" s="31" t="s">
        <v>414</v>
      </c>
      <c r="E2380" s="30" t="s">
        <v>416</v>
      </c>
      <c r="F2380" s="32" t="n">
        <v>2</v>
      </c>
      <c r="G2380" s="33" t="n">
        <v>46219</v>
      </c>
      <c r="H2380" s="33" t="n">
        <v>46219</v>
      </c>
      <c r="I2380" s="31" t="s">
        <v>567</v>
      </c>
      <c r="J2380" s="30" t="s">
        <v>416</v>
      </c>
      <c r="K2380" s="31" t="s">
        <v>418</v>
      </c>
      <c r="L2380" s="32" t="n">
        <v>2</v>
      </c>
      <c r="M2380" s="39" t="s">
        <v>413</v>
      </c>
      <c r="N2380" s="31" t="s">
        <v>414</v>
      </c>
      <c r="O2380" s="32" t="n">
        <v>2</v>
      </c>
      <c r="P2380" s="15" t="n">
        <f aca="false">IF(A2380="","",IF(O2380&lt;&gt;"",O2380,IF(L2380&lt;&gt;"",L2380,F2380)))</f>
        <v>2</v>
      </c>
    </row>
    <row r="2381" customFormat="false" ht="15" hidden="false" customHeight="true" outlineLevel="0" collapsed="false">
      <c r="A2381" s="26" t="s">
        <v>283</v>
      </c>
      <c r="B2381" s="26" t="s">
        <v>284</v>
      </c>
      <c r="C2381" s="14" t="n">
        <f aca="false">IF(A2381="","",IFERROR(VLOOKUP(A2381,'Recert Status'!$A$8:$C$400,3,FALSE()),""))</f>
        <v>46387</v>
      </c>
      <c r="D2381" s="18" t="s">
        <v>936</v>
      </c>
      <c r="E2381" s="26" t="s">
        <v>363</v>
      </c>
      <c r="F2381" s="27" t="n">
        <v>1</v>
      </c>
      <c r="G2381" s="28" t="n">
        <v>45950</v>
      </c>
      <c r="H2381" s="28" t="n">
        <v>45950</v>
      </c>
      <c r="I2381" s="18" t="s">
        <v>937</v>
      </c>
      <c r="J2381" s="26" t="s">
        <v>363</v>
      </c>
      <c r="K2381" s="18" t="s">
        <v>365</v>
      </c>
      <c r="L2381" s="27" t="n">
        <v>0.5</v>
      </c>
      <c r="M2381" s="29" t="s">
        <v>366</v>
      </c>
      <c r="N2381" s="18" t="s">
        <v>923</v>
      </c>
      <c r="O2381" s="27" t="n">
        <v>1</v>
      </c>
      <c r="P2381" s="15" t="n">
        <f aca="false">IF(A2381="","",IF(O2381&lt;&gt;"",O2381,IF(L2381&lt;&gt;"",L2381,F2381)))</f>
        <v>1</v>
      </c>
    </row>
    <row r="2382" customFormat="false" ht="15" hidden="false" customHeight="true" outlineLevel="0" collapsed="false">
      <c r="A2382" s="30" t="s">
        <v>283</v>
      </c>
      <c r="B2382" s="30" t="s">
        <v>284</v>
      </c>
      <c r="C2382" s="21" t="n">
        <f aca="false">IF(A2382="","",IFERROR(VLOOKUP(A2382,'Recert Status'!$A$8:$C$400,3,FALSE()),""))</f>
        <v>46387</v>
      </c>
      <c r="D2382" s="31" t="s">
        <v>425</v>
      </c>
      <c r="E2382" s="30" t="s">
        <v>426</v>
      </c>
      <c r="F2382" s="32" t="n">
        <v>2</v>
      </c>
      <c r="G2382" s="33" t="n">
        <v>45929</v>
      </c>
      <c r="H2382" s="33" t="n">
        <v>45929</v>
      </c>
      <c r="I2382" s="31" t="s">
        <v>427</v>
      </c>
      <c r="J2382" s="30" t="s">
        <v>426</v>
      </c>
      <c r="K2382" s="31" t="s">
        <v>428</v>
      </c>
      <c r="L2382" s="32" t="n">
        <v>2</v>
      </c>
      <c r="M2382" s="41" t="s">
        <v>429</v>
      </c>
      <c r="N2382" s="31" t="s">
        <v>430</v>
      </c>
      <c r="O2382" s="32" t="n">
        <v>2</v>
      </c>
      <c r="P2382" s="15" t="n">
        <f aca="false">IF(A2382="","",IF(O2382&lt;&gt;"",O2382,IF(L2382&lt;&gt;"",L2382,F2382)))</f>
        <v>2</v>
      </c>
    </row>
    <row r="2383" customFormat="false" ht="15" hidden="false" customHeight="true" outlineLevel="0" collapsed="false">
      <c r="A2383" s="26" t="s">
        <v>283</v>
      </c>
      <c r="B2383" s="26" t="s">
        <v>284</v>
      </c>
      <c r="C2383" s="14" t="n">
        <f aca="false">IF(A2383="","",IFERROR(VLOOKUP(A2383,'Recert Status'!$A$8:$C$400,3,FALSE()),""))</f>
        <v>46387</v>
      </c>
      <c r="D2383" s="18" t="s">
        <v>437</v>
      </c>
      <c r="E2383" s="26" t="n">
        <v>29743</v>
      </c>
      <c r="F2383" s="27" t="n">
        <v>1</v>
      </c>
      <c r="G2383" s="28" t="n">
        <v>45833</v>
      </c>
      <c r="H2383" s="28" t="n">
        <v>45833</v>
      </c>
      <c r="I2383" s="18" t="s">
        <v>438</v>
      </c>
      <c r="J2383" s="26" t="s">
        <v>439</v>
      </c>
      <c r="K2383" s="18" t="s">
        <v>440</v>
      </c>
      <c r="L2383" s="27" t="n">
        <v>1</v>
      </c>
      <c r="M2383" s="35" t="s">
        <v>386</v>
      </c>
      <c r="N2383" s="18" t="s">
        <v>387</v>
      </c>
      <c r="O2383" s="27" t="n">
        <v>1</v>
      </c>
      <c r="P2383" s="15" t="n">
        <f aca="false">IF(A2383="","",IF(O2383&lt;&gt;"",O2383,IF(L2383&lt;&gt;"",L2383,F2383)))</f>
        <v>1</v>
      </c>
    </row>
    <row r="2384" customFormat="false" ht="15" hidden="false" customHeight="true" outlineLevel="0" collapsed="false">
      <c r="A2384" s="30" t="s">
        <v>283</v>
      </c>
      <c r="B2384" s="30" t="s">
        <v>284</v>
      </c>
      <c r="C2384" s="21" t="n">
        <f aca="false">IF(A2384="","",IFERROR(VLOOKUP(A2384,'Recert Status'!$A$8:$C$400,3,FALSE()),""))</f>
        <v>46387</v>
      </c>
      <c r="D2384" s="31" t="s">
        <v>441</v>
      </c>
      <c r="E2384" s="30" t="n">
        <v>29743</v>
      </c>
      <c r="F2384" s="32" t="n">
        <v>1</v>
      </c>
      <c r="G2384" s="33" t="n">
        <v>45833</v>
      </c>
      <c r="H2384" s="33" t="n">
        <v>45833</v>
      </c>
      <c r="I2384" s="31" t="s">
        <v>442</v>
      </c>
      <c r="J2384" s="30" t="s">
        <v>439</v>
      </c>
      <c r="K2384" s="31" t="s">
        <v>443</v>
      </c>
      <c r="L2384" s="32" t="n">
        <v>1</v>
      </c>
      <c r="M2384" s="35" t="s">
        <v>386</v>
      </c>
      <c r="N2384" s="31" t="s">
        <v>387</v>
      </c>
      <c r="O2384" s="32" t="n">
        <v>1</v>
      </c>
      <c r="P2384" s="15" t="n">
        <f aca="false">IF(A2384="","",IF(O2384&lt;&gt;"",O2384,IF(L2384&lt;&gt;"",L2384,F2384)))</f>
        <v>1</v>
      </c>
    </row>
    <row r="2385" customFormat="false" ht="15" hidden="false" customHeight="true" outlineLevel="0" collapsed="false">
      <c r="A2385" s="26" t="s">
        <v>283</v>
      </c>
      <c r="B2385" s="26" t="s">
        <v>284</v>
      </c>
      <c r="C2385" s="14" t="n">
        <f aca="false">IF(A2385="","",IFERROR(VLOOKUP(A2385,'Recert Status'!$A$8:$C$400,3,FALSE()),""))</f>
        <v>46387</v>
      </c>
      <c r="D2385" s="18" t="s">
        <v>615</v>
      </c>
      <c r="E2385" s="26" t="n">
        <v>29740</v>
      </c>
      <c r="F2385" s="27" t="n">
        <v>2</v>
      </c>
      <c r="G2385" s="28" t="n">
        <v>45884</v>
      </c>
      <c r="H2385" s="28" t="n">
        <v>45884</v>
      </c>
      <c r="I2385" s="18" t="s">
        <v>616</v>
      </c>
      <c r="J2385" s="26" t="s">
        <v>394</v>
      </c>
      <c r="K2385" s="18" t="s">
        <v>385</v>
      </c>
      <c r="L2385" s="27" t="n">
        <v>2</v>
      </c>
      <c r="M2385" s="35" t="s">
        <v>386</v>
      </c>
      <c r="N2385" s="18" t="s">
        <v>397</v>
      </c>
      <c r="O2385" s="27" t="n">
        <v>2</v>
      </c>
      <c r="P2385" s="15" t="n">
        <f aca="false">IF(A2385="","",IF(O2385&lt;&gt;"",O2385,IF(L2385&lt;&gt;"",L2385,F2385)))</f>
        <v>2</v>
      </c>
    </row>
    <row r="2386" customFormat="false" ht="15" hidden="false" customHeight="true" outlineLevel="0" collapsed="false">
      <c r="A2386" s="30" t="s">
        <v>283</v>
      </c>
      <c r="B2386" s="30" t="s">
        <v>284</v>
      </c>
      <c r="C2386" s="21" t="n">
        <f aca="false">IF(A2386="","",IFERROR(VLOOKUP(A2386,'Recert Status'!$A$8:$C$400,3,FALSE()),""))</f>
        <v>46387</v>
      </c>
      <c r="D2386" s="31" t="s">
        <v>789</v>
      </c>
      <c r="E2386" s="30" t="n">
        <v>29743</v>
      </c>
      <c r="F2386" s="32" t="n">
        <v>1</v>
      </c>
      <c r="G2386" s="33" t="n">
        <v>45911</v>
      </c>
      <c r="H2386" s="33" t="n">
        <v>45911</v>
      </c>
      <c r="I2386" s="31" t="s">
        <v>790</v>
      </c>
      <c r="J2386" s="30" t="s">
        <v>439</v>
      </c>
      <c r="K2386" s="31" t="s">
        <v>791</v>
      </c>
      <c r="L2386" s="32" t="n">
        <v>1</v>
      </c>
      <c r="M2386" s="35" t="s">
        <v>386</v>
      </c>
      <c r="N2386" s="31" t="s">
        <v>387</v>
      </c>
      <c r="O2386" s="32" t="n">
        <v>1</v>
      </c>
      <c r="P2386" s="15" t="n">
        <f aca="false">IF(A2386="","",IF(O2386&lt;&gt;"",O2386,IF(L2386&lt;&gt;"",L2386,F2386)))</f>
        <v>1</v>
      </c>
    </row>
    <row r="2387" customFormat="false" ht="15" hidden="false" customHeight="true" outlineLevel="0" collapsed="false">
      <c r="A2387" s="26" t="s">
        <v>283</v>
      </c>
      <c r="B2387" s="26" t="s">
        <v>284</v>
      </c>
      <c r="C2387" s="14" t="n">
        <f aca="false">IF(A2387="","",IFERROR(VLOOKUP(A2387,'Recert Status'!$A$8:$C$400,3,FALSE()),""))</f>
        <v>46387</v>
      </c>
      <c r="D2387" s="18" t="s">
        <v>792</v>
      </c>
      <c r="E2387" s="26" t="n">
        <v>29743</v>
      </c>
      <c r="F2387" s="27" t="n">
        <v>1</v>
      </c>
      <c r="G2387" s="28" t="n">
        <v>45911</v>
      </c>
      <c r="H2387" s="28" t="n">
        <v>45911</v>
      </c>
      <c r="I2387" s="18" t="s">
        <v>790</v>
      </c>
      <c r="J2387" s="26" t="s">
        <v>439</v>
      </c>
      <c r="K2387" s="18" t="s">
        <v>791</v>
      </c>
      <c r="L2387" s="27" t="n">
        <v>1</v>
      </c>
      <c r="M2387" s="35" t="s">
        <v>386</v>
      </c>
      <c r="N2387" s="18" t="s">
        <v>387</v>
      </c>
      <c r="O2387" s="27" t="n">
        <v>1</v>
      </c>
      <c r="P2387" s="15" t="n">
        <f aca="false">IF(A2387="","",IF(O2387&lt;&gt;"",O2387,IF(L2387&lt;&gt;"",L2387,F2387)))</f>
        <v>1</v>
      </c>
    </row>
    <row r="2388" customFormat="false" ht="15" hidden="false" customHeight="true" outlineLevel="0" collapsed="false">
      <c r="A2388" s="30" t="s">
        <v>283</v>
      </c>
      <c r="B2388" s="30" t="s">
        <v>284</v>
      </c>
      <c r="C2388" s="21" t="n">
        <f aca="false">IF(A2388="","",IFERROR(VLOOKUP(A2388,'Recert Status'!$A$8:$C$400,3,FALSE()),""))</f>
        <v>46387</v>
      </c>
      <c r="D2388" s="31" t="s">
        <v>1289</v>
      </c>
      <c r="E2388" s="30" t="n">
        <v>29675</v>
      </c>
      <c r="F2388" s="32" t="n">
        <v>4</v>
      </c>
      <c r="G2388" s="33" t="n">
        <v>45986</v>
      </c>
      <c r="H2388" s="33" t="n">
        <v>45986</v>
      </c>
      <c r="I2388" s="31" t="s">
        <v>1074</v>
      </c>
      <c r="J2388" s="30" t="s">
        <v>406</v>
      </c>
      <c r="K2388" s="31" t="s">
        <v>446</v>
      </c>
      <c r="L2388" s="32" t="n">
        <v>1</v>
      </c>
      <c r="M2388" s="35" t="s">
        <v>386</v>
      </c>
      <c r="N2388" s="31" t="s">
        <v>387</v>
      </c>
      <c r="O2388" s="32" t="n">
        <v>1</v>
      </c>
      <c r="P2388" s="15" t="n">
        <f aca="false">IF(A2388="","",IF(O2388&lt;&gt;"",O2388,IF(L2388&lt;&gt;"",L2388,F2388)))</f>
        <v>1</v>
      </c>
    </row>
    <row r="2389" customFormat="false" ht="15" hidden="false" customHeight="true" outlineLevel="0" collapsed="false">
      <c r="A2389" s="26" t="s">
        <v>283</v>
      </c>
      <c r="B2389" s="26" t="s">
        <v>284</v>
      </c>
      <c r="C2389" s="14" t="n">
        <f aca="false">IF(A2389="","",IFERROR(VLOOKUP(A2389,'Recert Status'!$A$8:$C$400,3,FALSE()),""))</f>
        <v>46387</v>
      </c>
      <c r="D2389" s="18" t="s">
        <v>573</v>
      </c>
      <c r="E2389" s="26" t="s">
        <v>389</v>
      </c>
      <c r="F2389" s="27" t="n">
        <v>1</v>
      </c>
      <c r="G2389" s="28" t="n">
        <v>45987</v>
      </c>
      <c r="H2389" s="28" t="n">
        <v>45987</v>
      </c>
      <c r="I2389" s="18" t="s">
        <v>574</v>
      </c>
      <c r="J2389" s="26" t="s">
        <v>389</v>
      </c>
      <c r="K2389" s="18" t="s">
        <v>451</v>
      </c>
      <c r="L2389" s="27" t="n">
        <v>1</v>
      </c>
      <c r="M2389" s="35" t="s">
        <v>386</v>
      </c>
      <c r="N2389" s="18" t="s">
        <v>387</v>
      </c>
      <c r="O2389" s="27" t="n">
        <v>1</v>
      </c>
      <c r="P2389" s="15" t="n">
        <f aca="false">IF(A2389="","",IF(O2389&lt;&gt;"",O2389,IF(L2389&lt;&gt;"",L2389,F2389)))</f>
        <v>1</v>
      </c>
    </row>
    <row r="2390" customFormat="false" ht="15" hidden="false" customHeight="true" outlineLevel="0" collapsed="false">
      <c r="A2390" s="30" t="s">
        <v>283</v>
      </c>
      <c r="B2390" s="30" t="s">
        <v>284</v>
      </c>
      <c r="C2390" s="21" t="n">
        <f aca="false">IF(A2390="","",IFERROR(VLOOKUP(A2390,'Recert Status'!$A$8:$C$400,3,FALSE()),""))</f>
        <v>46387</v>
      </c>
      <c r="D2390" s="31" t="s">
        <v>403</v>
      </c>
      <c r="E2390" s="30" t="s">
        <v>399</v>
      </c>
      <c r="F2390" s="32" t="n">
        <v>1</v>
      </c>
      <c r="G2390" s="33" t="n">
        <v>46250</v>
      </c>
      <c r="H2390" s="33" t="n">
        <v>46250</v>
      </c>
      <c r="I2390" s="31" t="s">
        <v>479</v>
      </c>
      <c r="J2390" s="30" t="s">
        <v>399</v>
      </c>
      <c r="K2390" s="31" t="s">
        <v>401</v>
      </c>
      <c r="L2390" s="32" t="n">
        <v>1</v>
      </c>
      <c r="M2390" s="37" t="s">
        <v>402</v>
      </c>
      <c r="N2390" s="31" t="s">
        <v>403</v>
      </c>
      <c r="O2390" s="32" t="n">
        <v>1</v>
      </c>
      <c r="P2390" s="15" t="n">
        <f aca="false">IF(A2390="","",IF(O2390&lt;&gt;"",O2390,IF(L2390&lt;&gt;"",L2390,F2390)))</f>
        <v>1</v>
      </c>
    </row>
    <row r="2391" customFormat="false" ht="15" hidden="false" customHeight="true" outlineLevel="0" collapsed="false">
      <c r="A2391" s="26" t="s">
        <v>283</v>
      </c>
      <c r="B2391" s="26" t="s">
        <v>284</v>
      </c>
      <c r="C2391" s="14" t="n">
        <f aca="false">IF(A2391="","",IFERROR(VLOOKUP(A2391,'Recert Status'!$A$8:$C$400,3,FALSE()),""))</f>
        <v>46387</v>
      </c>
      <c r="D2391" s="18" t="s">
        <v>409</v>
      </c>
      <c r="E2391" s="26" t="s">
        <v>480</v>
      </c>
      <c r="F2391" s="27" t="n">
        <v>1</v>
      </c>
      <c r="G2391" s="28" t="n">
        <v>46250</v>
      </c>
      <c r="H2391" s="28" t="n">
        <v>46250</v>
      </c>
      <c r="I2391" s="18" t="s">
        <v>481</v>
      </c>
      <c r="J2391" s="26" t="s">
        <v>480</v>
      </c>
      <c r="K2391" s="18" t="s">
        <v>482</v>
      </c>
      <c r="L2391" s="27" t="n">
        <v>1</v>
      </c>
      <c r="M2391" s="38" t="s">
        <v>408</v>
      </c>
      <c r="N2391" s="18" t="s">
        <v>409</v>
      </c>
      <c r="O2391" s="27" t="n">
        <v>1</v>
      </c>
      <c r="P2391" s="15" t="n">
        <f aca="false">IF(A2391="","",IF(O2391&lt;&gt;"",O2391,IF(L2391&lt;&gt;"",L2391,F2391)))</f>
        <v>1</v>
      </c>
    </row>
    <row r="2392" customFormat="false" ht="15" hidden="false" customHeight="true" outlineLevel="0" collapsed="false">
      <c r="A2392" s="30" t="s">
        <v>283</v>
      </c>
      <c r="B2392" s="30" t="s">
        <v>284</v>
      </c>
      <c r="C2392" s="21" t="n">
        <f aca="false">IF(A2392="","",IFERROR(VLOOKUP(A2392,'Recert Status'!$A$8:$C$400,3,FALSE()),""))</f>
        <v>46387</v>
      </c>
      <c r="D2392" s="31" t="s">
        <v>457</v>
      </c>
      <c r="E2392" s="30" t="s">
        <v>416</v>
      </c>
      <c r="F2392" s="32" t="n">
        <v>2</v>
      </c>
      <c r="G2392" s="33" t="n">
        <v>45860</v>
      </c>
      <c r="H2392" s="33" t="n">
        <v>45860</v>
      </c>
      <c r="I2392" s="31" t="s">
        <v>458</v>
      </c>
      <c r="J2392" s="30" t="s">
        <v>416</v>
      </c>
      <c r="K2392" s="31" t="s">
        <v>459</v>
      </c>
      <c r="L2392" s="32" t="n">
        <v>2</v>
      </c>
      <c r="M2392" s="39" t="s">
        <v>413</v>
      </c>
      <c r="N2392" s="31" t="s">
        <v>414</v>
      </c>
      <c r="O2392" s="32" t="n">
        <v>2</v>
      </c>
      <c r="P2392" s="15" t="n">
        <f aca="false">IF(A2392="","",IF(O2392&lt;&gt;"",O2392,IF(L2392&lt;&gt;"",L2392,F2392)))</f>
        <v>2</v>
      </c>
    </row>
    <row r="2393" customFormat="false" ht="15" hidden="false" customHeight="true" outlineLevel="0" collapsed="false">
      <c r="A2393" s="26" t="s">
        <v>283</v>
      </c>
      <c r="B2393" s="26" t="s">
        <v>284</v>
      </c>
      <c r="C2393" s="14" t="n">
        <f aca="false">IF(A2393="","",IFERROR(VLOOKUP(A2393,'Recert Status'!$A$8:$C$400,3,FALSE()),""))</f>
        <v>46387</v>
      </c>
      <c r="D2393" s="18" t="s">
        <v>457</v>
      </c>
      <c r="E2393" s="26" t="s">
        <v>416</v>
      </c>
      <c r="F2393" s="27" t="n">
        <v>2</v>
      </c>
      <c r="G2393" s="28" t="n">
        <v>45860</v>
      </c>
      <c r="H2393" s="28" t="n">
        <v>45860</v>
      </c>
      <c r="I2393" s="18" t="s">
        <v>533</v>
      </c>
      <c r="J2393" s="26" t="s">
        <v>416</v>
      </c>
      <c r="K2393" s="18" t="s">
        <v>523</v>
      </c>
      <c r="L2393" s="27" t="n">
        <v>2</v>
      </c>
      <c r="M2393" s="39" t="s">
        <v>413</v>
      </c>
      <c r="N2393" s="18" t="s">
        <v>414</v>
      </c>
      <c r="O2393" s="27" t="n">
        <v>2</v>
      </c>
      <c r="P2393" s="15" t="n">
        <f aca="false">IF(A2393="","",IF(O2393&lt;&gt;"",O2393,IF(L2393&lt;&gt;"",L2393,F2393)))</f>
        <v>2</v>
      </c>
    </row>
    <row r="2394" customFormat="false" ht="15" hidden="false" customHeight="true" outlineLevel="0" collapsed="false">
      <c r="A2394" s="30" t="s">
        <v>283</v>
      </c>
      <c r="B2394" s="30" t="s">
        <v>284</v>
      </c>
      <c r="C2394" s="21" t="n">
        <f aca="false">IF(A2394="","",IFERROR(VLOOKUP(A2394,'Recert Status'!$A$8:$C$400,3,FALSE()),""))</f>
        <v>46387</v>
      </c>
      <c r="D2394" s="31" t="s">
        <v>672</v>
      </c>
      <c r="E2394" s="30" t="s">
        <v>416</v>
      </c>
      <c r="F2394" s="32" t="n">
        <v>1</v>
      </c>
      <c r="G2394" s="33" t="n">
        <v>45933</v>
      </c>
      <c r="H2394" s="33" t="n">
        <v>45933</v>
      </c>
      <c r="I2394" s="31" t="s">
        <v>675</v>
      </c>
      <c r="J2394" s="30" t="s">
        <v>416</v>
      </c>
      <c r="K2394" s="31" t="s">
        <v>674</v>
      </c>
      <c r="L2394" s="32" t="n">
        <v>1</v>
      </c>
      <c r="M2394" s="39" t="s">
        <v>413</v>
      </c>
      <c r="N2394" s="31" t="s">
        <v>414</v>
      </c>
      <c r="O2394" s="32" t="n">
        <v>1</v>
      </c>
      <c r="P2394" s="15" t="n">
        <f aca="false">IF(A2394="","",IF(O2394&lt;&gt;"",O2394,IF(L2394&lt;&gt;"",L2394,F2394)))</f>
        <v>1</v>
      </c>
    </row>
    <row r="2395" customFormat="false" ht="15" hidden="false" customHeight="true" outlineLevel="0" collapsed="false">
      <c r="A2395" s="26" t="s">
        <v>283</v>
      </c>
      <c r="B2395" s="26" t="s">
        <v>284</v>
      </c>
      <c r="C2395" s="14" t="n">
        <f aca="false">IF(A2395="","",IFERROR(VLOOKUP(A2395,'Recert Status'!$A$8:$C$400,3,FALSE()),""))</f>
        <v>46387</v>
      </c>
      <c r="D2395" s="18" t="s">
        <v>488</v>
      </c>
      <c r="E2395" s="26" t="s">
        <v>416</v>
      </c>
      <c r="F2395" s="27" t="n">
        <v>1</v>
      </c>
      <c r="G2395" s="28" t="n">
        <v>46139</v>
      </c>
      <c r="H2395" s="28" t="n">
        <v>46139</v>
      </c>
      <c r="I2395" s="18" t="s">
        <v>610</v>
      </c>
      <c r="J2395" s="26" t="s">
        <v>416</v>
      </c>
      <c r="K2395" s="18" t="s">
        <v>490</v>
      </c>
      <c r="L2395" s="27" t="n">
        <v>1</v>
      </c>
      <c r="M2395" s="39" t="s">
        <v>413</v>
      </c>
      <c r="N2395" s="18" t="s">
        <v>414</v>
      </c>
      <c r="O2395" s="27" t="n">
        <v>1</v>
      </c>
      <c r="P2395" s="15" t="n">
        <f aca="false">IF(A2395="","",IF(O2395&lt;&gt;"",O2395,IF(L2395&lt;&gt;"",L2395,F2395)))</f>
        <v>1</v>
      </c>
    </row>
    <row r="2396" customFormat="false" ht="15" hidden="false" customHeight="true" outlineLevel="0" collapsed="false">
      <c r="A2396" s="30" t="s">
        <v>283</v>
      </c>
      <c r="B2396" s="30" t="s">
        <v>284</v>
      </c>
      <c r="C2396" s="21" t="n">
        <f aca="false">IF(A2396="","",IFERROR(VLOOKUP(A2396,'Recert Status'!$A$8:$C$400,3,FALSE()),""))</f>
        <v>46387</v>
      </c>
      <c r="D2396" s="31" t="s">
        <v>414</v>
      </c>
      <c r="E2396" s="30" t="s">
        <v>416</v>
      </c>
      <c r="F2396" s="32" t="n">
        <v>4</v>
      </c>
      <c r="G2396" s="33" t="n">
        <v>46217</v>
      </c>
      <c r="H2396" s="33" t="n">
        <v>46217</v>
      </c>
      <c r="I2396" s="31" t="s">
        <v>611</v>
      </c>
      <c r="J2396" s="30" t="s">
        <v>416</v>
      </c>
      <c r="K2396" s="31" t="s">
        <v>418</v>
      </c>
      <c r="L2396" s="32" t="n">
        <v>4</v>
      </c>
      <c r="M2396" s="39" t="s">
        <v>413</v>
      </c>
      <c r="N2396" s="31" t="s">
        <v>414</v>
      </c>
      <c r="O2396" s="32" t="n">
        <v>4</v>
      </c>
      <c r="P2396" s="15" t="n">
        <f aca="false">IF(A2396="","",IF(O2396&lt;&gt;"",O2396,IF(L2396&lt;&gt;"",L2396,F2396)))</f>
        <v>4</v>
      </c>
    </row>
    <row r="2397" customFormat="false" ht="15" hidden="false" customHeight="true" outlineLevel="0" collapsed="false">
      <c r="A2397" s="26" t="s">
        <v>285</v>
      </c>
      <c r="B2397" s="26"/>
      <c r="C2397" s="14" t="n">
        <f aca="false">IF(A2397="","",IFERROR(VLOOKUP(A2397,'Recert Status'!$A$8:$C$400,3,FALSE()),""))</f>
        <v>0</v>
      </c>
      <c r="D2397" s="18" t="s">
        <v>1281</v>
      </c>
      <c r="E2397" s="26" t="s">
        <v>363</v>
      </c>
      <c r="F2397" s="27" t="n">
        <v>1</v>
      </c>
      <c r="G2397" s="28" t="n">
        <v>45912</v>
      </c>
      <c r="H2397" s="28" t="n">
        <v>45912</v>
      </c>
      <c r="I2397" s="18" t="s">
        <v>1282</v>
      </c>
      <c r="J2397" s="26" t="s">
        <v>363</v>
      </c>
      <c r="K2397" s="18" t="s">
        <v>813</v>
      </c>
      <c r="L2397" s="27" t="n">
        <v>1</v>
      </c>
      <c r="M2397" s="29" t="s">
        <v>366</v>
      </c>
      <c r="N2397" s="18" t="s">
        <v>367</v>
      </c>
      <c r="O2397" s="27" t="n">
        <v>1</v>
      </c>
      <c r="P2397" s="15" t="n">
        <f aca="false">IF(A2397="","",IF(O2397&lt;&gt;"",O2397,IF(L2397&lt;&gt;"",L2397,F2397)))</f>
        <v>1</v>
      </c>
    </row>
    <row r="2398" customFormat="false" ht="15" hidden="false" customHeight="true" outlineLevel="0" collapsed="false">
      <c r="A2398" s="30" t="s">
        <v>285</v>
      </c>
      <c r="B2398" s="30"/>
      <c r="C2398" s="21" t="n">
        <f aca="false">IF(A2398="","",IFERROR(VLOOKUP(A2398,'Recert Status'!$A$8:$C$400,3,FALSE()),""))</f>
        <v>0</v>
      </c>
      <c r="D2398" s="31" t="s">
        <v>367</v>
      </c>
      <c r="E2398" s="30" t="s">
        <v>363</v>
      </c>
      <c r="F2398" s="32" t="n">
        <v>1</v>
      </c>
      <c r="G2398" s="33" t="n">
        <v>46224</v>
      </c>
      <c r="H2398" s="33" t="n">
        <v>46224</v>
      </c>
      <c r="I2398" s="31" t="s">
        <v>1035</v>
      </c>
      <c r="J2398" s="30" t="s">
        <v>363</v>
      </c>
      <c r="K2398" s="31" t="s">
        <v>1036</v>
      </c>
      <c r="L2398" s="32" t="n">
        <v>1</v>
      </c>
      <c r="M2398" s="29" t="s">
        <v>366</v>
      </c>
      <c r="N2398" s="31" t="s">
        <v>367</v>
      </c>
      <c r="O2398" s="32" t="n">
        <v>1</v>
      </c>
      <c r="P2398" s="15" t="n">
        <f aca="false">IF(A2398="","",IF(O2398&lt;&gt;"",O2398,IF(L2398&lt;&gt;"",L2398,F2398)))</f>
        <v>1</v>
      </c>
    </row>
    <row r="2399" customFormat="false" ht="15" hidden="false" customHeight="true" outlineLevel="0" collapsed="false">
      <c r="A2399" s="26" t="s">
        <v>285</v>
      </c>
      <c r="B2399" s="26"/>
      <c r="C2399" s="14" t="n">
        <f aca="false">IF(A2399="","",IFERROR(VLOOKUP(A2399,'Recert Status'!$A$8:$C$400,3,FALSE()),""))</f>
        <v>0</v>
      </c>
      <c r="D2399" s="18" t="s">
        <v>569</v>
      </c>
      <c r="E2399" s="26" t="n">
        <v>57433</v>
      </c>
      <c r="F2399" s="27" t="n">
        <v>1</v>
      </c>
      <c r="G2399" s="28" t="n">
        <v>46017</v>
      </c>
      <c r="H2399" s="28" t="n">
        <v>46017</v>
      </c>
      <c r="I2399" s="18" t="s">
        <v>570</v>
      </c>
      <c r="J2399" s="26" t="s">
        <v>421</v>
      </c>
      <c r="K2399" s="18" t="s">
        <v>428</v>
      </c>
      <c r="L2399" s="27" t="n">
        <v>1</v>
      </c>
      <c r="M2399" s="40" t="s">
        <v>423</v>
      </c>
      <c r="N2399" s="18" t="s">
        <v>514</v>
      </c>
      <c r="O2399" s="27" t="n">
        <v>1</v>
      </c>
      <c r="P2399" s="15" t="n">
        <f aca="false">IF(A2399="","",IF(O2399&lt;&gt;"",O2399,IF(L2399&lt;&gt;"",L2399,F2399)))</f>
        <v>1</v>
      </c>
    </row>
    <row r="2400" customFormat="false" ht="15" hidden="false" customHeight="true" outlineLevel="0" collapsed="false">
      <c r="A2400" s="30" t="s">
        <v>285</v>
      </c>
      <c r="B2400" s="30"/>
      <c r="C2400" s="21" t="n">
        <f aca="false">IF(A2400="","",IFERROR(VLOOKUP(A2400,'Recert Status'!$A$8:$C$400,3,FALSE()),""))</f>
        <v>0</v>
      </c>
      <c r="D2400" s="31" t="s">
        <v>865</v>
      </c>
      <c r="E2400" s="30" t="s">
        <v>542</v>
      </c>
      <c r="F2400" s="32" t="n">
        <v>1</v>
      </c>
      <c r="G2400" s="33" t="n">
        <v>46056</v>
      </c>
      <c r="H2400" s="33" t="n">
        <v>46056</v>
      </c>
      <c r="I2400" s="31" t="s">
        <v>866</v>
      </c>
      <c r="J2400" s="30" t="s">
        <v>542</v>
      </c>
      <c r="K2400" s="31" t="s">
        <v>422</v>
      </c>
      <c r="L2400" s="32" t="n">
        <v>1</v>
      </c>
      <c r="M2400" s="40" t="s">
        <v>423</v>
      </c>
      <c r="N2400" s="31" t="s">
        <v>424</v>
      </c>
      <c r="O2400" s="32" t="n">
        <v>1</v>
      </c>
      <c r="P2400" s="15" t="n">
        <f aca="false">IF(A2400="","",IF(O2400&lt;&gt;"",O2400,IF(L2400&lt;&gt;"",L2400,F2400)))</f>
        <v>1</v>
      </c>
    </row>
    <row r="2401" customFormat="false" ht="15" hidden="false" customHeight="true" outlineLevel="0" collapsed="false">
      <c r="A2401" s="26" t="s">
        <v>285</v>
      </c>
      <c r="B2401" s="26"/>
      <c r="C2401" s="14" t="n">
        <f aca="false">IF(A2401="","",IFERROR(VLOOKUP(A2401,'Recert Status'!$A$8:$C$400,3,FALSE()),""))</f>
        <v>0</v>
      </c>
      <c r="D2401" s="18" t="s">
        <v>1283</v>
      </c>
      <c r="E2401" s="26" t="s">
        <v>426</v>
      </c>
      <c r="F2401" s="27" t="n">
        <v>1</v>
      </c>
      <c r="G2401" s="28" t="n">
        <v>45912</v>
      </c>
      <c r="H2401" s="28" t="n">
        <v>45912</v>
      </c>
      <c r="I2401" s="18" t="s">
        <v>1284</v>
      </c>
      <c r="J2401" s="26" t="s">
        <v>426</v>
      </c>
      <c r="K2401" s="18" t="s">
        <v>526</v>
      </c>
      <c r="L2401" s="27" t="n">
        <v>1</v>
      </c>
      <c r="M2401" s="41" t="s">
        <v>429</v>
      </c>
      <c r="N2401" s="18" t="s">
        <v>430</v>
      </c>
      <c r="O2401" s="27" t="n">
        <v>1</v>
      </c>
      <c r="P2401" s="15" t="n">
        <f aca="false">IF(A2401="","",IF(O2401&lt;&gt;"",O2401,IF(L2401&lt;&gt;"",L2401,F2401)))</f>
        <v>1</v>
      </c>
    </row>
    <row r="2402" customFormat="false" ht="15" hidden="false" customHeight="true" outlineLevel="0" collapsed="false">
      <c r="A2402" s="30" t="s">
        <v>285</v>
      </c>
      <c r="B2402" s="30"/>
      <c r="C2402" s="21" t="n">
        <f aca="false">IF(A2402="","",IFERROR(VLOOKUP(A2402,'Recert Status'!$A$8:$C$400,3,FALSE()),""))</f>
        <v>0</v>
      </c>
      <c r="D2402" s="31" t="s">
        <v>430</v>
      </c>
      <c r="E2402" s="30" t="s">
        <v>426</v>
      </c>
      <c r="F2402" s="32" t="n">
        <v>1</v>
      </c>
      <c r="G2402" s="33" t="n">
        <v>46224</v>
      </c>
      <c r="H2402" s="33" t="n">
        <v>46224</v>
      </c>
      <c r="I2402" s="31" t="s">
        <v>1037</v>
      </c>
      <c r="J2402" s="30" t="s">
        <v>426</v>
      </c>
      <c r="K2402" s="31" t="s">
        <v>428</v>
      </c>
      <c r="L2402" s="32" t="n">
        <v>1</v>
      </c>
      <c r="M2402" s="41" t="s">
        <v>429</v>
      </c>
      <c r="N2402" s="31" t="s">
        <v>430</v>
      </c>
      <c r="O2402" s="32" t="n">
        <v>1</v>
      </c>
      <c r="P2402" s="15" t="n">
        <f aca="false">IF(A2402="","",IF(O2402&lt;&gt;"",O2402,IF(L2402&lt;&gt;"",L2402,F2402)))</f>
        <v>1</v>
      </c>
    </row>
    <row r="2403" customFormat="false" ht="15" hidden="false" customHeight="true" outlineLevel="0" collapsed="false">
      <c r="A2403" s="26" t="s">
        <v>285</v>
      </c>
      <c r="B2403" s="26"/>
      <c r="C2403" s="14" t="n">
        <f aca="false">IF(A2403="","",IFERROR(VLOOKUP(A2403,'Recert Status'!$A$8:$C$400,3,FALSE()),""))</f>
        <v>0</v>
      </c>
      <c r="D2403" s="18" t="s">
        <v>682</v>
      </c>
      <c r="E2403" s="26" t="n">
        <v>29675</v>
      </c>
      <c r="F2403" s="27" t="n">
        <v>1</v>
      </c>
      <c r="G2403" s="28" t="n">
        <v>45987</v>
      </c>
      <c r="H2403" s="28" t="n">
        <v>45987</v>
      </c>
      <c r="I2403" s="18" t="s">
        <v>683</v>
      </c>
      <c r="J2403" s="26" t="s">
        <v>406</v>
      </c>
      <c r="K2403" s="18" t="s">
        <v>446</v>
      </c>
      <c r="L2403" s="27" t="n">
        <v>1</v>
      </c>
      <c r="M2403" s="35" t="s">
        <v>386</v>
      </c>
      <c r="N2403" s="18" t="s">
        <v>387</v>
      </c>
      <c r="O2403" s="27" t="n">
        <v>1</v>
      </c>
      <c r="P2403" s="15" t="n">
        <f aca="false">IF(A2403="","",IF(O2403&lt;&gt;"",O2403,IF(L2403&lt;&gt;"",L2403,F2403)))</f>
        <v>1</v>
      </c>
    </row>
    <row r="2404" customFormat="false" ht="15" hidden="false" customHeight="true" outlineLevel="0" collapsed="false">
      <c r="A2404" s="30" t="s">
        <v>285</v>
      </c>
      <c r="B2404" s="30"/>
      <c r="C2404" s="21" t="n">
        <f aca="false">IF(A2404="","",IFERROR(VLOOKUP(A2404,'Recert Status'!$A$8:$C$400,3,FALSE()),""))</f>
        <v>0</v>
      </c>
      <c r="D2404" s="31" t="s">
        <v>387</v>
      </c>
      <c r="E2404" s="30" t="s">
        <v>389</v>
      </c>
      <c r="F2404" s="32" t="n">
        <v>1</v>
      </c>
      <c r="G2404" s="33" t="n">
        <v>46224</v>
      </c>
      <c r="H2404" s="33" t="n">
        <v>46224</v>
      </c>
      <c r="I2404" s="31" t="s">
        <v>1039</v>
      </c>
      <c r="J2404" s="30" t="s">
        <v>389</v>
      </c>
      <c r="K2404" s="31" t="s">
        <v>1040</v>
      </c>
      <c r="L2404" s="32" t="n">
        <v>1</v>
      </c>
      <c r="M2404" s="35" t="s">
        <v>386</v>
      </c>
      <c r="N2404" s="31" t="s">
        <v>387</v>
      </c>
      <c r="O2404" s="32" t="n">
        <v>1</v>
      </c>
      <c r="P2404" s="15" t="n">
        <f aca="false">IF(A2404="","",IF(O2404&lt;&gt;"",O2404,IF(L2404&lt;&gt;"",L2404,F2404)))</f>
        <v>1</v>
      </c>
    </row>
    <row r="2405" customFormat="false" ht="15" hidden="false" customHeight="true" outlineLevel="0" collapsed="false">
      <c r="A2405" s="26" t="s">
        <v>285</v>
      </c>
      <c r="B2405" s="26"/>
      <c r="C2405" s="14" t="n">
        <f aca="false">IF(A2405="","",IFERROR(VLOOKUP(A2405,'Recert Status'!$A$8:$C$400,3,FALSE()),""))</f>
        <v>0</v>
      </c>
      <c r="D2405" s="18" t="s">
        <v>387</v>
      </c>
      <c r="E2405" s="26" t="s">
        <v>389</v>
      </c>
      <c r="F2405" s="27" t="n">
        <v>1</v>
      </c>
      <c r="G2405" s="28" t="n">
        <v>46233</v>
      </c>
      <c r="H2405" s="28" t="n">
        <v>46233</v>
      </c>
      <c r="I2405" s="18" t="s">
        <v>1032</v>
      </c>
      <c r="J2405" s="26" t="s">
        <v>389</v>
      </c>
      <c r="K2405" s="18" t="s">
        <v>468</v>
      </c>
      <c r="L2405" s="27" t="n">
        <v>1</v>
      </c>
      <c r="M2405" s="35" t="s">
        <v>386</v>
      </c>
      <c r="N2405" s="18" t="s">
        <v>387</v>
      </c>
      <c r="O2405" s="27" t="n">
        <v>1</v>
      </c>
      <c r="P2405" s="15" t="n">
        <f aca="false">IF(A2405="","",IF(O2405&lt;&gt;"",O2405,IF(L2405&lt;&gt;"",L2405,F2405)))</f>
        <v>1</v>
      </c>
    </row>
    <row r="2406" customFormat="false" ht="15" hidden="false" customHeight="true" outlineLevel="0" collapsed="false">
      <c r="A2406" s="30" t="s">
        <v>285</v>
      </c>
      <c r="B2406" s="30"/>
      <c r="C2406" s="21" t="n">
        <f aca="false">IF(A2406="","",IFERROR(VLOOKUP(A2406,'Recert Status'!$A$8:$C$400,3,FALSE()),""))</f>
        <v>0</v>
      </c>
      <c r="D2406" s="31" t="s">
        <v>397</v>
      </c>
      <c r="E2406" s="30" t="s">
        <v>452</v>
      </c>
      <c r="F2406" s="32" t="n">
        <v>1</v>
      </c>
      <c r="G2406" s="33" t="n">
        <v>46245</v>
      </c>
      <c r="H2406" s="33" t="n">
        <v>46245</v>
      </c>
      <c r="I2406" s="31" t="s">
        <v>605</v>
      </c>
      <c r="J2406" s="30" t="s">
        <v>452</v>
      </c>
      <c r="K2406" s="31" t="s">
        <v>385</v>
      </c>
      <c r="L2406" s="32" t="n">
        <v>1</v>
      </c>
      <c r="M2406" s="36" t="s">
        <v>396</v>
      </c>
      <c r="N2406" s="31" t="s">
        <v>397</v>
      </c>
      <c r="O2406" s="32" t="n">
        <v>1</v>
      </c>
      <c r="P2406" s="15" t="n">
        <f aca="false">IF(A2406="","",IF(O2406&lt;&gt;"",O2406,IF(L2406&lt;&gt;"",L2406,F2406)))</f>
        <v>1</v>
      </c>
    </row>
    <row r="2407" customFormat="false" ht="15" hidden="false" customHeight="true" outlineLevel="0" collapsed="false">
      <c r="A2407" s="26" t="s">
        <v>285</v>
      </c>
      <c r="B2407" s="26"/>
      <c r="C2407" s="14" t="n">
        <f aca="false">IF(A2407="","",IFERROR(VLOOKUP(A2407,'Recert Status'!$A$8:$C$400,3,FALSE()),""))</f>
        <v>0</v>
      </c>
      <c r="D2407" s="18" t="s">
        <v>415</v>
      </c>
      <c r="E2407" s="26" t="s">
        <v>416</v>
      </c>
      <c r="F2407" s="27" t="n">
        <v>1</v>
      </c>
      <c r="G2407" s="28" t="n">
        <v>45825</v>
      </c>
      <c r="H2407" s="28" t="n">
        <v>45825</v>
      </c>
      <c r="I2407" s="18" t="s">
        <v>820</v>
      </c>
      <c r="J2407" s="26" t="s">
        <v>416</v>
      </c>
      <c r="K2407" s="18" t="s">
        <v>412</v>
      </c>
      <c r="L2407" s="27" t="n">
        <v>1</v>
      </c>
      <c r="M2407" s="39" t="s">
        <v>413</v>
      </c>
      <c r="N2407" s="18" t="s">
        <v>414</v>
      </c>
      <c r="O2407" s="27" t="n">
        <v>1</v>
      </c>
      <c r="P2407" s="15" t="n">
        <f aca="false">IF(A2407="","",IF(O2407&lt;&gt;"",O2407,IF(L2407&lt;&gt;"",L2407,F2407)))</f>
        <v>1</v>
      </c>
    </row>
    <row r="2408" customFormat="false" ht="15" hidden="false" customHeight="true" outlineLevel="0" collapsed="false">
      <c r="A2408" s="30" t="s">
        <v>285</v>
      </c>
      <c r="B2408" s="30"/>
      <c r="C2408" s="21" t="n">
        <f aca="false">IF(A2408="","",IFERROR(VLOOKUP(A2408,'Recert Status'!$A$8:$C$400,3,FALSE()),""))</f>
        <v>0</v>
      </c>
      <c r="D2408" s="31" t="s">
        <v>582</v>
      </c>
      <c r="E2408" s="30" t="s">
        <v>416</v>
      </c>
      <c r="F2408" s="32" t="n">
        <v>2</v>
      </c>
      <c r="G2408" s="33" t="n">
        <v>45861</v>
      </c>
      <c r="H2408" s="33" t="n">
        <v>45861</v>
      </c>
      <c r="I2408" s="31" t="s">
        <v>583</v>
      </c>
      <c r="J2408" s="30" t="s">
        <v>416</v>
      </c>
      <c r="K2408" s="31" t="s">
        <v>418</v>
      </c>
      <c r="L2408" s="32" t="n">
        <v>2</v>
      </c>
      <c r="M2408" s="39" t="s">
        <v>413</v>
      </c>
      <c r="N2408" s="31" t="s">
        <v>414</v>
      </c>
      <c r="O2408" s="32" t="n">
        <v>2</v>
      </c>
      <c r="P2408" s="15" t="n">
        <f aca="false">IF(A2408="","",IF(O2408&lt;&gt;"",O2408,IF(L2408&lt;&gt;"",L2408,F2408)))</f>
        <v>2</v>
      </c>
    </row>
    <row r="2409" customFormat="false" ht="15" hidden="false" customHeight="true" outlineLevel="0" collapsed="false">
      <c r="A2409" s="26" t="s">
        <v>285</v>
      </c>
      <c r="B2409" s="26"/>
      <c r="C2409" s="14" t="n">
        <f aca="false">IF(A2409="","",IFERROR(VLOOKUP(A2409,'Recert Status'!$A$8:$C$400,3,FALSE()),""))</f>
        <v>0</v>
      </c>
      <c r="D2409" s="18" t="s">
        <v>457</v>
      </c>
      <c r="E2409" s="26" t="s">
        <v>416</v>
      </c>
      <c r="F2409" s="27" t="n">
        <v>1</v>
      </c>
      <c r="G2409" s="28" t="n">
        <v>45897</v>
      </c>
      <c r="H2409" s="28" t="n">
        <v>45897</v>
      </c>
      <c r="I2409" s="18" t="s">
        <v>1193</v>
      </c>
      <c r="J2409" s="26" t="s">
        <v>416</v>
      </c>
      <c r="K2409" s="18" t="s">
        <v>485</v>
      </c>
      <c r="L2409" s="27" t="n">
        <v>1</v>
      </c>
      <c r="M2409" s="39" t="s">
        <v>413</v>
      </c>
      <c r="N2409" s="18" t="s">
        <v>414</v>
      </c>
      <c r="O2409" s="27" t="n">
        <v>1</v>
      </c>
      <c r="P2409" s="15" t="n">
        <f aca="false">IF(A2409="","",IF(O2409&lt;&gt;"",O2409,IF(L2409&lt;&gt;"",L2409,F2409)))</f>
        <v>1</v>
      </c>
    </row>
    <row r="2410" customFormat="false" ht="15" hidden="false" customHeight="true" outlineLevel="0" collapsed="false">
      <c r="A2410" s="30" t="s">
        <v>285</v>
      </c>
      <c r="B2410" s="30"/>
      <c r="C2410" s="21" t="n">
        <f aca="false">IF(A2410="","",IFERROR(VLOOKUP(A2410,'Recert Status'!$A$8:$C$400,3,FALSE()),""))</f>
        <v>0</v>
      </c>
      <c r="D2410" s="31" t="s">
        <v>959</v>
      </c>
      <c r="E2410" s="30" t="s">
        <v>416</v>
      </c>
      <c r="F2410" s="32" t="n">
        <v>1</v>
      </c>
      <c r="G2410" s="33" t="n">
        <v>45927</v>
      </c>
      <c r="H2410" s="33" t="n">
        <v>45927</v>
      </c>
      <c r="I2410" s="31" t="s">
        <v>1194</v>
      </c>
      <c r="J2410" s="30" t="s">
        <v>416</v>
      </c>
      <c r="K2410" s="31" t="s">
        <v>456</v>
      </c>
      <c r="L2410" s="32" t="n">
        <v>1</v>
      </c>
      <c r="M2410" s="39" t="s">
        <v>413</v>
      </c>
      <c r="N2410" s="31" t="s">
        <v>414</v>
      </c>
      <c r="O2410" s="32" t="n">
        <v>1</v>
      </c>
      <c r="P2410" s="15" t="n">
        <f aca="false">IF(A2410="","",IF(O2410&lt;&gt;"",O2410,IF(L2410&lt;&gt;"",L2410,F2410)))</f>
        <v>1</v>
      </c>
    </row>
    <row r="2411" customFormat="false" ht="15" hidden="false" customHeight="true" outlineLevel="0" collapsed="false">
      <c r="A2411" s="26" t="s">
        <v>285</v>
      </c>
      <c r="B2411" s="26"/>
      <c r="C2411" s="14" t="n">
        <f aca="false">IF(A2411="","",IFERROR(VLOOKUP(A2411,'Recert Status'!$A$8:$C$400,3,FALSE()),""))</f>
        <v>0</v>
      </c>
      <c r="D2411" s="18" t="s">
        <v>959</v>
      </c>
      <c r="E2411" s="26" t="s">
        <v>416</v>
      </c>
      <c r="F2411" s="27" t="n">
        <v>3</v>
      </c>
      <c r="G2411" s="28" t="n">
        <v>46083</v>
      </c>
      <c r="H2411" s="28" t="n">
        <v>46083</v>
      </c>
      <c r="I2411" s="18" t="s">
        <v>960</v>
      </c>
      <c r="J2411" s="26" t="s">
        <v>416</v>
      </c>
      <c r="K2411" s="18" t="s">
        <v>418</v>
      </c>
      <c r="L2411" s="27" t="n">
        <v>3</v>
      </c>
      <c r="M2411" s="39" t="s">
        <v>413</v>
      </c>
      <c r="N2411" s="18" t="s">
        <v>414</v>
      </c>
      <c r="O2411" s="27" t="n">
        <v>3</v>
      </c>
      <c r="P2411" s="15" t="n">
        <f aca="false">IF(A2411="","",IF(O2411&lt;&gt;"",O2411,IF(L2411&lt;&gt;"",L2411,F2411)))</f>
        <v>3</v>
      </c>
    </row>
    <row r="2412" customFormat="false" ht="15" hidden="false" customHeight="true" outlineLevel="0" collapsed="false">
      <c r="A2412" s="30" t="s">
        <v>285</v>
      </c>
      <c r="B2412" s="30"/>
      <c r="C2412" s="21" t="n">
        <f aca="false">IF(A2412="","",IFERROR(VLOOKUP(A2412,'Recert Status'!$A$8:$C$400,3,FALSE()),""))</f>
        <v>0</v>
      </c>
      <c r="D2412" s="31" t="s">
        <v>488</v>
      </c>
      <c r="E2412" s="30" t="s">
        <v>416</v>
      </c>
      <c r="F2412" s="32" t="n">
        <v>1</v>
      </c>
      <c r="G2412" s="33" t="n">
        <v>46125</v>
      </c>
      <c r="H2412" s="33" t="n">
        <v>46125</v>
      </c>
      <c r="I2412" s="31" t="s">
        <v>608</v>
      </c>
      <c r="J2412" s="30" t="s">
        <v>416</v>
      </c>
      <c r="K2412" s="31" t="s">
        <v>490</v>
      </c>
      <c r="L2412" s="32" t="n">
        <v>1</v>
      </c>
      <c r="M2412" s="39" t="s">
        <v>413</v>
      </c>
      <c r="N2412" s="31" t="s">
        <v>414</v>
      </c>
      <c r="O2412" s="32" t="n">
        <v>1</v>
      </c>
      <c r="P2412" s="15" t="n">
        <f aca="false">IF(A2412="","",IF(O2412&lt;&gt;"",O2412,IF(L2412&lt;&gt;"",L2412,F2412)))</f>
        <v>1</v>
      </c>
    </row>
    <row r="2413" customFormat="false" ht="15" hidden="false" customHeight="true" outlineLevel="0" collapsed="false">
      <c r="A2413" s="26" t="s">
        <v>286</v>
      </c>
      <c r="B2413" s="26" t="s">
        <v>287</v>
      </c>
      <c r="C2413" s="14" t="n">
        <f aca="false">IF(A2413="","",IFERROR(VLOOKUP(A2413,'Recert Status'!$A$8:$C$400,3,FALSE()),""))</f>
        <v>46752</v>
      </c>
      <c r="D2413" s="18" t="s">
        <v>1674</v>
      </c>
      <c r="E2413" s="26" t="n">
        <v>29740</v>
      </c>
      <c r="F2413" s="27" t="n">
        <v>16</v>
      </c>
      <c r="G2413" s="28" t="n">
        <v>45972</v>
      </c>
      <c r="H2413" s="28" t="n">
        <v>45973</v>
      </c>
      <c r="I2413" s="18" t="s">
        <v>897</v>
      </c>
      <c r="J2413" s="26" t="s">
        <v>394</v>
      </c>
      <c r="K2413" s="18" t="s">
        <v>1675</v>
      </c>
      <c r="L2413" s="27" t="n">
        <v>4</v>
      </c>
      <c r="M2413" s="29" t="s">
        <v>366</v>
      </c>
      <c r="N2413" s="18" t="s">
        <v>1676</v>
      </c>
      <c r="O2413" s="27" t="n">
        <v>16</v>
      </c>
      <c r="P2413" s="15" t="n">
        <f aca="false">IF(A2413="","",IF(O2413&lt;&gt;"",O2413,IF(L2413&lt;&gt;"",L2413,F2413)))</f>
        <v>16</v>
      </c>
    </row>
    <row r="2414" customFormat="false" ht="15" hidden="false" customHeight="true" outlineLevel="0" collapsed="false">
      <c r="A2414" s="30" t="s">
        <v>286</v>
      </c>
      <c r="B2414" s="30" t="s">
        <v>287</v>
      </c>
      <c r="C2414" s="21" t="n">
        <f aca="false">IF(A2414="","",IFERROR(VLOOKUP(A2414,'Recert Status'!$A$8:$C$400,3,FALSE()),""))</f>
        <v>46752</v>
      </c>
      <c r="D2414" s="31" t="s">
        <v>544</v>
      </c>
      <c r="E2414" s="30" t="s">
        <v>426</v>
      </c>
      <c r="F2414" s="32" t="n">
        <v>0.5</v>
      </c>
      <c r="G2414" s="33" t="n">
        <v>45676</v>
      </c>
      <c r="H2414" s="33" t="n">
        <v>45676</v>
      </c>
      <c r="I2414" s="31" t="s">
        <v>545</v>
      </c>
      <c r="J2414" s="30" t="s">
        <v>426</v>
      </c>
      <c r="K2414" s="31" t="s">
        <v>428</v>
      </c>
      <c r="L2414" s="32" t="n">
        <v>0.5</v>
      </c>
      <c r="M2414" s="41" t="s">
        <v>429</v>
      </c>
      <c r="N2414" s="31" t="s">
        <v>430</v>
      </c>
      <c r="O2414" s="32" t="n">
        <v>0.5</v>
      </c>
      <c r="P2414" s="15" t="n">
        <f aca="false">IF(A2414="","",IF(O2414&lt;&gt;"",O2414,IF(L2414&lt;&gt;"",L2414,F2414)))</f>
        <v>0.5</v>
      </c>
    </row>
    <row r="2415" customFormat="false" ht="15" hidden="false" customHeight="true" outlineLevel="0" collapsed="false">
      <c r="A2415" s="26" t="s">
        <v>286</v>
      </c>
      <c r="B2415" s="26" t="s">
        <v>287</v>
      </c>
      <c r="C2415" s="14" t="n">
        <f aca="false">IF(A2415="","",IFERROR(VLOOKUP(A2415,'Recert Status'!$A$8:$C$400,3,FALSE()),""))</f>
        <v>46752</v>
      </c>
      <c r="D2415" s="18" t="s">
        <v>977</v>
      </c>
      <c r="E2415" s="26" t="s">
        <v>426</v>
      </c>
      <c r="F2415" s="27" t="n">
        <v>2</v>
      </c>
      <c r="G2415" s="28" t="n">
        <v>45910</v>
      </c>
      <c r="H2415" s="28" t="n">
        <v>45910</v>
      </c>
      <c r="I2415" s="18" t="s">
        <v>978</v>
      </c>
      <c r="J2415" s="26" t="s">
        <v>426</v>
      </c>
      <c r="K2415" s="18" t="s">
        <v>495</v>
      </c>
      <c r="L2415" s="27" t="n">
        <v>2</v>
      </c>
      <c r="M2415" s="41" t="s">
        <v>429</v>
      </c>
      <c r="N2415" s="18" t="s">
        <v>430</v>
      </c>
      <c r="O2415" s="27" t="n">
        <v>2</v>
      </c>
      <c r="P2415" s="15" t="n">
        <f aca="false">IF(A2415="","",IF(O2415&lt;&gt;"",O2415,IF(L2415&lt;&gt;"",L2415,F2415)))</f>
        <v>2</v>
      </c>
    </row>
    <row r="2416" customFormat="false" ht="15" hidden="false" customHeight="true" outlineLevel="0" collapsed="false">
      <c r="A2416" s="30" t="s">
        <v>286</v>
      </c>
      <c r="B2416" s="30" t="s">
        <v>287</v>
      </c>
      <c r="C2416" s="21" t="n">
        <f aca="false">IF(A2416="","",IFERROR(VLOOKUP(A2416,'Recert Status'!$A$8:$C$400,3,FALSE()),""))</f>
        <v>46752</v>
      </c>
      <c r="D2416" s="31" t="s">
        <v>1674</v>
      </c>
      <c r="E2416" s="30" t="n">
        <v>29740</v>
      </c>
      <c r="F2416" s="32" t="n">
        <v>16</v>
      </c>
      <c r="G2416" s="33" t="n">
        <v>45972</v>
      </c>
      <c r="H2416" s="33" t="n">
        <v>45973</v>
      </c>
      <c r="I2416" s="31" t="s">
        <v>897</v>
      </c>
      <c r="J2416" s="30" t="s">
        <v>394</v>
      </c>
      <c r="K2416" s="31" t="s">
        <v>1675</v>
      </c>
      <c r="L2416" s="32" t="n">
        <v>4</v>
      </c>
      <c r="M2416" s="41" t="s">
        <v>429</v>
      </c>
      <c r="N2416" s="31" t="s">
        <v>1676</v>
      </c>
      <c r="O2416" s="32" t="n">
        <v>16</v>
      </c>
      <c r="P2416" s="15" t="n">
        <f aca="false">IF(A2416="","",IF(O2416&lt;&gt;"",O2416,IF(L2416&lt;&gt;"",L2416,F2416)))</f>
        <v>16</v>
      </c>
    </row>
    <row r="2417" customFormat="false" ht="15" hidden="false" customHeight="true" outlineLevel="0" collapsed="false">
      <c r="A2417" s="26" t="s">
        <v>286</v>
      </c>
      <c r="B2417" s="26" t="s">
        <v>287</v>
      </c>
      <c r="C2417" s="14" t="n">
        <f aca="false">IF(A2417="","",IFERROR(VLOOKUP(A2417,'Recert Status'!$A$8:$C$400,3,FALSE()),""))</f>
        <v>46752</v>
      </c>
      <c r="D2417" s="18" t="s">
        <v>437</v>
      </c>
      <c r="E2417" s="26" t="n">
        <v>29743</v>
      </c>
      <c r="F2417" s="27" t="n">
        <v>1</v>
      </c>
      <c r="G2417" s="28" t="n">
        <v>45833</v>
      </c>
      <c r="H2417" s="28" t="n">
        <v>45833</v>
      </c>
      <c r="I2417" s="18" t="s">
        <v>438</v>
      </c>
      <c r="J2417" s="26" t="s">
        <v>439</v>
      </c>
      <c r="K2417" s="18" t="s">
        <v>440</v>
      </c>
      <c r="L2417" s="27" t="n">
        <v>1</v>
      </c>
      <c r="M2417" s="35" t="s">
        <v>386</v>
      </c>
      <c r="N2417" s="18" t="s">
        <v>387</v>
      </c>
      <c r="O2417" s="27" t="n">
        <v>1</v>
      </c>
      <c r="P2417" s="15" t="n">
        <f aca="false">IF(A2417="","",IF(O2417&lt;&gt;"",O2417,IF(L2417&lt;&gt;"",L2417,F2417)))</f>
        <v>1</v>
      </c>
    </row>
    <row r="2418" customFormat="false" ht="15" hidden="false" customHeight="true" outlineLevel="0" collapsed="false">
      <c r="A2418" s="30" t="s">
        <v>286</v>
      </c>
      <c r="B2418" s="30" t="s">
        <v>287</v>
      </c>
      <c r="C2418" s="21" t="n">
        <f aca="false">IF(A2418="","",IFERROR(VLOOKUP(A2418,'Recert Status'!$A$8:$C$400,3,FALSE()),""))</f>
        <v>46752</v>
      </c>
      <c r="D2418" s="31" t="s">
        <v>441</v>
      </c>
      <c r="E2418" s="30" t="n">
        <v>29743</v>
      </c>
      <c r="F2418" s="32" t="n">
        <v>1</v>
      </c>
      <c r="G2418" s="33" t="n">
        <v>45833</v>
      </c>
      <c r="H2418" s="33" t="n">
        <v>45833</v>
      </c>
      <c r="I2418" s="31" t="s">
        <v>442</v>
      </c>
      <c r="J2418" s="30" t="s">
        <v>439</v>
      </c>
      <c r="K2418" s="31" t="s">
        <v>443</v>
      </c>
      <c r="L2418" s="32" t="n">
        <v>1</v>
      </c>
      <c r="M2418" s="35" t="s">
        <v>386</v>
      </c>
      <c r="N2418" s="31" t="s">
        <v>387</v>
      </c>
      <c r="O2418" s="32" t="n">
        <v>1</v>
      </c>
      <c r="P2418" s="15" t="n">
        <f aca="false">IF(A2418="","",IF(O2418&lt;&gt;"",O2418,IF(L2418&lt;&gt;"",L2418,F2418)))</f>
        <v>1</v>
      </c>
    </row>
    <row r="2419" customFormat="false" ht="15" hidden="false" customHeight="true" outlineLevel="0" collapsed="false">
      <c r="A2419" s="26" t="s">
        <v>286</v>
      </c>
      <c r="B2419" s="26" t="s">
        <v>287</v>
      </c>
      <c r="C2419" s="14" t="n">
        <f aca="false">IF(A2419="","",IFERROR(VLOOKUP(A2419,'Recert Status'!$A$8:$C$400,3,FALSE()),""))</f>
        <v>46752</v>
      </c>
      <c r="D2419" s="18" t="s">
        <v>1674</v>
      </c>
      <c r="E2419" s="26" t="n">
        <v>29740</v>
      </c>
      <c r="F2419" s="27" t="n">
        <v>16</v>
      </c>
      <c r="G2419" s="28" t="n">
        <v>45972</v>
      </c>
      <c r="H2419" s="28" t="n">
        <v>45973</v>
      </c>
      <c r="I2419" s="18" t="s">
        <v>897</v>
      </c>
      <c r="J2419" s="26" t="s">
        <v>394</v>
      </c>
      <c r="K2419" s="18" t="s">
        <v>1675</v>
      </c>
      <c r="L2419" s="27" t="n">
        <v>4</v>
      </c>
      <c r="M2419" s="35" t="s">
        <v>386</v>
      </c>
      <c r="N2419" s="18" t="s">
        <v>1676</v>
      </c>
      <c r="O2419" s="27" t="n">
        <v>16</v>
      </c>
      <c r="P2419" s="15" t="n">
        <f aca="false">IF(A2419="","",IF(O2419&lt;&gt;"",O2419,IF(L2419&lt;&gt;"",L2419,F2419)))</f>
        <v>16</v>
      </c>
    </row>
    <row r="2420" customFormat="false" ht="15" hidden="false" customHeight="true" outlineLevel="0" collapsed="false">
      <c r="A2420" s="30" t="s">
        <v>286</v>
      </c>
      <c r="B2420" s="30" t="s">
        <v>287</v>
      </c>
      <c r="C2420" s="21" t="n">
        <f aca="false">IF(A2420="","",IFERROR(VLOOKUP(A2420,'Recert Status'!$A$8:$C$400,3,FALSE()),""))</f>
        <v>46752</v>
      </c>
      <c r="D2420" s="31" t="s">
        <v>591</v>
      </c>
      <c r="E2420" s="30" t="n">
        <v>57435</v>
      </c>
      <c r="F2420" s="32" t="n">
        <v>0.5</v>
      </c>
      <c r="G2420" s="33" t="n">
        <v>45985</v>
      </c>
      <c r="H2420" s="33" t="n">
        <v>45985</v>
      </c>
      <c r="I2420" s="31" t="s">
        <v>592</v>
      </c>
      <c r="J2420" s="30" t="s">
        <v>593</v>
      </c>
      <c r="K2420" s="31" t="s">
        <v>446</v>
      </c>
      <c r="L2420" s="32" t="n">
        <v>0.5</v>
      </c>
      <c r="M2420" s="35" t="s">
        <v>386</v>
      </c>
      <c r="N2420" s="31" t="s">
        <v>387</v>
      </c>
      <c r="O2420" s="32" t="n">
        <v>0.5</v>
      </c>
      <c r="P2420" s="15" t="n">
        <f aca="false">IF(A2420="","",IF(O2420&lt;&gt;"",O2420,IF(L2420&lt;&gt;"",L2420,F2420)))</f>
        <v>0.5</v>
      </c>
    </row>
    <row r="2421" customFormat="false" ht="15" hidden="false" customHeight="true" outlineLevel="0" collapsed="false">
      <c r="A2421" s="26" t="s">
        <v>286</v>
      </c>
      <c r="B2421" s="26" t="s">
        <v>287</v>
      </c>
      <c r="C2421" s="14" t="n">
        <f aca="false">IF(A2421="","",IFERROR(VLOOKUP(A2421,'Recert Status'!$A$8:$C$400,3,FALSE()),""))</f>
        <v>46752</v>
      </c>
      <c r="D2421" s="18" t="s">
        <v>474</v>
      </c>
      <c r="E2421" s="26" t="s">
        <v>389</v>
      </c>
      <c r="F2421" s="27" t="n">
        <v>1</v>
      </c>
      <c r="G2421" s="28" t="n">
        <v>46204</v>
      </c>
      <c r="H2421" s="28" t="n">
        <v>46204</v>
      </c>
      <c r="I2421" s="18" t="s">
        <v>475</v>
      </c>
      <c r="J2421" s="26" t="s">
        <v>389</v>
      </c>
      <c r="K2421" s="18" t="s">
        <v>476</v>
      </c>
      <c r="L2421" s="27" t="n">
        <v>1</v>
      </c>
      <c r="M2421" s="35" t="s">
        <v>386</v>
      </c>
      <c r="N2421" s="18" t="s">
        <v>387</v>
      </c>
      <c r="O2421" s="27" t="n">
        <v>1</v>
      </c>
      <c r="P2421" s="15" t="n">
        <f aca="false">IF(A2421="","",IF(O2421&lt;&gt;"",O2421,IF(L2421&lt;&gt;"",L2421,F2421)))</f>
        <v>1</v>
      </c>
    </row>
    <row r="2422" customFormat="false" ht="15" hidden="false" customHeight="true" outlineLevel="0" collapsed="false">
      <c r="A2422" s="30" t="s">
        <v>286</v>
      </c>
      <c r="B2422" s="30" t="s">
        <v>287</v>
      </c>
      <c r="C2422" s="21" t="n">
        <f aca="false">IF(A2422="","",IFERROR(VLOOKUP(A2422,'Recert Status'!$A$8:$C$400,3,FALSE()),""))</f>
        <v>46752</v>
      </c>
      <c r="D2422" s="31" t="s">
        <v>387</v>
      </c>
      <c r="E2422" s="30" t="s">
        <v>389</v>
      </c>
      <c r="F2422" s="32" t="n">
        <v>1</v>
      </c>
      <c r="G2422" s="33" t="n">
        <v>46246</v>
      </c>
      <c r="H2422" s="33" t="n">
        <v>46246</v>
      </c>
      <c r="I2422" s="31" t="s">
        <v>1410</v>
      </c>
      <c r="J2422" s="30" t="s">
        <v>389</v>
      </c>
      <c r="K2422" s="31" t="s">
        <v>451</v>
      </c>
      <c r="L2422" s="32" t="n">
        <v>1</v>
      </c>
      <c r="M2422" s="35" t="s">
        <v>386</v>
      </c>
      <c r="N2422" s="31" t="s">
        <v>387</v>
      </c>
      <c r="O2422" s="32" t="n">
        <v>1</v>
      </c>
      <c r="P2422" s="15" t="n">
        <f aca="false">IF(A2422="","",IF(O2422&lt;&gt;"",O2422,IF(L2422&lt;&gt;"",L2422,F2422)))</f>
        <v>1</v>
      </c>
    </row>
    <row r="2423" customFormat="false" ht="15" hidden="false" customHeight="true" outlineLevel="0" collapsed="false">
      <c r="A2423" s="26" t="s">
        <v>286</v>
      </c>
      <c r="B2423" s="26" t="s">
        <v>287</v>
      </c>
      <c r="C2423" s="14" t="n">
        <f aca="false">IF(A2423="","",IFERROR(VLOOKUP(A2423,'Recert Status'!$A$8:$C$400,3,FALSE()),""))</f>
        <v>46752</v>
      </c>
      <c r="D2423" s="18" t="s">
        <v>557</v>
      </c>
      <c r="E2423" s="26" t="n">
        <v>35513</v>
      </c>
      <c r="F2423" s="27" t="n">
        <v>1</v>
      </c>
      <c r="G2423" s="28" t="n">
        <v>45688</v>
      </c>
      <c r="H2423" s="28" t="n">
        <v>45688</v>
      </c>
      <c r="I2423" s="18" t="s">
        <v>558</v>
      </c>
      <c r="J2423" s="26" t="s">
        <v>384</v>
      </c>
      <c r="K2423" s="18" t="s">
        <v>407</v>
      </c>
      <c r="L2423" s="27" t="n">
        <v>1</v>
      </c>
      <c r="M2423" s="36" t="s">
        <v>396</v>
      </c>
      <c r="N2423" s="18" t="s">
        <v>397</v>
      </c>
      <c r="O2423" s="27" t="n">
        <v>1</v>
      </c>
      <c r="P2423" s="15" t="n">
        <f aca="false">IF(A2423="","",IF(O2423&lt;&gt;"",O2423,IF(L2423&lt;&gt;"",L2423,F2423)))</f>
        <v>1</v>
      </c>
    </row>
    <row r="2424" customFormat="false" ht="15" hidden="false" customHeight="true" outlineLevel="0" collapsed="false">
      <c r="A2424" s="30" t="s">
        <v>286</v>
      </c>
      <c r="B2424" s="30" t="s">
        <v>287</v>
      </c>
      <c r="C2424" s="21" t="n">
        <f aca="false">IF(A2424="","",IFERROR(VLOOKUP(A2424,'Recert Status'!$A$8:$C$400,3,FALSE()),""))</f>
        <v>46752</v>
      </c>
      <c r="D2424" s="31" t="s">
        <v>397</v>
      </c>
      <c r="E2424" s="30" t="s">
        <v>452</v>
      </c>
      <c r="F2424" s="32" t="n">
        <v>1</v>
      </c>
      <c r="G2424" s="33" t="n">
        <v>46246</v>
      </c>
      <c r="H2424" s="33" t="n">
        <v>46246</v>
      </c>
      <c r="I2424" s="31" t="s">
        <v>478</v>
      </c>
      <c r="J2424" s="30" t="s">
        <v>452</v>
      </c>
      <c r="K2424" s="31" t="s">
        <v>385</v>
      </c>
      <c r="L2424" s="32" t="n">
        <v>1</v>
      </c>
      <c r="M2424" s="36" t="s">
        <v>396</v>
      </c>
      <c r="N2424" s="31" t="s">
        <v>397</v>
      </c>
      <c r="O2424" s="32" t="n">
        <v>1</v>
      </c>
      <c r="P2424" s="15" t="n">
        <f aca="false">IF(A2424="","",IF(O2424&lt;&gt;"",O2424,IF(L2424&lt;&gt;"",L2424,F2424)))</f>
        <v>1</v>
      </c>
    </row>
    <row r="2425" customFormat="false" ht="15" hidden="false" customHeight="true" outlineLevel="0" collapsed="false">
      <c r="A2425" s="26" t="s">
        <v>286</v>
      </c>
      <c r="B2425" s="26" t="s">
        <v>287</v>
      </c>
      <c r="C2425" s="14" t="n">
        <f aca="false">IF(A2425="","",IFERROR(VLOOKUP(A2425,'Recert Status'!$A$8:$C$400,3,FALSE()),""))</f>
        <v>46752</v>
      </c>
      <c r="D2425" s="18" t="s">
        <v>397</v>
      </c>
      <c r="E2425" s="26" t="s">
        <v>452</v>
      </c>
      <c r="F2425" s="27" t="n">
        <v>1</v>
      </c>
      <c r="G2425" s="28" t="n">
        <v>46292</v>
      </c>
      <c r="H2425" s="28" t="n">
        <v>46292</v>
      </c>
      <c r="I2425" s="18" t="s">
        <v>1233</v>
      </c>
      <c r="J2425" s="26" t="s">
        <v>452</v>
      </c>
      <c r="K2425" s="18" t="s">
        <v>385</v>
      </c>
      <c r="L2425" s="27" t="n">
        <v>1</v>
      </c>
      <c r="M2425" s="36" t="s">
        <v>396</v>
      </c>
      <c r="N2425" s="18" t="s">
        <v>397</v>
      </c>
      <c r="O2425" s="27" t="n">
        <v>1</v>
      </c>
      <c r="P2425" s="15" t="n">
        <f aca="false">IF(A2425="","",IF(O2425&lt;&gt;"",O2425,IF(L2425&lt;&gt;"",L2425,F2425)))</f>
        <v>1</v>
      </c>
    </row>
    <row r="2426" customFormat="false" ht="15" hidden="false" customHeight="true" outlineLevel="0" collapsed="false">
      <c r="A2426" s="30" t="s">
        <v>286</v>
      </c>
      <c r="B2426" s="30" t="s">
        <v>287</v>
      </c>
      <c r="C2426" s="21" t="n">
        <f aca="false">IF(A2426="","",IFERROR(VLOOKUP(A2426,'Recert Status'!$A$8:$C$400,3,FALSE()),""))</f>
        <v>46752</v>
      </c>
      <c r="D2426" s="31" t="s">
        <v>870</v>
      </c>
      <c r="E2426" s="30" t="s">
        <v>399</v>
      </c>
      <c r="F2426" s="32" t="n">
        <v>1</v>
      </c>
      <c r="G2426" s="33" t="n">
        <v>45847</v>
      </c>
      <c r="H2426" s="33" t="n">
        <v>45847</v>
      </c>
      <c r="I2426" s="31" t="s">
        <v>1677</v>
      </c>
      <c r="J2426" s="30" t="s">
        <v>399</v>
      </c>
      <c r="K2426" s="31" t="s">
        <v>401</v>
      </c>
      <c r="L2426" s="32" t="n">
        <v>1</v>
      </c>
      <c r="M2426" s="37" t="s">
        <v>402</v>
      </c>
      <c r="N2426" s="31" t="s">
        <v>403</v>
      </c>
      <c r="O2426" s="32" t="n">
        <v>1</v>
      </c>
      <c r="P2426" s="15" t="n">
        <f aca="false">IF(A2426="","",IF(O2426&lt;&gt;"",O2426,IF(L2426&lt;&gt;"",L2426,F2426)))</f>
        <v>1</v>
      </c>
    </row>
    <row r="2427" customFormat="false" ht="15" hidden="false" customHeight="true" outlineLevel="0" collapsed="false">
      <c r="A2427" s="26" t="s">
        <v>286</v>
      </c>
      <c r="B2427" s="26" t="s">
        <v>287</v>
      </c>
      <c r="C2427" s="14" t="n">
        <f aca="false">IF(A2427="","",IFERROR(VLOOKUP(A2427,'Recert Status'!$A$8:$C$400,3,FALSE()),""))</f>
        <v>46752</v>
      </c>
      <c r="D2427" s="18" t="s">
        <v>415</v>
      </c>
      <c r="E2427" s="26" t="s">
        <v>416</v>
      </c>
      <c r="F2427" s="27" t="n">
        <v>1</v>
      </c>
      <c r="G2427" s="28" t="n">
        <v>45826</v>
      </c>
      <c r="H2427" s="28" t="n">
        <v>45826</v>
      </c>
      <c r="I2427" s="18" t="s">
        <v>1234</v>
      </c>
      <c r="J2427" s="26" t="s">
        <v>416</v>
      </c>
      <c r="K2427" s="18" t="s">
        <v>418</v>
      </c>
      <c r="L2427" s="27" t="n">
        <v>1</v>
      </c>
      <c r="M2427" s="39" t="s">
        <v>413</v>
      </c>
      <c r="N2427" s="18" t="s">
        <v>414</v>
      </c>
      <c r="O2427" s="27" t="n">
        <v>1</v>
      </c>
      <c r="P2427" s="15" t="n">
        <f aca="false">IF(A2427="","",IF(O2427&lt;&gt;"",O2427,IF(L2427&lt;&gt;"",L2427,F2427)))</f>
        <v>1</v>
      </c>
    </row>
    <row r="2428" customFormat="false" ht="15" hidden="false" customHeight="true" outlineLevel="0" collapsed="false">
      <c r="A2428" s="30" t="s">
        <v>286</v>
      </c>
      <c r="B2428" s="30" t="s">
        <v>287</v>
      </c>
      <c r="C2428" s="21" t="n">
        <f aca="false">IF(A2428="","",IFERROR(VLOOKUP(A2428,'Recert Status'!$A$8:$C$400,3,FALSE()),""))</f>
        <v>46752</v>
      </c>
      <c r="D2428" s="31" t="s">
        <v>486</v>
      </c>
      <c r="E2428" s="30" t="s">
        <v>416</v>
      </c>
      <c r="F2428" s="32" t="n">
        <v>2</v>
      </c>
      <c r="G2428" s="33" t="n">
        <v>45859</v>
      </c>
      <c r="H2428" s="33" t="n">
        <v>45859</v>
      </c>
      <c r="I2428" s="31" t="s">
        <v>487</v>
      </c>
      <c r="J2428" s="30" t="s">
        <v>416</v>
      </c>
      <c r="K2428" s="31" t="s">
        <v>418</v>
      </c>
      <c r="L2428" s="32" t="n">
        <v>2</v>
      </c>
      <c r="M2428" s="39" t="s">
        <v>413</v>
      </c>
      <c r="N2428" s="31" t="s">
        <v>414</v>
      </c>
      <c r="O2428" s="32" t="n">
        <v>2</v>
      </c>
      <c r="P2428" s="15" t="n">
        <f aca="false">IF(A2428="","",IF(O2428&lt;&gt;"",O2428,IF(L2428&lt;&gt;"",L2428,F2428)))</f>
        <v>2</v>
      </c>
    </row>
    <row r="2429" customFormat="false" ht="15" hidden="false" customHeight="true" outlineLevel="0" collapsed="false">
      <c r="A2429" s="26" t="s">
        <v>286</v>
      </c>
      <c r="B2429" s="26" t="s">
        <v>287</v>
      </c>
      <c r="C2429" s="14" t="n">
        <f aca="false">IF(A2429="","",IFERROR(VLOOKUP(A2429,'Recert Status'!$A$8:$C$400,3,FALSE()),""))</f>
        <v>46752</v>
      </c>
      <c r="D2429" s="18" t="s">
        <v>1678</v>
      </c>
      <c r="E2429" s="26" t="n">
        <v>29737</v>
      </c>
      <c r="F2429" s="27" t="n">
        <v>1</v>
      </c>
      <c r="G2429" s="28" t="n">
        <v>45971</v>
      </c>
      <c r="H2429" s="28" t="n">
        <v>45971</v>
      </c>
      <c r="I2429" s="18" t="s">
        <v>1679</v>
      </c>
      <c r="J2429" s="26" t="s">
        <v>411</v>
      </c>
      <c r="K2429" s="18" t="s">
        <v>412</v>
      </c>
      <c r="L2429" s="27" t="n">
        <v>1</v>
      </c>
      <c r="M2429" s="39" t="s">
        <v>413</v>
      </c>
      <c r="N2429" s="18" t="s">
        <v>414</v>
      </c>
      <c r="O2429" s="27" t="n">
        <v>1</v>
      </c>
      <c r="P2429" s="15" t="n">
        <f aca="false">IF(A2429="","",IF(O2429&lt;&gt;"",O2429,IF(L2429&lt;&gt;"",L2429,F2429)))</f>
        <v>1</v>
      </c>
    </row>
    <row r="2430" customFormat="false" ht="15" hidden="false" customHeight="true" outlineLevel="0" collapsed="false">
      <c r="A2430" s="30" t="s">
        <v>286</v>
      </c>
      <c r="B2430" s="30" t="s">
        <v>287</v>
      </c>
      <c r="C2430" s="21" t="n">
        <f aca="false">IF(A2430="","",IFERROR(VLOOKUP(A2430,'Recert Status'!$A$8:$C$400,3,FALSE()),""))</f>
        <v>46752</v>
      </c>
      <c r="D2430" s="31" t="s">
        <v>1674</v>
      </c>
      <c r="E2430" s="30" t="n">
        <v>29740</v>
      </c>
      <c r="F2430" s="32" t="n">
        <v>16</v>
      </c>
      <c r="G2430" s="33" t="n">
        <v>45972</v>
      </c>
      <c r="H2430" s="33" t="n">
        <v>45973</v>
      </c>
      <c r="I2430" s="31" t="s">
        <v>897</v>
      </c>
      <c r="J2430" s="30" t="s">
        <v>394</v>
      </c>
      <c r="K2430" s="31" t="s">
        <v>1675</v>
      </c>
      <c r="L2430" s="32" t="n">
        <v>4</v>
      </c>
      <c r="M2430" s="39" t="s">
        <v>413</v>
      </c>
      <c r="N2430" s="31" t="s">
        <v>1676</v>
      </c>
      <c r="O2430" s="32" t="n">
        <v>16</v>
      </c>
      <c r="P2430" s="15" t="n">
        <f aca="false">IF(A2430="","",IF(O2430&lt;&gt;"",O2430,IF(L2430&lt;&gt;"",L2430,F2430)))</f>
        <v>16</v>
      </c>
    </row>
    <row r="2431" customFormat="false" ht="15" hidden="false" customHeight="true" outlineLevel="0" collapsed="false">
      <c r="A2431" s="26" t="s">
        <v>286</v>
      </c>
      <c r="B2431" s="26" t="s">
        <v>287</v>
      </c>
      <c r="C2431" s="14" t="n">
        <f aca="false">IF(A2431="","",IFERROR(VLOOKUP(A2431,'Recert Status'!$A$8:$C$400,3,FALSE()),""))</f>
        <v>46752</v>
      </c>
      <c r="D2431" s="18" t="s">
        <v>488</v>
      </c>
      <c r="E2431" s="26" t="s">
        <v>416</v>
      </c>
      <c r="F2431" s="27" t="n">
        <v>1</v>
      </c>
      <c r="G2431" s="28" t="n">
        <v>46126</v>
      </c>
      <c r="H2431" s="28" t="n">
        <v>46126</v>
      </c>
      <c r="I2431" s="18" t="s">
        <v>489</v>
      </c>
      <c r="J2431" s="26" t="s">
        <v>416</v>
      </c>
      <c r="K2431" s="18" t="s">
        <v>490</v>
      </c>
      <c r="L2431" s="27" t="n">
        <v>1</v>
      </c>
      <c r="M2431" s="39" t="s">
        <v>413</v>
      </c>
      <c r="N2431" s="18" t="s">
        <v>414</v>
      </c>
      <c r="O2431" s="27" t="n">
        <v>1</v>
      </c>
      <c r="P2431" s="15" t="n">
        <f aca="false">IF(A2431="","",IF(O2431&lt;&gt;"",O2431,IF(L2431&lt;&gt;"",L2431,F2431)))</f>
        <v>1</v>
      </c>
    </row>
    <row r="2432" customFormat="false" ht="15" hidden="false" customHeight="true" outlineLevel="0" collapsed="false">
      <c r="A2432" s="30" t="s">
        <v>288</v>
      </c>
      <c r="B2432" s="30" t="s">
        <v>289</v>
      </c>
      <c r="C2432" s="21" t="n">
        <f aca="false">IF(A2432="","",IFERROR(VLOOKUP(A2432,'Recert Status'!$A$8:$C$400,3,FALSE()),""))</f>
        <v>46752</v>
      </c>
      <c r="D2432" s="31" t="s">
        <v>619</v>
      </c>
      <c r="E2432" s="30" t="n">
        <v>29675</v>
      </c>
      <c r="F2432" s="32" t="n">
        <v>0.5</v>
      </c>
      <c r="G2432" s="33" t="n">
        <v>45762</v>
      </c>
      <c r="H2432" s="33" t="n">
        <v>45762</v>
      </c>
      <c r="I2432" s="31" t="s">
        <v>620</v>
      </c>
      <c r="J2432" s="30" t="s">
        <v>406</v>
      </c>
      <c r="K2432" s="31" t="s">
        <v>370</v>
      </c>
      <c r="L2432" s="32" t="n">
        <v>0.5</v>
      </c>
      <c r="M2432" s="29" t="s">
        <v>366</v>
      </c>
      <c r="N2432" s="31" t="s">
        <v>367</v>
      </c>
      <c r="O2432" s="32" t="n">
        <v>0.5</v>
      </c>
      <c r="P2432" s="15" t="n">
        <f aca="false">IF(A2432="","",IF(O2432&lt;&gt;"",O2432,IF(L2432&lt;&gt;"",L2432,F2432)))</f>
        <v>0.5</v>
      </c>
    </row>
    <row r="2433" customFormat="false" ht="15" hidden="false" customHeight="true" outlineLevel="0" collapsed="false">
      <c r="A2433" s="26" t="s">
        <v>288</v>
      </c>
      <c r="B2433" s="26" t="s">
        <v>289</v>
      </c>
      <c r="C2433" s="14" t="n">
        <f aca="false">IF(A2433="","",IFERROR(VLOOKUP(A2433,'Recert Status'!$A$8:$C$400,3,FALSE()),""))</f>
        <v>46752</v>
      </c>
      <c r="D2433" s="18" t="s">
        <v>621</v>
      </c>
      <c r="E2433" s="26" t="n">
        <v>29740</v>
      </c>
      <c r="F2433" s="27" t="n">
        <v>0.5</v>
      </c>
      <c r="G2433" s="28" t="n">
        <v>45783</v>
      </c>
      <c r="H2433" s="28" t="n">
        <v>45783</v>
      </c>
      <c r="I2433" s="18" t="s">
        <v>622</v>
      </c>
      <c r="J2433" s="26" t="s">
        <v>394</v>
      </c>
      <c r="K2433" s="18" t="s">
        <v>365</v>
      </c>
      <c r="L2433" s="27" t="n">
        <v>0.5</v>
      </c>
      <c r="M2433" s="29" t="s">
        <v>366</v>
      </c>
      <c r="N2433" s="18" t="s">
        <v>367</v>
      </c>
      <c r="O2433" s="27" t="n">
        <v>0.5</v>
      </c>
      <c r="P2433" s="15" t="n">
        <f aca="false">IF(A2433="","",IF(O2433&lt;&gt;"",O2433,IF(L2433&lt;&gt;"",L2433,F2433)))</f>
        <v>0.5</v>
      </c>
    </row>
    <row r="2434" customFormat="false" ht="15" hidden="false" customHeight="true" outlineLevel="0" collapsed="false">
      <c r="A2434" s="30" t="s">
        <v>288</v>
      </c>
      <c r="B2434" s="30" t="s">
        <v>289</v>
      </c>
      <c r="C2434" s="21" t="n">
        <f aca="false">IF(A2434="","",IFERROR(VLOOKUP(A2434,'Recert Status'!$A$8:$C$400,3,FALSE()),""))</f>
        <v>46752</v>
      </c>
      <c r="D2434" s="31" t="s">
        <v>362</v>
      </c>
      <c r="E2434" s="30" t="s">
        <v>363</v>
      </c>
      <c r="F2434" s="32" t="n">
        <v>1</v>
      </c>
      <c r="G2434" s="33" t="n">
        <v>45832</v>
      </c>
      <c r="H2434" s="33" t="n">
        <v>45832</v>
      </c>
      <c r="I2434" s="31" t="s">
        <v>461</v>
      </c>
      <c r="J2434" s="30" t="s">
        <v>363</v>
      </c>
      <c r="K2434" s="31" t="s">
        <v>365</v>
      </c>
      <c r="L2434" s="32" t="n">
        <v>1</v>
      </c>
      <c r="M2434" s="29" t="s">
        <v>366</v>
      </c>
      <c r="N2434" s="31" t="s">
        <v>367</v>
      </c>
      <c r="O2434" s="32" t="n">
        <v>1</v>
      </c>
      <c r="P2434" s="15" t="n">
        <f aca="false">IF(A2434="","",IF(O2434&lt;&gt;"",O2434,IF(L2434&lt;&gt;"",L2434,F2434)))</f>
        <v>1</v>
      </c>
    </row>
    <row r="2435" customFormat="false" ht="15" hidden="false" customHeight="true" outlineLevel="0" collapsed="false">
      <c r="A2435" s="26" t="s">
        <v>288</v>
      </c>
      <c r="B2435" s="26" t="s">
        <v>289</v>
      </c>
      <c r="C2435" s="14" t="n">
        <f aca="false">IF(A2435="","",IFERROR(VLOOKUP(A2435,'Recert Status'!$A$8:$C$400,3,FALSE()),""))</f>
        <v>46752</v>
      </c>
      <c r="D2435" s="18" t="s">
        <v>628</v>
      </c>
      <c r="E2435" s="26" t="n">
        <v>29675</v>
      </c>
      <c r="F2435" s="27" t="n">
        <v>0.5</v>
      </c>
      <c r="G2435" s="28" t="n">
        <v>45951</v>
      </c>
      <c r="H2435" s="28" t="n">
        <v>45951</v>
      </c>
      <c r="I2435" s="18" t="s">
        <v>629</v>
      </c>
      <c r="J2435" s="26" t="s">
        <v>406</v>
      </c>
      <c r="K2435" s="18" t="s">
        <v>630</v>
      </c>
      <c r="L2435" s="27" t="n">
        <v>0.5</v>
      </c>
      <c r="M2435" s="29" t="s">
        <v>366</v>
      </c>
      <c r="N2435" s="18" t="s">
        <v>367</v>
      </c>
      <c r="O2435" s="27" t="n">
        <v>0.5</v>
      </c>
      <c r="P2435" s="15" t="n">
        <f aca="false">IF(A2435="","",IF(O2435&lt;&gt;"",O2435,IF(L2435&lt;&gt;"",L2435,F2435)))</f>
        <v>0.5</v>
      </c>
    </row>
    <row r="2436" customFormat="false" ht="15" hidden="false" customHeight="true" outlineLevel="0" collapsed="false">
      <c r="A2436" s="30" t="s">
        <v>288</v>
      </c>
      <c r="B2436" s="30" t="s">
        <v>289</v>
      </c>
      <c r="C2436" s="21" t="n">
        <f aca="false">IF(A2436="","",IFERROR(VLOOKUP(A2436,'Recert Status'!$A$8:$C$400,3,FALSE()),""))</f>
        <v>46752</v>
      </c>
      <c r="D2436" s="31" t="s">
        <v>632</v>
      </c>
      <c r="E2436" s="30" t="n">
        <v>29675</v>
      </c>
      <c r="F2436" s="32" t="n">
        <v>0.5</v>
      </c>
      <c r="G2436" s="33" t="n">
        <v>45855</v>
      </c>
      <c r="H2436" s="33" t="n">
        <v>45855</v>
      </c>
      <c r="I2436" s="31" t="s">
        <v>633</v>
      </c>
      <c r="J2436" s="30" t="s">
        <v>406</v>
      </c>
      <c r="K2436" s="31" t="s">
        <v>422</v>
      </c>
      <c r="L2436" s="32" t="n">
        <v>0.5</v>
      </c>
      <c r="M2436" s="40" t="s">
        <v>423</v>
      </c>
      <c r="N2436" s="31" t="s">
        <v>424</v>
      </c>
      <c r="O2436" s="32" t="n">
        <v>0.5</v>
      </c>
      <c r="P2436" s="15" t="n">
        <f aca="false">IF(A2436="","",IF(O2436&lt;&gt;"",O2436,IF(L2436&lt;&gt;"",L2436,F2436)))</f>
        <v>0.5</v>
      </c>
    </row>
    <row r="2437" customFormat="false" ht="15" hidden="false" customHeight="true" outlineLevel="0" collapsed="false">
      <c r="A2437" s="26" t="s">
        <v>288</v>
      </c>
      <c r="B2437" s="26" t="s">
        <v>289</v>
      </c>
      <c r="C2437" s="14" t="n">
        <f aca="false">IF(A2437="","",IFERROR(VLOOKUP(A2437,'Recert Status'!$A$8:$C$400,3,FALSE()),""))</f>
        <v>46752</v>
      </c>
      <c r="D2437" s="18" t="s">
        <v>569</v>
      </c>
      <c r="E2437" s="26" t="n">
        <v>57433</v>
      </c>
      <c r="F2437" s="27" t="n">
        <v>1</v>
      </c>
      <c r="G2437" s="28" t="n">
        <v>46017</v>
      </c>
      <c r="H2437" s="28" t="n">
        <v>46017</v>
      </c>
      <c r="I2437" s="18" t="s">
        <v>570</v>
      </c>
      <c r="J2437" s="26" t="s">
        <v>421</v>
      </c>
      <c r="K2437" s="18" t="s">
        <v>428</v>
      </c>
      <c r="L2437" s="27" t="n">
        <v>1</v>
      </c>
      <c r="M2437" s="40" t="s">
        <v>423</v>
      </c>
      <c r="N2437" s="18" t="s">
        <v>514</v>
      </c>
      <c r="O2437" s="27" t="n">
        <v>1</v>
      </c>
      <c r="P2437" s="15" t="n">
        <f aca="false">IF(A2437="","",IF(O2437&lt;&gt;"",O2437,IF(L2437&lt;&gt;"",L2437,F2437)))</f>
        <v>1</v>
      </c>
    </row>
    <row r="2438" customFormat="false" ht="15" hidden="false" customHeight="true" outlineLevel="0" collapsed="false">
      <c r="A2438" s="30" t="s">
        <v>288</v>
      </c>
      <c r="B2438" s="30" t="s">
        <v>289</v>
      </c>
      <c r="C2438" s="21" t="n">
        <f aca="false">IF(A2438="","",IFERROR(VLOOKUP(A2438,'Recert Status'!$A$8:$C$400,3,FALSE()),""))</f>
        <v>46752</v>
      </c>
      <c r="D2438" s="31" t="s">
        <v>814</v>
      </c>
      <c r="E2438" s="30" t="s">
        <v>426</v>
      </c>
      <c r="F2438" s="32" t="n">
        <v>2</v>
      </c>
      <c r="G2438" s="33" t="n">
        <v>45912</v>
      </c>
      <c r="H2438" s="33" t="n">
        <v>45912</v>
      </c>
      <c r="I2438" s="31" t="s">
        <v>815</v>
      </c>
      <c r="J2438" s="30" t="s">
        <v>426</v>
      </c>
      <c r="K2438" s="31" t="s">
        <v>428</v>
      </c>
      <c r="L2438" s="32" t="n">
        <v>2</v>
      </c>
      <c r="M2438" s="41" t="s">
        <v>429</v>
      </c>
      <c r="N2438" s="31" t="s">
        <v>430</v>
      </c>
      <c r="O2438" s="32" t="n">
        <v>2</v>
      </c>
      <c r="P2438" s="15" t="n">
        <f aca="false">IF(A2438="","",IF(O2438&lt;&gt;"",O2438,IF(L2438&lt;&gt;"",L2438,F2438)))</f>
        <v>2</v>
      </c>
    </row>
    <row r="2439" customFormat="false" ht="15" hidden="false" customHeight="true" outlineLevel="0" collapsed="false">
      <c r="A2439" s="26" t="s">
        <v>288</v>
      </c>
      <c r="B2439" s="26" t="s">
        <v>289</v>
      </c>
      <c r="C2439" s="14" t="n">
        <f aca="false">IF(A2439="","",IFERROR(VLOOKUP(A2439,'Recert Status'!$A$8:$C$400,3,FALSE()),""))</f>
        <v>46752</v>
      </c>
      <c r="D2439" s="18" t="s">
        <v>640</v>
      </c>
      <c r="E2439" s="26" t="n">
        <v>29740</v>
      </c>
      <c r="F2439" s="27" t="n">
        <v>0.5</v>
      </c>
      <c r="G2439" s="28" t="n">
        <v>45678</v>
      </c>
      <c r="H2439" s="28" t="n">
        <v>45678</v>
      </c>
      <c r="I2439" s="18" t="s">
        <v>641</v>
      </c>
      <c r="J2439" s="26" t="s">
        <v>394</v>
      </c>
      <c r="K2439" s="18" t="s">
        <v>476</v>
      </c>
      <c r="L2439" s="27" t="n">
        <v>0.5</v>
      </c>
      <c r="M2439" s="35" t="s">
        <v>386</v>
      </c>
      <c r="N2439" s="18" t="s">
        <v>387</v>
      </c>
      <c r="O2439" s="27" t="n">
        <v>0.5</v>
      </c>
      <c r="P2439" s="15" t="n">
        <f aca="false">IF(A2439="","",IF(O2439&lt;&gt;"",O2439,IF(L2439&lt;&gt;"",L2439,F2439)))</f>
        <v>0.5</v>
      </c>
    </row>
    <row r="2440" customFormat="false" ht="15" hidden="false" customHeight="true" outlineLevel="0" collapsed="false">
      <c r="A2440" s="30" t="s">
        <v>288</v>
      </c>
      <c r="B2440" s="30" t="s">
        <v>289</v>
      </c>
      <c r="C2440" s="21" t="n">
        <f aca="false">IF(A2440="","",IFERROR(VLOOKUP(A2440,'Recert Status'!$A$8:$C$400,3,FALSE()),""))</f>
        <v>46752</v>
      </c>
      <c r="D2440" s="31" t="s">
        <v>642</v>
      </c>
      <c r="E2440" s="30" t="n">
        <v>29675</v>
      </c>
      <c r="F2440" s="32" t="n">
        <v>0.5</v>
      </c>
      <c r="G2440" s="33" t="n">
        <v>45762</v>
      </c>
      <c r="H2440" s="33" t="n">
        <v>45762</v>
      </c>
      <c r="I2440" s="31" t="s">
        <v>643</v>
      </c>
      <c r="J2440" s="30" t="s">
        <v>406</v>
      </c>
      <c r="K2440" s="31" t="s">
        <v>395</v>
      </c>
      <c r="L2440" s="32" t="n">
        <v>0.5</v>
      </c>
      <c r="M2440" s="35" t="s">
        <v>386</v>
      </c>
      <c r="N2440" s="31" t="s">
        <v>387</v>
      </c>
      <c r="O2440" s="32" t="n">
        <v>0.5</v>
      </c>
      <c r="P2440" s="15" t="n">
        <f aca="false">IF(A2440="","",IF(O2440&lt;&gt;"",O2440,IF(L2440&lt;&gt;"",L2440,F2440)))</f>
        <v>0.5</v>
      </c>
    </row>
    <row r="2441" customFormat="false" ht="15" hidden="false" customHeight="true" outlineLevel="0" collapsed="false">
      <c r="A2441" s="26" t="s">
        <v>288</v>
      </c>
      <c r="B2441" s="26" t="s">
        <v>289</v>
      </c>
      <c r="C2441" s="14" t="n">
        <f aca="false">IF(A2441="","",IFERROR(VLOOKUP(A2441,'Recert Status'!$A$8:$C$400,3,FALSE()),""))</f>
        <v>46752</v>
      </c>
      <c r="D2441" s="18" t="s">
        <v>647</v>
      </c>
      <c r="E2441" s="26" t="n">
        <v>29675</v>
      </c>
      <c r="F2441" s="27" t="n">
        <v>1</v>
      </c>
      <c r="G2441" s="28" t="n">
        <v>45840</v>
      </c>
      <c r="H2441" s="28" t="n">
        <v>45840</v>
      </c>
      <c r="I2441" s="18" t="s">
        <v>648</v>
      </c>
      <c r="J2441" s="26" t="s">
        <v>406</v>
      </c>
      <c r="K2441" s="18" t="s">
        <v>385</v>
      </c>
      <c r="L2441" s="27" t="n">
        <v>1</v>
      </c>
      <c r="M2441" s="35" t="s">
        <v>386</v>
      </c>
      <c r="N2441" s="18" t="s">
        <v>387</v>
      </c>
      <c r="O2441" s="27" t="n">
        <v>1</v>
      </c>
      <c r="P2441" s="15" t="n">
        <f aca="false">IF(A2441="","",IF(O2441&lt;&gt;"",O2441,IF(L2441&lt;&gt;"",L2441,F2441)))</f>
        <v>1</v>
      </c>
    </row>
    <row r="2442" customFormat="false" ht="15" hidden="false" customHeight="true" outlineLevel="0" collapsed="false">
      <c r="A2442" s="30" t="s">
        <v>288</v>
      </c>
      <c r="B2442" s="30" t="s">
        <v>289</v>
      </c>
      <c r="C2442" s="21" t="n">
        <f aca="false">IF(A2442="","",IFERROR(VLOOKUP(A2442,'Recert Status'!$A$8:$C$400,3,FALSE()),""))</f>
        <v>46752</v>
      </c>
      <c r="D2442" s="31" t="s">
        <v>649</v>
      </c>
      <c r="E2442" s="30" t="s">
        <v>363</v>
      </c>
      <c r="F2442" s="32" t="n">
        <v>1</v>
      </c>
      <c r="G2442" s="33" t="n">
        <v>45867</v>
      </c>
      <c r="H2442" s="33" t="n">
        <v>45867</v>
      </c>
      <c r="I2442" s="31" t="s">
        <v>650</v>
      </c>
      <c r="J2442" s="30" t="s">
        <v>363</v>
      </c>
      <c r="K2442" s="31" t="s">
        <v>370</v>
      </c>
      <c r="L2442" s="32" t="n">
        <v>1</v>
      </c>
      <c r="M2442" s="35" t="s">
        <v>386</v>
      </c>
      <c r="N2442" s="31" t="s">
        <v>387</v>
      </c>
      <c r="O2442" s="32" t="n">
        <v>1</v>
      </c>
      <c r="P2442" s="15" t="n">
        <f aca="false">IF(A2442="","",IF(O2442&lt;&gt;"",O2442,IF(L2442&lt;&gt;"",L2442,F2442)))</f>
        <v>1</v>
      </c>
    </row>
    <row r="2443" customFormat="false" ht="15" hidden="false" customHeight="true" outlineLevel="0" collapsed="false">
      <c r="A2443" s="26" t="s">
        <v>288</v>
      </c>
      <c r="B2443" s="26" t="s">
        <v>289</v>
      </c>
      <c r="C2443" s="14" t="n">
        <f aca="false">IF(A2443="","",IFERROR(VLOOKUP(A2443,'Recert Status'!$A$8:$C$400,3,FALSE()),""))</f>
        <v>46752</v>
      </c>
      <c r="D2443" s="18" t="s">
        <v>651</v>
      </c>
      <c r="E2443" s="26" t="n">
        <v>29668</v>
      </c>
      <c r="F2443" s="27" t="n">
        <v>1</v>
      </c>
      <c r="G2443" s="28" t="n">
        <v>45867</v>
      </c>
      <c r="H2443" s="28" t="n">
        <v>45867</v>
      </c>
      <c r="I2443" s="18" t="s">
        <v>652</v>
      </c>
      <c r="J2443" s="26" t="s">
        <v>511</v>
      </c>
      <c r="K2443" s="18" t="s">
        <v>509</v>
      </c>
      <c r="L2443" s="27" t="n">
        <v>1</v>
      </c>
      <c r="M2443" s="35" t="s">
        <v>386</v>
      </c>
      <c r="N2443" s="18" t="s">
        <v>387</v>
      </c>
      <c r="O2443" s="27" t="n">
        <v>1</v>
      </c>
      <c r="P2443" s="15" t="n">
        <f aca="false">IF(A2443="","",IF(O2443&lt;&gt;"",O2443,IF(L2443&lt;&gt;"",L2443,F2443)))</f>
        <v>1</v>
      </c>
    </row>
    <row r="2444" customFormat="false" ht="15" hidden="false" customHeight="true" outlineLevel="0" collapsed="false">
      <c r="A2444" s="30" t="s">
        <v>288</v>
      </c>
      <c r="B2444" s="30" t="s">
        <v>289</v>
      </c>
      <c r="C2444" s="21" t="n">
        <f aca="false">IF(A2444="","",IFERROR(VLOOKUP(A2444,'Recert Status'!$A$8:$C$400,3,FALSE()),""))</f>
        <v>46752</v>
      </c>
      <c r="D2444" s="31" t="s">
        <v>658</v>
      </c>
      <c r="E2444" s="30" t="n">
        <v>29675</v>
      </c>
      <c r="F2444" s="32" t="n">
        <v>0.5</v>
      </c>
      <c r="G2444" s="33" t="n">
        <v>45951</v>
      </c>
      <c r="H2444" s="33" t="n">
        <v>45951</v>
      </c>
      <c r="I2444" s="31" t="s">
        <v>659</v>
      </c>
      <c r="J2444" s="30" t="s">
        <v>406</v>
      </c>
      <c r="K2444" s="31" t="s">
        <v>395</v>
      </c>
      <c r="L2444" s="32" t="n">
        <v>0.5</v>
      </c>
      <c r="M2444" s="35" t="s">
        <v>386</v>
      </c>
      <c r="N2444" s="31" t="s">
        <v>387</v>
      </c>
      <c r="O2444" s="32" t="n">
        <v>0.5</v>
      </c>
      <c r="P2444" s="15" t="n">
        <f aca="false">IF(A2444="","",IF(O2444&lt;&gt;"",O2444,IF(L2444&lt;&gt;"",L2444,F2444)))</f>
        <v>0.5</v>
      </c>
    </row>
    <row r="2445" customFormat="false" ht="15" hidden="false" customHeight="true" outlineLevel="0" collapsed="false">
      <c r="A2445" s="26" t="s">
        <v>288</v>
      </c>
      <c r="B2445" s="26" t="s">
        <v>289</v>
      </c>
      <c r="C2445" s="14" t="n">
        <f aca="false">IF(A2445="","",IFERROR(VLOOKUP(A2445,'Recert Status'!$A$8:$C$400,3,FALSE()),""))</f>
        <v>46752</v>
      </c>
      <c r="D2445" s="18" t="s">
        <v>573</v>
      </c>
      <c r="E2445" s="26" t="s">
        <v>389</v>
      </c>
      <c r="F2445" s="27" t="n">
        <v>1</v>
      </c>
      <c r="G2445" s="28" t="n">
        <v>45987</v>
      </c>
      <c r="H2445" s="28" t="n">
        <v>45987</v>
      </c>
      <c r="I2445" s="18" t="s">
        <v>574</v>
      </c>
      <c r="J2445" s="26" t="s">
        <v>389</v>
      </c>
      <c r="K2445" s="18" t="s">
        <v>451</v>
      </c>
      <c r="L2445" s="27" t="n">
        <v>1</v>
      </c>
      <c r="M2445" s="35" t="s">
        <v>386</v>
      </c>
      <c r="N2445" s="18" t="s">
        <v>387</v>
      </c>
      <c r="O2445" s="27" t="n">
        <v>1</v>
      </c>
      <c r="P2445" s="15" t="n">
        <f aca="false">IF(A2445="","",IF(O2445&lt;&gt;"",O2445,IF(L2445&lt;&gt;"",L2445,F2445)))</f>
        <v>1</v>
      </c>
    </row>
    <row r="2446" customFormat="false" ht="15" hidden="false" customHeight="true" outlineLevel="0" collapsed="false">
      <c r="A2446" s="30" t="s">
        <v>288</v>
      </c>
      <c r="B2446" s="30" t="s">
        <v>289</v>
      </c>
      <c r="C2446" s="21" t="n">
        <f aca="false">IF(A2446="","",IFERROR(VLOOKUP(A2446,'Recert Status'!$A$8:$C$400,3,FALSE()),""))</f>
        <v>46752</v>
      </c>
      <c r="D2446" s="31" t="s">
        <v>379</v>
      </c>
      <c r="E2446" s="30" t="s">
        <v>389</v>
      </c>
      <c r="F2446" s="32" t="n">
        <v>1</v>
      </c>
      <c r="G2446" s="33" t="n">
        <v>46132</v>
      </c>
      <c r="H2446" s="33" t="n">
        <v>46132</v>
      </c>
      <c r="I2446" s="31" t="s">
        <v>1680</v>
      </c>
      <c r="J2446" s="30" t="s">
        <v>389</v>
      </c>
      <c r="K2446" s="31" t="s">
        <v>735</v>
      </c>
      <c r="L2446" s="32" t="n">
        <v>1</v>
      </c>
      <c r="M2446" s="35" t="s">
        <v>386</v>
      </c>
      <c r="N2446" s="31" t="s">
        <v>387</v>
      </c>
      <c r="O2446" s="32" t="n">
        <v>1</v>
      </c>
      <c r="P2446" s="15" t="n">
        <f aca="false">IF(A2446="","",IF(O2446&lt;&gt;"",O2446,IF(L2446&lt;&gt;"",L2446,F2446)))</f>
        <v>1</v>
      </c>
    </row>
    <row r="2447" customFormat="false" ht="15" hidden="false" customHeight="true" outlineLevel="0" collapsed="false">
      <c r="A2447" s="26" t="s">
        <v>288</v>
      </c>
      <c r="B2447" s="26" t="s">
        <v>289</v>
      </c>
      <c r="C2447" s="14" t="n">
        <f aca="false">IF(A2447="","",IFERROR(VLOOKUP(A2447,'Recert Status'!$A$8:$C$400,3,FALSE()),""))</f>
        <v>46752</v>
      </c>
      <c r="D2447" s="18" t="s">
        <v>387</v>
      </c>
      <c r="E2447" s="26" t="s">
        <v>389</v>
      </c>
      <c r="F2447" s="27" t="n">
        <v>1</v>
      </c>
      <c r="G2447" s="28" t="n">
        <v>46241</v>
      </c>
      <c r="H2447" s="28" t="n">
        <v>46241</v>
      </c>
      <c r="I2447" s="18" t="s">
        <v>1011</v>
      </c>
      <c r="J2447" s="26" t="s">
        <v>389</v>
      </c>
      <c r="K2447" s="18" t="s">
        <v>451</v>
      </c>
      <c r="L2447" s="27" t="n">
        <v>1</v>
      </c>
      <c r="M2447" s="35" t="s">
        <v>386</v>
      </c>
      <c r="N2447" s="18" t="s">
        <v>387</v>
      </c>
      <c r="O2447" s="27" t="n">
        <v>1</v>
      </c>
      <c r="P2447" s="15" t="n">
        <f aca="false">IF(A2447="","",IF(O2447&lt;&gt;"",O2447,IF(L2447&lt;&gt;"",L2447,F2447)))</f>
        <v>1</v>
      </c>
    </row>
    <row r="2448" customFormat="false" ht="15" hidden="false" customHeight="true" outlineLevel="0" collapsed="false">
      <c r="A2448" s="30" t="s">
        <v>288</v>
      </c>
      <c r="B2448" s="30" t="s">
        <v>289</v>
      </c>
      <c r="C2448" s="21" t="n">
        <f aca="false">IF(A2448="","",IFERROR(VLOOKUP(A2448,'Recert Status'!$A$8:$C$400,3,FALSE()),""))</f>
        <v>46752</v>
      </c>
      <c r="D2448" s="31" t="s">
        <v>662</v>
      </c>
      <c r="E2448" s="30" t="s">
        <v>452</v>
      </c>
      <c r="F2448" s="32" t="n">
        <v>1</v>
      </c>
      <c r="G2448" s="33" t="n">
        <v>45882</v>
      </c>
      <c r="H2448" s="33" t="n">
        <v>45882</v>
      </c>
      <c r="I2448" s="31" t="s">
        <v>663</v>
      </c>
      <c r="J2448" s="30" t="s">
        <v>452</v>
      </c>
      <c r="K2448" s="31" t="s">
        <v>385</v>
      </c>
      <c r="L2448" s="32" t="n">
        <v>1</v>
      </c>
      <c r="M2448" s="36" t="s">
        <v>396</v>
      </c>
      <c r="N2448" s="31" t="s">
        <v>397</v>
      </c>
      <c r="O2448" s="32" t="n">
        <v>1</v>
      </c>
      <c r="P2448" s="15" t="n">
        <f aca="false">IF(A2448="","",IF(O2448&lt;&gt;"",O2448,IF(L2448&lt;&gt;"",L2448,F2448)))</f>
        <v>1</v>
      </c>
    </row>
    <row r="2449" customFormat="false" ht="15" hidden="false" customHeight="true" outlineLevel="0" collapsed="false">
      <c r="A2449" s="26" t="s">
        <v>288</v>
      </c>
      <c r="B2449" s="26" t="s">
        <v>289</v>
      </c>
      <c r="C2449" s="14" t="n">
        <f aca="false">IF(A2449="","",IFERROR(VLOOKUP(A2449,'Recert Status'!$A$8:$C$400,3,FALSE()),""))</f>
        <v>46752</v>
      </c>
      <c r="D2449" s="18" t="s">
        <v>397</v>
      </c>
      <c r="E2449" s="26" t="s">
        <v>452</v>
      </c>
      <c r="F2449" s="27" t="n">
        <v>1</v>
      </c>
      <c r="G2449" s="28" t="n">
        <v>46245</v>
      </c>
      <c r="H2449" s="28" t="n">
        <v>46245</v>
      </c>
      <c r="I2449" s="18" t="s">
        <v>605</v>
      </c>
      <c r="J2449" s="26" t="s">
        <v>452</v>
      </c>
      <c r="K2449" s="18" t="s">
        <v>385</v>
      </c>
      <c r="L2449" s="27" t="n">
        <v>1</v>
      </c>
      <c r="M2449" s="36" t="s">
        <v>396</v>
      </c>
      <c r="N2449" s="18" t="s">
        <v>397</v>
      </c>
      <c r="O2449" s="27" t="n">
        <v>1</v>
      </c>
      <c r="P2449" s="15" t="n">
        <f aca="false">IF(A2449="","",IF(O2449&lt;&gt;"",O2449,IF(L2449&lt;&gt;"",L2449,F2449)))</f>
        <v>1</v>
      </c>
    </row>
    <row r="2450" customFormat="false" ht="15" hidden="false" customHeight="true" outlineLevel="0" collapsed="false">
      <c r="A2450" s="30" t="s">
        <v>288</v>
      </c>
      <c r="B2450" s="30" t="s">
        <v>289</v>
      </c>
      <c r="C2450" s="21" t="n">
        <f aca="false">IF(A2450="","",IFERROR(VLOOKUP(A2450,'Recert Status'!$A$8:$C$400,3,FALSE()),""))</f>
        <v>46752</v>
      </c>
      <c r="D2450" s="31" t="s">
        <v>987</v>
      </c>
      <c r="E2450" s="30" t="s">
        <v>399</v>
      </c>
      <c r="F2450" s="32" t="n">
        <v>1</v>
      </c>
      <c r="G2450" s="33" t="n">
        <v>46095</v>
      </c>
      <c r="H2450" s="33" t="n">
        <v>46095</v>
      </c>
      <c r="I2450" s="31" t="s">
        <v>988</v>
      </c>
      <c r="J2450" s="30" t="s">
        <v>399</v>
      </c>
      <c r="K2450" s="31" t="s">
        <v>401</v>
      </c>
      <c r="L2450" s="32" t="n">
        <v>1</v>
      </c>
      <c r="M2450" s="37" t="s">
        <v>402</v>
      </c>
      <c r="N2450" s="31" t="s">
        <v>403</v>
      </c>
      <c r="O2450" s="32" t="n">
        <v>1</v>
      </c>
      <c r="P2450" s="15" t="n">
        <f aca="false">IF(A2450="","",IF(O2450&lt;&gt;"",O2450,IF(L2450&lt;&gt;"",L2450,F2450)))</f>
        <v>1</v>
      </c>
    </row>
    <row r="2451" customFormat="false" ht="15" hidden="false" customHeight="true" outlineLevel="0" collapsed="false">
      <c r="A2451" s="26" t="s">
        <v>288</v>
      </c>
      <c r="B2451" s="26" t="s">
        <v>289</v>
      </c>
      <c r="C2451" s="14" t="n">
        <f aca="false">IF(A2451="","",IFERROR(VLOOKUP(A2451,'Recert Status'!$A$8:$C$400,3,FALSE()),""))</f>
        <v>46752</v>
      </c>
      <c r="D2451" s="18" t="s">
        <v>670</v>
      </c>
      <c r="E2451" s="26" t="s">
        <v>416</v>
      </c>
      <c r="F2451" s="27" t="n">
        <v>2</v>
      </c>
      <c r="G2451" s="28" t="n">
        <v>45861</v>
      </c>
      <c r="H2451" s="28" t="n">
        <v>45861</v>
      </c>
      <c r="I2451" s="18" t="s">
        <v>671</v>
      </c>
      <c r="J2451" s="26" t="s">
        <v>416</v>
      </c>
      <c r="K2451" s="18" t="s">
        <v>418</v>
      </c>
      <c r="L2451" s="27" t="n">
        <v>2</v>
      </c>
      <c r="M2451" s="39" t="s">
        <v>413</v>
      </c>
      <c r="N2451" s="18" t="s">
        <v>514</v>
      </c>
      <c r="O2451" s="27" t="n">
        <v>2</v>
      </c>
      <c r="P2451" s="15" t="n">
        <f aca="false">IF(A2451="","",IF(O2451&lt;&gt;"",O2451,IF(L2451&lt;&gt;"",L2451,F2451)))</f>
        <v>2</v>
      </c>
    </row>
    <row r="2452" customFormat="false" ht="15" hidden="false" customHeight="true" outlineLevel="0" collapsed="false">
      <c r="A2452" s="30" t="s">
        <v>288</v>
      </c>
      <c r="B2452" s="30" t="s">
        <v>289</v>
      </c>
      <c r="C2452" s="21" t="n">
        <f aca="false">IF(A2452="","",IFERROR(VLOOKUP(A2452,'Recert Status'!$A$8:$C$400,3,FALSE()),""))</f>
        <v>46752</v>
      </c>
      <c r="D2452" s="31" t="s">
        <v>672</v>
      </c>
      <c r="E2452" s="30" t="s">
        <v>416</v>
      </c>
      <c r="F2452" s="32" t="n">
        <v>1</v>
      </c>
      <c r="G2452" s="33" t="n">
        <v>45933</v>
      </c>
      <c r="H2452" s="33" t="n">
        <v>45933</v>
      </c>
      <c r="I2452" s="31" t="s">
        <v>675</v>
      </c>
      <c r="J2452" s="30" t="s">
        <v>416</v>
      </c>
      <c r="K2452" s="31" t="s">
        <v>674</v>
      </c>
      <c r="L2452" s="32" t="n">
        <v>1</v>
      </c>
      <c r="M2452" s="39" t="s">
        <v>413</v>
      </c>
      <c r="N2452" s="31" t="s">
        <v>414</v>
      </c>
      <c r="O2452" s="32" t="n">
        <v>1</v>
      </c>
      <c r="P2452" s="15" t="n">
        <f aca="false">IF(A2452="","",IF(O2452&lt;&gt;"",O2452,IF(L2452&lt;&gt;"",L2452,F2452)))</f>
        <v>1</v>
      </c>
    </row>
    <row r="2453" customFormat="false" ht="15" hidden="false" customHeight="true" outlineLevel="0" collapsed="false">
      <c r="A2453" s="26" t="s">
        <v>288</v>
      </c>
      <c r="B2453" s="26" t="s">
        <v>289</v>
      </c>
      <c r="C2453" s="14" t="n">
        <f aca="false">IF(A2453="","",IFERROR(VLOOKUP(A2453,'Recert Status'!$A$8:$C$400,3,FALSE()),""))</f>
        <v>46752</v>
      </c>
      <c r="D2453" s="18" t="s">
        <v>488</v>
      </c>
      <c r="E2453" s="26" t="s">
        <v>416</v>
      </c>
      <c r="F2453" s="27" t="n">
        <v>1</v>
      </c>
      <c r="G2453" s="28" t="n">
        <v>46125</v>
      </c>
      <c r="H2453" s="28" t="n">
        <v>46125</v>
      </c>
      <c r="I2453" s="18" t="s">
        <v>608</v>
      </c>
      <c r="J2453" s="26" t="s">
        <v>416</v>
      </c>
      <c r="K2453" s="18" t="s">
        <v>490</v>
      </c>
      <c r="L2453" s="27" t="n">
        <v>1</v>
      </c>
      <c r="M2453" s="39" t="s">
        <v>413</v>
      </c>
      <c r="N2453" s="18" t="s">
        <v>414</v>
      </c>
      <c r="O2453" s="27" t="n">
        <v>1</v>
      </c>
      <c r="P2453" s="15" t="n">
        <f aca="false">IF(A2453="","",IF(O2453&lt;&gt;"",O2453,IF(L2453&lt;&gt;"",L2453,F2453)))</f>
        <v>1</v>
      </c>
    </row>
    <row r="2454" customFormat="false" ht="15" hidden="false" customHeight="true" outlineLevel="0" collapsed="false">
      <c r="A2454" s="30" t="s">
        <v>288</v>
      </c>
      <c r="B2454" s="30" t="s">
        <v>289</v>
      </c>
      <c r="C2454" s="21" t="n">
        <f aca="false">IF(A2454="","",IFERROR(VLOOKUP(A2454,'Recert Status'!$A$8:$C$400,3,FALSE()),""))</f>
        <v>46752</v>
      </c>
      <c r="D2454" s="31" t="s">
        <v>414</v>
      </c>
      <c r="E2454" s="30" t="s">
        <v>416</v>
      </c>
      <c r="F2454" s="32" t="n">
        <v>2</v>
      </c>
      <c r="G2454" s="33" t="n">
        <v>46218</v>
      </c>
      <c r="H2454" s="33" t="n">
        <v>46218</v>
      </c>
      <c r="I2454" s="31" t="s">
        <v>535</v>
      </c>
      <c r="J2454" s="30" t="s">
        <v>416</v>
      </c>
      <c r="K2454" s="31" t="s">
        <v>418</v>
      </c>
      <c r="L2454" s="32" t="n">
        <v>2</v>
      </c>
      <c r="M2454" s="39" t="s">
        <v>413</v>
      </c>
      <c r="N2454" s="31" t="s">
        <v>414</v>
      </c>
      <c r="O2454" s="32" t="n">
        <v>2</v>
      </c>
      <c r="P2454" s="15" t="n">
        <f aca="false">IF(A2454="","",IF(O2454&lt;&gt;"",O2454,IF(L2454&lt;&gt;"",L2454,F2454)))</f>
        <v>2</v>
      </c>
    </row>
    <row r="2455" customFormat="false" ht="15" hidden="false" customHeight="true" outlineLevel="0" collapsed="false">
      <c r="A2455" s="26" t="s">
        <v>288</v>
      </c>
      <c r="B2455" s="26" t="s">
        <v>289</v>
      </c>
      <c r="C2455" s="14" t="n">
        <f aca="false">IF(A2455="","",IFERROR(VLOOKUP(A2455,'Recert Status'!$A$8:$C$400,3,FALSE()),""))</f>
        <v>46752</v>
      </c>
      <c r="D2455" s="18" t="s">
        <v>414</v>
      </c>
      <c r="E2455" s="26" t="s">
        <v>416</v>
      </c>
      <c r="F2455" s="27" t="n">
        <v>2</v>
      </c>
      <c r="G2455" s="28" t="n">
        <v>46219</v>
      </c>
      <c r="H2455" s="28" t="n">
        <v>46219</v>
      </c>
      <c r="I2455" s="18" t="s">
        <v>567</v>
      </c>
      <c r="J2455" s="26" t="s">
        <v>416</v>
      </c>
      <c r="K2455" s="18" t="s">
        <v>418</v>
      </c>
      <c r="L2455" s="27" t="n">
        <v>2</v>
      </c>
      <c r="M2455" s="39" t="s">
        <v>413</v>
      </c>
      <c r="N2455" s="18" t="s">
        <v>414</v>
      </c>
      <c r="O2455" s="27" t="n">
        <v>2</v>
      </c>
      <c r="P2455" s="15" t="n">
        <f aca="false">IF(A2455="","",IF(O2455&lt;&gt;"",O2455,IF(L2455&lt;&gt;"",L2455,F2455)))</f>
        <v>2</v>
      </c>
    </row>
    <row r="2456" customFormat="false" ht="15" hidden="false" customHeight="true" outlineLevel="0" collapsed="false">
      <c r="A2456" s="30" t="s">
        <v>290</v>
      </c>
      <c r="B2456" s="30" t="s">
        <v>291</v>
      </c>
      <c r="C2456" s="21" t="n">
        <f aca="false">IF(A2456="","",IFERROR(VLOOKUP(A2456,'Recert Status'!$A$8:$C$400,3,FALSE()),""))</f>
        <v>46387</v>
      </c>
      <c r="D2456" s="31" t="s">
        <v>524</v>
      </c>
      <c r="E2456" s="30" t="s">
        <v>426</v>
      </c>
      <c r="F2456" s="32" t="n">
        <v>0.5</v>
      </c>
      <c r="G2456" s="33" t="n">
        <v>45881</v>
      </c>
      <c r="H2456" s="33" t="n">
        <v>45881</v>
      </c>
      <c r="I2456" s="31" t="s">
        <v>525</v>
      </c>
      <c r="J2456" s="30" t="s">
        <v>426</v>
      </c>
      <c r="K2456" s="31" t="s">
        <v>526</v>
      </c>
      <c r="L2456" s="32" t="n">
        <v>0.5</v>
      </c>
      <c r="M2456" s="41" t="s">
        <v>429</v>
      </c>
      <c r="N2456" s="31" t="s">
        <v>430</v>
      </c>
      <c r="O2456" s="32" t="n">
        <v>0.5</v>
      </c>
      <c r="P2456" s="15" t="n">
        <f aca="false">IF(A2456="","",IF(O2456&lt;&gt;"",O2456,IF(L2456&lt;&gt;"",L2456,F2456)))</f>
        <v>0.5</v>
      </c>
    </row>
    <row r="2457" customFormat="false" ht="15" hidden="false" customHeight="true" outlineLevel="0" collapsed="false">
      <c r="A2457" s="26" t="s">
        <v>290</v>
      </c>
      <c r="B2457" s="26" t="s">
        <v>291</v>
      </c>
      <c r="C2457" s="14" t="n">
        <f aca="false">IF(A2457="","",IFERROR(VLOOKUP(A2457,'Recert Status'!$A$8:$C$400,3,FALSE()),""))</f>
        <v>46387</v>
      </c>
      <c r="D2457" s="18" t="s">
        <v>425</v>
      </c>
      <c r="E2457" s="26" t="s">
        <v>426</v>
      </c>
      <c r="F2457" s="27" t="n">
        <v>2</v>
      </c>
      <c r="G2457" s="28" t="n">
        <v>45929</v>
      </c>
      <c r="H2457" s="28" t="n">
        <v>45929</v>
      </c>
      <c r="I2457" s="18" t="s">
        <v>427</v>
      </c>
      <c r="J2457" s="26" t="s">
        <v>426</v>
      </c>
      <c r="K2457" s="18" t="s">
        <v>428</v>
      </c>
      <c r="L2457" s="27" t="n">
        <v>2</v>
      </c>
      <c r="M2457" s="41" t="s">
        <v>429</v>
      </c>
      <c r="N2457" s="18" t="s">
        <v>430</v>
      </c>
      <c r="O2457" s="27" t="n">
        <v>2</v>
      </c>
      <c r="P2457" s="15" t="n">
        <f aca="false">IF(A2457="","",IF(O2457&lt;&gt;"",O2457,IF(L2457&lt;&gt;"",L2457,F2457)))</f>
        <v>2</v>
      </c>
    </row>
    <row r="2458" customFormat="false" ht="15" hidden="false" customHeight="true" outlineLevel="0" collapsed="false">
      <c r="A2458" s="30" t="s">
        <v>290</v>
      </c>
      <c r="B2458" s="30" t="s">
        <v>291</v>
      </c>
      <c r="C2458" s="21" t="n">
        <f aca="false">IF(A2458="","",IFERROR(VLOOKUP(A2458,'Recert Status'!$A$8:$C$400,3,FALSE()),""))</f>
        <v>46387</v>
      </c>
      <c r="D2458" s="31" t="s">
        <v>886</v>
      </c>
      <c r="E2458" s="30" t="s">
        <v>426</v>
      </c>
      <c r="F2458" s="32" t="n">
        <v>2</v>
      </c>
      <c r="G2458" s="33" t="n">
        <v>45971</v>
      </c>
      <c r="H2458" s="33" t="n">
        <v>45971</v>
      </c>
      <c r="I2458" s="31" t="s">
        <v>887</v>
      </c>
      <c r="J2458" s="30" t="s">
        <v>426</v>
      </c>
      <c r="K2458" s="31" t="s">
        <v>428</v>
      </c>
      <c r="L2458" s="32" t="n">
        <v>2</v>
      </c>
      <c r="M2458" s="41" t="s">
        <v>429</v>
      </c>
      <c r="N2458" s="31" t="s">
        <v>430</v>
      </c>
      <c r="O2458" s="32" t="n">
        <v>2</v>
      </c>
      <c r="P2458" s="15" t="n">
        <f aca="false">IF(A2458="","",IF(O2458&lt;&gt;"",O2458,IF(L2458&lt;&gt;"",L2458,F2458)))</f>
        <v>2</v>
      </c>
    </row>
    <row r="2459" customFormat="false" ht="15" hidden="false" customHeight="true" outlineLevel="0" collapsed="false">
      <c r="A2459" s="26" t="s">
        <v>290</v>
      </c>
      <c r="B2459" s="26" t="s">
        <v>291</v>
      </c>
      <c r="C2459" s="14" t="n">
        <f aca="false">IF(A2459="","",IFERROR(VLOOKUP(A2459,'Recert Status'!$A$8:$C$400,3,FALSE()),""))</f>
        <v>46387</v>
      </c>
      <c r="D2459" s="18" t="s">
        <v>888</v>
      </c>
      <c r="E2459" s="26" t="s">
        <v>426</v>
      </c>
      <c r="F2459" s="27" t="n">
        <v>1</v>
      </c>
      <c r="G2459" s="28" t="n">
        <v>46001</v>
      </c>
      <c r="H2459" s="28" t="n">
        <v>46001</v>
      </c>
      <c r="I2459" s="18" t="s">
        <v>889</v>
      </c>
      <c r="J2459" s="26" t="s">
        <v>426</v>
      </c>
      <c r="K2459" s="18" t="s">
        <v>428</v>
      </c>
      <c r="L2459" s="27" t="n">
        <v>1</v>
      </c>
      <c r="M2459" s="41" t="s">
        <v>429</v>
      </c>
      <c r="N2459" s="18" t="s">
        <v>430</v>
      </c>
      <c r="O2459" s="27" t="n">
        <v>1</v>
      </c>
      <c r="P2459" s="15" t="n">
        <f aca="false">IF(A2459="","",IF(O2459&lt;&gt;"",O2459,IF(L2459&lt;&gt;"",L2459,F2459)))</f>
        <v>1</v>
      </c>
    </row>
    <row r="2460" customFormat="false" ht="15" hidden="false" customHeight="true" outlineLevel="0" collapsed="false">
      <c r="A2460" s="30" t="s">
        <v>290</v>
      </c>
      <c r="B2460" s="30" t="s">
        <v>291</v>
      </c>
      <c r="C2460" s="21" t="n">
        <f aca="false">IF(A2460="","",IFERROR(VLOOKUP(A2460,'Recert Status'!$A$8:$C$400,3,FALSE()),""))</f>
        <v>46387</v>
      </c>
      <c r="D2460" s="31" t="s">
        <v>527</v>
      </c>
      <c r="E2460" s="30" t="n">
        <v>29784</v>
      </c>
      <c r="F2460" s="32" t="n">
        <v>1</v>
      </c>
      <c r="G2460" s="33" t="n">
        <v>45695</v>
      </c>
      <c r="H2460" s="33" t="n">
        <v>45695</v>
      </c>
      <c r="I2460" s="31" t="s">
        <v>528</v>
      </c>
      <c r="J2460" s="30" t="s">
        <v>435</v>
      </c>
      <c r="K2460" s="31" t="s">
        <v>529</v>
      </c>
      <c r="L2460" s="32" t="n">
        <v>1</v>
      </c>
      <c r="M2460" s="35" t="s">
        <v>386</v>
      </c>
      <c r="N2460" s="31" t="s">
        <v>387</v>
      </c>
      <c r="O2460" s="32" t="n">
        <v>1</v>
      </c>
      <c r="P2460" s="15" t="n">
        <f aca="false">IF(A2460="","",IF(O2460&lt;&gt;"",O2460,IF(L2460&lt;&gt;"",L2460,F2460)))</f>
        <v>1</v>
      </c>
    </row>
    <row r="2461" customFormat="false" ht="15" hidden="false" customHeight="true" outlineLevel="0" collapsed="false">
      <c r="A2461" s="26" t="s">
        <v>290</v>
      </c>
      <c r="B2461" s="26" t="s">
        <v>291</v>
      </c>
      <c r="C2461" s="14" t="n">
        <f aca="false">IF(A2461="","",IFERROR(VLOOKUP(A2461,'Recert Status'!$A$8:$C$400,3,FALSE()),""))</f>
        <v>46387</v>
      </c>
      <c r="D2461" s="18" t="s">
        <v>437</v>
      </c>
      <c r="E2461" s="26" t="n">
        <v>29743</v>
      </c>
      <c r="F2461" s="27" t="n">
        <v>1</v>
      </c>
      <c r="G2461" s="28" t="n">
        <v>45833</v>
      </c>
      <c r="H2461" s="28" t="n">
        <v>45833</v>
      </c>
      <c r="I2461" s="18" t="s">
        <v>438</v>
      </c>
      <c r="J2461" s="26" t="s">
        <v>439</v>
      </c>
      <c r="K2461" s="18" t="s">
        <v>440</v>
      </c>
      <c r="L2461" s="27" t="n">
        <v>1</v>
      </c>
      <c r="M2461" s="35" t="s">
        <v>386</v>
      </c>
      <c r="N2461" s="18" t="s">
        <v>387</v>
      </c>
      <c r="O2461" s="27" t="n">
        <v>1</v>
      </c>
      <c r="P2461" s="15" t="n">
        <f aca="false">IF(A2461="","",IF(O2461&lt;&gt;"",O2461,IF(L2461&lt;&gt;"",L2461,F2461)))</f>
        <v>1</v>
      </c>
    </row>
    <row r="2462" customFormat="false" ht="15" hidden="false" customHeight="true" outlineLevel="0" collapsed="false">
      <c r="A2462" s="30" t="s">
        <v>290</v>
      </c>
      <c r="B2462" s="30" t="s">
        <v>291</v>
      </c>
      <c r="C2462" s="21" t="n">
        <f aca="false">IF(A2462="","",IFERROR(VLOOKUP(A2462,'Recert Status'!$A$8:$C$400,3,FALSE()),""))</f>
        <v>46387</v>
      </c>
      <c r="D2462" s="31" t="s">
        <v>441</v>
      </c>
      <c r="E2462" s="30" t="n">
        <v>29743</v>
      </c>
      <c r="F2462" s="32" t="n">
        <v>1</v>
      </c>
      <c r="G2462" s="33" t="n">
        <v>45833</v>
      </c>
      <c r="H2462" s="33" t="n">
        <v>45833</v>
      </c>
      <c r="I2462" s="31" t="s">
        <v>442</v>
      </c>
      <c r="J2462" s="30" t="s">
        <v>439</v>
      </c>
      <c r="K2462" s="31" t="s">
        <v>443</v>
      </c>
      <c r="L2462" s="32" t="n">
        <v>1</v>
      </c>
      <c r="M2462" s="35" t="s">
        <v>386</v>
      </c>
      <c r="N2462" s="31" t="s">
        <v>387</v>
      </c>
      <c r="O2462" s="32" t="n">
        <v>1</v>
      </c>
      <c r="P2462" s="15" t="n">
        <f aca="false">IF(A2462="","",IF(O2462&lt;&gt;"",O2462,IF(L2462&lt;&gt;"",L2462,F2462)))</f>
        <v>1</v>
      </c>
    </row>
    <row r="2463" customFormat="false" ht="15" hidden="false" customHeight="true" outlineLevel="0" collapsed="false">
      <c r="A2463" s="26" t="s">
        <v>290</v>
      </c>
      <c r="B2463" s="26" t="s">
        <v>291</v>
      </c>
      <c r="C2463" s="14" t="n">
        <f aca="false">IF(A2463="","",IFERROR(VLOOKUP(A2463,'Recert Status'!$A$8:$C$400,3,FALSE()),""))</f>
        <v>46387</v>
      </c>
      <c r="D2463" s="18" t="s">
        <v>894</v>
      </c>
      <c r="E2463" s="26" t="s">
        <v>389</v>
      </c>
      <c r="F2463" s="27" t="n">
        <v>1</v>
      </c>
      <c r="G2463" s="28" t="n">
        <v>45971</v>
      </c>
      <c r="H2463" s="28" t="n">
        <v>45971</v>
      </c>
      <c r="I2463" s="18" t="s">
        <v>895</v>
      </c>
      <c r="J2463" s="26" t="s">
        <v>389</v>
      </c>
      <c r="K2463" s="18" t="s">
        <v>446</v>
      </c>
      <c r="L2463" s="27" t="n">
        <v>1</v>
      </c>
      <c r="M2463" s="35" t="s">
        <v>386</v>
      </c>
      <c r="N2463" s="18" t="s">
        <v>387</v>
      </c>
      <c r="O2463" s="27" t="n">
        <v>1</v>
      </c>
      <c r="P2463" s="15" t="n">
        <f aca="false">IF(A2463="","",IF(O2463&lt;&gt;"",O2463,IF(L2463&lt;&gt;"",L2463,F2463)))</f>
        <v>1</v>
      </c>
    </row>
    <row r="2464" customFormat="false" ht="15" hidden="false" customHeight="true" outlineLevel="0" collapsed="false">
      <c r="A2464" s="30" t="s">
        <v>290</v>
      </c>
      <c r="B2464" s="30" t="s">
        <v>291</v>
      </c>
      <c r="C2464" s="21" t="n">
        <f aca="false">IF(A2464="","",IFERROR(VLOOKUP(A2464,'Recert Status'!$A$8:$C$400,3,FALSE()),""))</f>
        <v>46387</v>
      </c>
      <c r="D2464" s="31" t="s">
        <v>896</v>
      </c>
      <c r="E2464" s="30" t="s">
        <v>389</v>
      </c>
      <c r="F2464" s="32" t="n">
        <v>2</v>
      </c>
      <c r="G2464" s="33" t="n">
        <v>45971</v>
      </c>
      <c r="H2464" s="33" t="n">
        <v>45971</v>
      </c>
      <c r="I2464" s="31" t="s">
        <v>897</v>
      </c>
      <c r="J2464" s="30" t="s">
        <v>389</v>
      </c>
      <c r="K2464" s="31" t="s">
        <v>898</v>
      </c>
      <c r="L2464" s="32" t="n">
        <v>2</v>
      </c>
      <c r="M2464" s="35" t="s">
        <v>386</v>
      </c>
      <c r="N2464" s="31" t="s">
        <v>387</v>
      </c>
      <c r="O2464" s="32" t="n">
        <v>2</v>
      </c>
      <c r="P2464" s="15" t="n">
        <f aca="false">IF(A2464="","",IF(O2464&lt;&gt;"",O2464,IF(L2464&lt;&gt;"",L2464,F2464)))</f>
        <v>2</v>
      </c>
    </row>
    <row r="2465" customFormat="false" ht="15" hidden="false" customHeight="true" outlineLevel="0" collapsed="false">
      <c r="A2465" s="26" t="s">
        <v>290</v>
      </c>
      <c r="B2465" s="26" t="s">
        <v>291</v>
      </c>
      <c r="C2465" s="14" t="n">
        <f aca="false">IF(A2465="","",IFERROR(VLOOKUP(A2465,'Recert Status'!$A$8:$C$400,3,FALSE()),""))</f>
        <v>46387</v>
      </c>
      <c r="D2465" s="18" t="s">
        <v>1681</v>
      </c>
      <c r="E2465" s="26" t="s">
        <v>389</v>
      </c>
      <c r="F2465" s="27" t="n">
        <v>1</v>
      </c>
      <c r="G2465" s="28" t="n">
        <v>45998</v>
      </c>
      <c r="H2465" s="28" t="n">
        <v>45998</v>
      </c>
      <c r="I2465" s="18" t="s">
        <v>1682</v>
      </c>
      <c r="J2465" s="26" t="s">
        <v>389</v>
      </c>
      <c r="K2465" s="18" t="s">
        <v>451</v>
      </c>
      <c r="L2465" s="27" t="n">
        <v>1</v>
      </c>
      <c r="M2465" s="35" t="s">
        <v>386</v>
      </c>
      <c r="N2465" s="18" t="s">
        <v>387</v>
      </c>
      <c r="O2465" s="27" t="n">
        <v>1</v>
      </c>
      <c r="P2465" s="15" t="n">
        <f aca="false">IF(A2465="","",IF(O2465&lt;&gt;"",O2465,IF(L2465&lt;&gt;"",L2465,F2465)))</f>
        <v>1</v>
      </c>
    </row>
    <row r="2466" customFormat="false" ht="15" hidden="false" customHeight="true" outlineLevel="0" collapsed="false">
      <c r="A2466" s="30" t="s">
        <v>290</v>
      </c>
      <c r="B2466" s="30" t="s">
        <v>291</v>
      </c>
      <c r="C2466" s="21" t="n">
        <f aca="false">IF(A2466="","",IFERROR(VLOOKUP(A2466,'Recert Status'!$A$8:$C$400,3,FALSE()),""))</f>
        <v>46387</v>
      </c>
      <c r="D2466" s="31" t="s">
        <v>1484</v>
      </c>
      <c r="E2466" s="30" t="s">
        <v>389</v>
      </c>
      <c r="F2466" s="32" t="n">
        <v>1</v>
      </c>
      <c r="G2466" s="33" t="n">
        <v>46001</v>
      </c>
      <c r="H2466" s="33" t="n">
        <v>46001</v>
      </c>
      <c r="I2466" s="31" t="s">
        <v>1485</v>
      </c>
      <c r="J2466" s="30" t="s">
        <v>389</v>
      </c>
      <c r="K2466" s="31" t="s">
        <v>451</v>
      </c>
      <c r="L2466" s="32" t="n">
        <v>1</v>
      </c>
      <c r="M2466" s="35" t="s">
        <v>386</v>
      </c>
      <c r="N2466" s="31" t="s">
        <v>387</v>
      </c>
      <c r="O2466" s="32" t="n">
        <v>1</v>
      </c>
      <c r="P2466" s="15" t="n">
        <f aca="false">IF(A2466="","",IF(O2466&lt;&gt;"",O2466,IF(L2466&lt;&gt;"",L2466,F2466)))</f>
        <v>1</v>
      </c>
    </row>
    <row r="2467" customFormat="false" ht="15" hidden="false" customHeight="true" outlineLevel="0" collapsed="false">
      <c r="A2467" s="26" t="s">
        <v>290</v>
      </c>
      <c r="B2467" s="26" t="s">
        <v>291</v>
      </c>
      <c r="C2467" s="14" t="n">
        <f aca="false">IF(A2467="","",IFERROR(VLOOKUP(A2467,'Recert Status'!$A$8:$C$400,3,FALSE()),""))</f>
        <v>46387</v>
      </c>
      <c r="D2467" s="18" t="s">
        <v>531</v>
      </c>
      <c r="E2467" s="26" t="s">
        <v>452</v>
      </c>
      <c r="F2467" s="27" t="n">
        <v>1</v>
      </c>
      <c r="G2467" s="28" t="n">
        <v>45983</v>
      </c>
      <c r="H2467" s="28" t="n">
        <v>45983</v>
      </c>
      <c r="I2467" s="18" t="s">
        <v>532</v>
      </c>
      <c r="J2467" s="26" t="s">
        <v>452</v>
      </c>
      <c r="K2467" s="18" t="s">
        <v>385</v>
      </c>
      <c r="L2467" s="27" t="n">
        <v>1</v>
      </c>
      <c r="M2467" s="36" t="s">
        <v>396</v>
      </c>
      <c r="N2467" s="18" t="s">
        <v>397</v>
      </c>
      <c r="O2467" s="27" t="n">
        <v>1</v>
      </c>
      <c r="P2467" s="15" t="n">
        <f aca="false">IF(A2467="","",IF(O2467&lt;&gt;"",O2467,IF(L2467&lt;&gt;"",L2467,F2467)))</f>
        <v>1</v>
      </c>
    </row>
    <row r="2468" customFormat="false" ht="15" hidden="false" customHeight="true" outlineLevel="0" collapsed="false">
      <c r="A2468" s="30" t="s">
        <v>290</v>
      </c>
      <c r="B2468" s="30" t="s">
        <v>291</v>
      </c>
      <c r="C2468" s="21" t="n">
        <f aca="false">IF(A2468="","",IFERROR(VLOOKUP(A2468,'Recert Status'!$A$8:$C$400,3,FALSE()),""))</f>
        <v>46387</v>
      </c>
      <c r="D2468" s="31" t="s">
        <v>397</v>
      </c>
      <c r="E2468" s="30" t="s">
        <v>452</v>
      </c>
      <c r="F2468" s="32" t="n">
        <v>2</v>
      </c>
      <c r="G2468" s="33" t="n">
        <v>46236</v>
      </c>
      <c r="H2468" s="33" t="n">
        <v>46236</v>
      </c>
      <c r="I2468" s="31" t="s">
        <v>966</v>
      </c>
      <c r="J2468" s="30" t="s">
        <v>452</v>
      </c>
      <c r="K2468" s="31" t="s">
        <v>385</v>
      </c>
      <c r="L2468" s="32" t="n">
        <v>2</v>
      </c>
      <c r="M2468" s="36" t="s">
        <v>396</v>
      </c>
      <c r="N2468" s="31" t="s">
        <v>397</v>
      </c>
      <c r="O2468" s="32" t="n">
        <v>2</v>
      </c>
      <c r="P2468" s="15" t="n">
        <f aca="false">IF(A2468="","",IF(O2468&lt;&gt;"",O2468,IF(L2468&lt;&gt;"",L2468,F2468)))</f>
        <v>2</v>
      </c>
    </row>
    <row r="2469" customFormat="false" ht="15" hidden="false" customHeight="true" outlineLevel="0" collapsed="false">
      <c r="A2469" s="26" t="s">
        <v>290</v>
      </c>
      <c r="B2469" s="26" t="s">
        <v>291</v>
      </c>
      <c r="C2469" s="14" t="n">
        <f aca="false">IF(A2469="","",IFERROR(VLOOKUP(A2469,'Recert Status'!$A$8:$C$400,3,FALSE()),""))</f>
        <v>46387</v>
      </c>
      <c r="D2469" s="18" t="s">
        <v>457</v>
      </c>
      <c r="E2469" s="26" t="s">
        <v>416</v>
      </c>
      <c r="F2469" s="27" t="n">
        <v>2</v>
      </c>
      <c r="G2469" s="28" t="n">
        <v>45860</v>
      </c>
      <c r="H2469" s="28" t="n">
        <v>45860</v>
      </c>
      <c r="I2469" s="18" t="s">
        <v>533</v>
      </c>
      <c r="J2469" s="26" t="s">
        <v>416</v>
      </c>
      <c r="K2469" s="18" t="s">
        <v>523</v>
      </c>
      <c r="L2469" s="27" t="n">
        <v>2</v>
      </c>
      <c r="M2469" s="39" t="s">
        <v>413</v>
      </c>
      <c r="N2469" s="18" t="s">
        <v>414</v>
      </c>
      <c r="O2469" s="27" t="n">
        <v>2</v>
      </c>
      <c r="P2469" s="15" t="n">
        <f aca="false">IF(A2469="","",IF(O2469&lt;&gt;"",O2469,IF(L2469&lt;&gt;"",L2469,F2469)))</f>
        <v>2</v>
      </c>
    </row>
    <row r="2470" customFormat="false" ht="15" hidden="false" customHeight="true" outlineLevel="0" collapsed="false">
      <c r="A2470" s="30" t="s">
        <v>290</v>
      </c>
      <c r="B2470" s="30" t="s">
        <v>291</v>
      </c>
      <c r="C2470" s="21" t="n">
        <f aca="false">IF(A2470="","",IFERROR(VLOOKUP(A2470,'Recert Status'!$A$8:$C$400,3,FALSE()),""))</f>
        <v>46387</v>
      </c>
      <c r="D2470" s="31" t="s">
        <v>905</v>
      </c>
      <c r="E2470" s="30" t="s">
        <v>416</v>
      </c>
      <c r="F2470" s="32" t="n">
        <v>1</v>
      </c>
      <c r="G2470" s="33" t="n">
        <v>45935</v>
      </c>
      <c r="H2470" s="33" t="n">
        <v>45935</v>
      </c>
      <c r="I2470" s="31" t="s">
        <v>906</v>
      </c>
      <c r="J2470" s="30" t="s">
        <v>416</v>
      </c>
      <c r="K2470" s="31" t="s">
        <v>418</v>
      </c>
      <c r="L2470" s="32" t="n">
        <v>1</v>
      </c>
      <c r="M2470" s="39" t="s">
        <v>413</v>
      </c>
      <c r="N2470" s="31" t="s">
        <v>414</v>
      </c>
      <c r="O2470" s="32" t="n">
        <v>1</v>
      </c>
      <c r="P2470" s="15" t="n">
        <f aca="false">IF(A2470="","",IF(O2470&lt;&gt;"",O2470,IF(L2470&lt;&gt;"",L2470,F2470)))</f>
        <v>1</v>
      </c>
    </row>
    <row r="2471" customFormat="false" ht="15" hidden="false" customHeight="true" outlineLevel="0" collapsed="false">
      <c r="A2471" s="26" t="s">
        <v>290</v>
      </c>
      <c r="B2471" s="26" t="s">
        <v>291</v>
      </c>
      <c r="C2471" s="14" t="n">
        <f aca="false">IF(A2471="","",IFERROR(VLOOKUP(A2471,'Recert Status'!$A$8:$C$400,3,FALSE()),""))</f>
        <v>46387</v>
      </c>
      <c r="D2471" s="18" t="s">
        <v>488</v>
      </c>
      <c r="E2471" s="26" t="s">
        <v>416</v>
      </c>
      <c r="F2471" s="27" t="n">
        <v>1</v>
      </c>
      <c r="G2471" s="28" t="n">
        <v>46127</v>
      </c>
      <c r="H2471" s="28" t="n">
        <v>46127</v>
      </c>
      <c r="I2471" s="18" t="s">
        <v>534</v>
      </c>
      <c r="J2471" s="26" t="s">
        <v>416</v>
      </c>
      <c r="K2471" s="18" t="s">
        <v>490</v>
      </c>
      <c r="L2471" s="27" t="n">
        <v>1</v>
      </c>
      <c r="M2471" s="39" t="s">
        <v>413</v>
      </c>
      <c r="N2471" s="18" t="s">
        <v>414</v>
      </c>
      <c r="O2471" s="27" t="n">
        <v>1</v>
      </c>
      <c r="P2471" s="15" t="n">
        <f aca="false">IF(A2471="","",IF(O2471&lt;&gt;"",O2471,IF(L2471&lt;&gt;"",L2471,F2471)))</f>
        <v>1</v>
      </c>
    </row>
    <row r="2472" customFormat="false" ht="15" hidden="false" customHeight="true" outlineLevel="0" collapsed="false">
      <c r="A2472" s="30" t="s">
        <v>290</v>
      </c>
      <c r="B2472" s="30" t="s">
        <v>291</v>
      </c>
      <c r="C2472" s="21" t="n">
        <f aca="false">IF(A2472="","",IFERROR(VLOOKUP(A2472,'Recert Status'!$A$8:$C$400,3,FALSE()),""))</f>
        <v>46387</v>
      </c>
      <c r="D2472" s="31" t="s">
        <v>414</v>
      </c>
      <c r="E2472" s="30" t="s">
        <v>416</v>
      </c>
      <c r="F2472" s="32" t="n">
        <v>2</v>
      </c>
      <c r="G2472" s="33" t="n">
        <v>46217</v>
      </c>
      <c r="H2472" s="33" t="n">
        <v>46217</v>
      </c>
      <c r="I2472" s="31" t="s">
        <v>460</v>
      </c>
      <c r="J2472" s="30" t="s">
        <v>416</v>
      </c>
      <c r="K2472" s="31" t="s">
        <v>418</v>
      </c>
      <c r="L2472" s="32" t="n">
        <v>2</v>
      </c>
      <c r="M2472" s="39" t="s">
        <v>413</v>
      </c>
      <c r="N2472" s="31" t="s">
        <v>414</v>
      </c>
      <c r="O2472" s="32" t="n">
        <v>2</v>
      </c>
      <c r="P2472" s="15" t="n">
        <f aca="false">IF(A2472="","",IF(O2472&lt;&gt;"",O2472,IF(L2472&lt;&gt;"",L2472,F2472)))</f>
        <v>2</v>
      </c>
    </row>
    <row r="2473" customFormat="false" ht="15" hidden="false" customHeight="true" outlineLevel="0" collapsed="false">
      <c r="A2473" s="26" t="s">
        <v>292</v>
      </c>
      <c r="B2473" s="26" t="s">
        <v>293</v>
      </c>
      <c r="C2473" s="14" t="n">
        <f aca="false">IF(A2473="","",IFERROR(VLOOKUP(A2473,'Recert Status'!$A$8:$C$400,3,FALSE()),""))</f>
        <v>46387</v>
      </c>
      <c r="D2473" s="18" t="s">
        <v>425</v>
      </c>
      <c r="E2473" s="26" t="s">
        <v>426</v>
      </c>
      <c r="F2473" s="27" t="n">
        <v>2</v>
      </c>
      <c r="G2473" s="28" t="n">
        <v>45929</v>
      </c>
      <c r="H2473" s="28" t="n">
        <v>45929</v>
      </c>
      <c r="I2473" s="18" t="s">
        <v>427</v>
      </c>
      <c r="J2473" s="26" t="s">
        <v>426</v>
      </c>
      <c r="K2473" s="18" t="s">
        <v>428</v>
      </c>
      <c r="L2473" s="27" t="n">
        <v>2</v>
      </c>
      <c r="M2473" s="41" t="s">
        <v>429</v>
      </c>
      <c r="N2473" s="18" t="s">
        <v>430</v>
      </c>
      <c r="O2473" s="27" t="n">
        <v>2</v>
      </c>
      <c r="P2473" s="15" t="n">
        <f aca="false">IF(A2473="","",IF(O2473&lt;&gt;"",O2473,IF(L2473&lt;&gt;"",L2473,F2473)))</f>
        <v>2</v>
      </c>
    </row>
    <row r="2474" customFormat="false" ht="15" hidden="false" customHeight="true" outlineLevel="0" collapsed="false">
      <c r="A2474" s="30" t="s">
        <v>292</v>
      </c>
      <c r="B2474" s="30" t="s">
        <v>293</v>
      </c>
      <c r="C2474" s="21" t="n">
        <f aca="false">IF(A2474="","",IFERROR(VLOOKUP(A2474,'Recert Status'!$A$8:$C$400,3,FALSE()),""))</f>
        <v>46387</v>
      </c>
      <c r="D2474" s="31" t="s">
        <v>1683</v>
      </c>
      <c r="E2474" s="30" t="s">
        <v>426</v>
      </c>
      <c r="F2474" s="32" t="n">
        <v>3</v>
      </c>
      <c r="G2474" s="33" t="n">
        <v>46020</v>
      </c>
      <c r="H2474" s="33" t="n">
        <v>46020</v>
      </c>
      <c r="I2474" s="31" t="s">
        <v>1684</v>
      </c>
      <c r="J2474" s="30" t="s">
        <v>426</v>
      </c>
      <c r="K2474" s="31" t="s">
        <v>428</v>
      </c>
      <c r="L2474" s="32" t="n">
        <v>3</v>
      </c>
      <c r="M2474" s="41" t="s">
        <v>429</v>
      </c>
      <c r="N2474" s="31" t="s">
        <v>430</v>
      </c>
      <c r="O2474" s="32" t="n">
        <v>3</v>
      </c>
      <c r="P2474" s="15" t="n">
        <f aca="false">IF(A2474="","",IF(O2474&lt;&gt;"",O2474,IF(L2474&lt;&gt;"",L2474,F2474)))</f>
        <v>3</v>
      </c>
    </row>
    <row r="2475" customFormat="false" ht="15" hidden="false" customHeight="true" outlineLevel="0" collapsed="false">
      <c r="A2475" s="26" t="s">
        <v>292</v>
      </c>
      <c r="B2475" s="26" t="s">
        <v>293</v>
      </c>
      <c r="C2475" s="14" t="n">
        <f aca="false">IF(A2475="","",IFERROR(VLOOKUP(A2475,'Recert Status'!$A$8:$C$400,3,FALSE()),""))</f>
        <v>46387</v>
      </c>
      <c r="D2475" s="18" t="s">
        <v>732</v>
      </c>
      <c r="E2475" s="26" t="s">
        <v>372</v>
      </c>
      <c r="F2475" s="27" t="n">
        <v>1</v>
      </c>
      <c r="G2475" s="28" t="n">
        <v>46017</v>
      </c>
      <c r="H2475" s="28" t="n">
        <v>46017</v>
      </c>
      <c r="I2475" s="18" t="s">
        <v>1685</v>
      </c>
      <c r="J2475" s="26" t="s">
        <v>372</v>
      </c>
      <c r="K2475" s="18" t="s">
        <v>374</v>
      </c>
      <c r="L2475" s="27" t="n">
        <v>1</v>
      </c>
      <c r="M2475" s="34" t="s">
        <v>375</v>
      </c>
      <c r="N2475" s="18" t="s">
        <v>376</v>
      </c>
      <c r="O2475" s="27" t="n">
        <v>1</v>
      </c>
      <c r="P2475" s="15" t="n">
        <f aca="false">IF(A2475="","",IF(O2475&lt;&gt;"",O2475,IF(L2475&lt;&gt;"",L2475,F2475)))</f>
        <v>1</v>
      </c>
    </row>
    <row r="2476" customFormat="false" ht="15" hidden="false" customHeight="true" outlineLevel="0" collapsed="false">
      <c r="A2476" s="30" t="s">
        <v>292</v>
      </c>
      <c r="B2476" s="30" t="s">
        <v>293</v>
      </c>
      <c r="C2476" s="21" t="n">
        <f aca="false">IF(A2476="","",IFERROR(VLOOKUP(A2476,'Recert Status'!$A$8:$C$400,3,FALSE()),""))</f>
        <v>46387</v>
      </c>
      <c r="D2476" s="31" t="s">
        <v>457</v>
      </c>
      <c r="E2476" s="30" t="s">
        <v>416</v>
      </c>
      <c r="F2476" s="32" t="n">
        <v>2</v>
      </c>
      <c r="G2476" s="33" t="n">
        <v>45860</v>
      </c>
      <c r="H2476" s="33" t="n">
        <v>45860</v>
      </c>
      <c r="I2476" s="31" t="s">
        <v>533</v>
      </c>
      <c r="J2476" s="30" t="s">
        <v>416</v>
      </c>
      <c r="K2476" s="31" t="s">
        <v>523</v>
      </c>
      <c r="L2476" s="32" t="n">
        <v>2</v>
      </c>
      <c r="M2476" s="39" t="s">
        <v>413</v>
      </c>
      <c r="N2476" s="31" t="s">
        <v>414</v>
      </c>
      <c r="O2476" s="32" t="n">
        <v>2</v>
      </c>
      <c r="P2476" s="15" t="n">
        <f aca="false">IF(A2476="","",IF(O2476&lt;&gt;"",O2476,IF(L2476&lt;&gt;"",L2476,F2476)))</f>
        <v>2</v>
      </c>
    </row>
    <row r="2477" customFormat="false" ht="15" hidden="false" customHeight="true" outlineLevel="0" collapsed="false">
      <c r="A2477" s="26" t="s">
        <v>292</v>
      </c>
      <c r="B2477" s="26" t="s">
        <v>293</v>
      </c>
      <c r="C2477" s="14" t="n">
        <f aca="false">IF(A2477="","",IFERROR(VLOOKUP(A2477,'Recert Status'!$A$8:$C$400,3,FALSE()),""))</f>
        <v>46387</v>
      </c>
      <c r="D2477" s="18" t="s">
        <v>414</v>
      </c>
      <c r="E2477" s="26" t="s">
        <v>416</v>
      </c>
      <c r="F2477" s="27" t="n">
        <v>2</v>
      </c>
      <c r="G2477" s="28" t="n">
        <v>46219</v>
      </c>
      <c r="H2477" s="28" t="n">
        <v>46219</v>
      </c>
      <c r="I2477" s="18" t="s">
        <v>567</v>
      </c>
      <c r="J2477" s="26" t="s">
        <v>416</v>
      </c>
      <c r="K2477" s="18" t="s">
        <v>418</v>
      </c>
      <c r="L2477" s="27" t="n">
        <v>2</v>
      </c>
      <c r="M2477" s="39" t="s">
        <v>413</v>
      </c>
      <c r="N2477" s="18" t="s">
        <v>414</v>
      </c>
      <c r="O2477" s="27" t="n">
        <v>2</v>
      </c>
      <c r="P2477" s="15" t="n">
        <f aca="false">IF(A2477="","",IF(O2477&lt;&gt;"",O2477,IF(L2477&lt;&gt;"",L2477,F2477)))</f>
        <v>2</v>
      </c>
    </row>
    <row r="2478" customFormat="false" ht="15" hidden="false" customHeight="true" outlineLevel="0" collapsed="false">
      <c r="A2478" s="30" t="s">
        <v>294</v>
      </c>
      <c r="B2478" s="30" t="s">
        <v>295</v>
      </c>
      <c r="C2478" s="21" t="n">
        <f aca="false">IF(A2478="","",IFERROR(VLOOKUP(A2478,'Recert Status'!$A$8:$C$400,3,FALSE()),""))</f>
        <v>46752</v>
      </c>
      <c r="D2478" s="31" t="s">
        <v>496</v>
      </c>
      <c r="E2478" s="30" t="s">
        <v>542</v>
      </c>
      <c r="F2478" s="32" t="n">
        <v>4</v>
      </c>
      <c r="G2478" s="33" t="n">
        <v>45961</v>
      </c>
      <c r="H2478" s="33" t="n">
        <v>45961</v>
      </c>
      <c r="I2478" s="31" t="s">
        <v>587</v>
      </c>
      <c r="J2478" s="30" t="s">
        <v>542</v>
      </c>
      <c r="K2478" s="31" t="s">
        <v>422</v>
      </c>
      <c r="L2478" s="32" t="n">
        <v>4</v>
      </c>
      <c r="M2478" s="40" t="s">
        <v>423</v>
      </c>
      <c r="N2478" s="31" t="s">
        <v>424</v>
      </c>
      <c r="O2478" s="32" t="n">
        <v>4</v>
      </c>
      <c r="P2478" s="15" t="n">
        <f aca="false">IF(A2478="","",IF(O2478&lt;&gt;"",O2478,IF(L2478&lt;&gt;"",L2478,F2478)))</f>
        <v>4</v>
      </c>
    </row>
    <row r="2479" customFormat="false" ht="15" hidden="false" customHeight="true" outlineLevel="0" collapsed="false">
      <c r="A2479" s="26" t="s">
        <v>294</v>
      </c>
      <c r="B2479" s="26" t="s">
        <v>295</v>
      </c>
      <c r="C2479" s="14" t="n">
        <f aca="false">IF(A2479="","",IFERROR(VLOOKUP(A2479,'Recert Status'!$A$8:$C$400,3,FALSE()),""))</f>
        <v>46752</v>
      </c>
      <c r="D2479" s="18" t="s">
        <v>387</v>
      </c>
      <c r="E2479" s="26" t="s">
        <v>389</v>
      </c>
      <c r="F2479" s="27" t="n">
        <v>0.5</v>
      </c>
      <c r="G2479" s="28" t="n">
        <v>46211</v>
      </c>
      <c r="H2479" s="28" t="n">
        <v>46211</v>
      </c>
      <c r="I2479" s="18" t="s">
        <v>1171</v>
      </c>
      <c r="J2479" s="26" t="s">
        <v>389</v>
      </c>
      <c r="K2479" s="18" t="s">
        <v>395</v>
      </c>
      <c r="L2479" s="27" t="n">
        <v>0.5</v>
      </c>
      <c r="M2479" s="35" t="s">
        <v>386</v>
      </c>
      <c r="N2479" s="18" t="s">
        <v>387</v>
      </c>
      <c r="O2479" s="27" t="n">
        <v>0.5</v>
      </c>
      <c r="P2479" s="15" t="n">
        <f aca="false">IF(A2479="","",IF(O2479&lt;&gt;"",O2479,IF(L2479&lt;&gt;"",L2479,F2479)))</f>
        <v>0.5</v>
      </c>
    </row>
    <row r="2480" customFormat="false" ht="15" hidden="false" customHeight="true" outlineLevel="0" collapsed="false">
      <c r="A2480" s="30" t="s">
        <v>294</v>
      </c>
      <c r="B2480" s="30" t="s">
        <v>295</v>
      </c>
      <c r="C2480" s="21" t="n">
        <f aca="false">IF(A2480="","",IFERROR(VLOOKUP(A2480,'Recert Status'!$A$8:$C$400,3,FALSE()),""))</f>
        <v>46752</v>
      </c>
      <c r="D2480" s="31" t="s">
        <v>597</v>
      </c>
      <c r="E2480" s="30" t="n">
        <v>29735</v>
      </c>
      <c r="F2480" s="32" t="n">
        <v>4</v>
      </c>
      <c r="G2480" s="33" t="n">
        <v>45961</v>
      </c>
      <c r="H2480" s="33" t="n">
        <v>45961</v>
      </c>
      <c r="I2480" s="31" t="s">
        <v>598</v>
      </c>
      <c r="J2480" s="30" t="s">
        <v>599</v>
      </c>
      <c r="K2480" s="31" t="s">
        <v>600</v>
      </c>
      <c r="L2480" s="32" t="n">
        <v>4</v>
      </c>
      <c r="M2480" s="36" t="s">
        <v>396</v>
      </c>
      <c r="N2480" s="31" t="s">
        <v>397</v>
      </c>
      <c r="O2480" s="32" t="n">
        <v>4</v>
      </c>
      <c r="P2480" s="15" t="n">
        <f aca="false">IF(A2480="","",IF(O2480&lt;&gt;"",O2480,IF(L2480&lt;&gt;"",L2480,F2480)))</f>
        <v>4</v>
      </c>
    </row>
    <row r="2481" customFormat="false" ht="15" hidden="false" customHeight="true" outlineLevel="0" collapsed="false">
      <c r="A2481" s="26" t="s">
        <v>294</v>
      </c>
      <c r="B2481" s="26" t="s">
        <v>295</v>
      </c>
      <c r="C2481" s="14" t="n">
        <f aca="false">IF(A2481="","",IFERROR(VLOOKUP(A2481,'Recert Status'!$A$8:$C$400,3,FALSE()),""))</f>
        <v>46752</v>
      </c>
      <c r="D2481" s="18" t="s">
        <v>397</v>
      </c>
      <c r="E2481" s="26" t="s">
        <v>452</v>
      </c>
      <c r="F2481" s="27" t="n">
        <v>1</v>
      </c>
      <c r="G2481" s="28" t="n">
        <v>46246</v>
      </c>
      <c r="H2481" s="28" t="n">
        <v>46246</v>
      </c>
      <c r="I2481" s="18" t="s">
        <v>478</v>
      </c>
      <c r="J2481" s="26" t="s">
        <v>452</v>
      </c>
      <c r="K2481" s="18" t="s">
        <v>385</v>
      </c>
      <c r="L2481" s="27" t="n">
        <v>1</v>
      </c>
      <c r="M2481" s="36" t="s">
        <v>396</v>
      </c>
      <c r="N2481" s="18" t="s">
        <v>397</v>
      </c>
      <c r="O2481" s="27" t="n">
        <v>1</v>
      </c>
      <c r="P2481" s="15" t="n">
        <f aca="false">IF(A2481="","",IF(O2481&lt;&gt;"",O2481,IF(L2481&lt;&gt;"",L2481,F2481)))</f>
        <v>1</v>
      </c>
    </row>
    <row r="2482" customFormat="false" ht="15" hidden="false" customHeight="true" outlineLevel="0" collapsed="false">
      <c r="A2482" s="30" t="s">
        <v>294</v>
      </c>
      <c r="B2482" s="30" t="s">
        <v>295</v>
      </c>
      <c r="C2482" s="21" t="n">
        <f aca="false">IF(A2482="","",IFERROR(VLOOKUP(A2482,'Recert Status'!$A$8:$C$400,3,FALSE()),""))</f>
        <v>46752</v>
      </c>
      <c r="D2482" s="31" t="s">
        <v>397</v>
      </c>
      <c r="E2482" s="30" t="s">
        <v>452</v>
      </c>
      <c r="F2482" s="32" t="n">
        <v>1</v>
      </c>
      <c r="G2482" s="33" t="n">
        <v>46292</v>
      </c>
      <c r="H2482" s="33" t="n">
        <v>46292</v>
      </c>
      <c r="I2482" s="31" t="s">
        <v>1233</v>
      </c>
      <c r="J2482" s="30" t="s">
        <v>452</v>
      </c>
      <c r="K2482" s="31" t="s">
        <v>385</v>
      </c>
      <c r="L2482" s="32" t="n">
        <v>1</v>
      </c>
      <c r="M2482" s="36" t="s">
        <v>396</v>
      </c>
      <c r="N2482" s="31" t="s">
        <v>397</v>
      </c>
      <c r="O2482" s="32" t="n">
        <v>1</v>
      </c>
      <c r="P2482" s="15" t="n">
        <f aca="false">IF(A2482="","",IF(O2482&lt;&gt;"",O2482,IF(L2482&lt;&gt;"",L2482,F2482)))</f>
        <v>1</v>
      </c>
    </row>
    <row r="2483" customFormat="false" ht="15" hidden="false" customHeight="true" outlineLevel="0" collapsed="false">
      <c r="A2483" s="26" t="s">
        <v>294</v>
      </c>
      <c r="B2483" s="26" t="s">
        <v>295</v>
      </c>
      <c r="C2483" s="14" t="n">
        <f aca="false">IF(A2483="","",IFERROR(VLOOKUP(A2483,'Recert Status'!$A$8:$C$400,3,FALSE()),""))</f>
        <v>46752</v>
      </c>
      <c r="D2483" s="18" t="s">
        <v>488</v>
      </c>
      <c r="E2483" s="26" t="s">
        <v>416</v>
      </c>
      <c r="F2483" s="27" t="n">
        <v>1</v>
      </c>
      <c r="G2483" s="28" t="n">
        <v>46126</v>
      </c>
      <c r="H2483" s="28" t="n">
        <v>46126</v>
      </c>
      <c r="I2483" s="18" t="s">
        <v>489</v>
      </c>
      <c r="J2483" s="26" t="s">
        <v>416</v>
      </c>
      <c r="K2483" s="18" t="s">
        <v>490</v>
      </c>
      <c r="L2483" s="27" t="n">
        <v>1</v>
      </c>
      <c r="M2483" s="39" t="s">
        <v>413</v>
      </c>
      <c r="N2483" s="18" t="s">
        <v>414</v>
      </c>
      <c r="O2483" s="27" t="n">
        <v>1</v>
      </c>
      <c r="P2483" s="15" t="n">
        <f aca="false">IF(A2483="","",IF(O2483&lt;&gt;"",O2483,IF(L2483&lt;&gt;"",L2483,F2483)))</f>
        <v>1</v>
      </c>
    </row>
    <row r="2484" customFormat="false" ht="15" hidden="false" customHeight="true" outlineLevel="0" collapsed="false">
      <c r="A2484" s="30" t="s">
        <v>294</v>
      </c>
      <c r="B2484" s="30" t="s">
        <v>295</v>
      </c>
      <c r="C2484" s="21" t="n">
        <f aca="false">IF(A2484="","",IFERROR(VLOOKUP(A2484,'Recert Status'!$A$8:$C$400,3,FALSE()),""))</f>
        <v>46752</v>
      </c>
      <c r="D2484" s="31" t="s">
        <v>414</v>
      </c>
      <c r="E2484" s="30" t="s">
        <v>416</v>
      </c>
      <c r="F2484" s="32" t="n">
        <v>1</v>
      </c>
      <c r="G2484" s="33" t="n">
        <v>46201</v>
      </c>
      <c r="H2484" s="33" t="n">
        <v>46201</v>
      </c>
      <c r="I2484" s="31" t="s">
        <v>1370</v>
      </c>
      <c r="J2484" s="30" t="s">
        <v>416</v>
      </c>
      <c r="K2484" s="31" t="s">
        <v>485</v>
      </c>
      <c r="L2484" s="32" t="n">
        <v>1</v>
      </c>
      <c r="M2484" s="39" t="s">
        <v>413</v>
      </c>
      <c r="N2484" s="31" t="s">
        <v>414</v>
      </c>
      <c r="O2484" s="32" t="n">
        <v>1</v>
      </c>
      <c r="P2484" s="15" t="n">
        <f aca="false">IF(A2484="","",IF(O2484&lt;&gt;"",O2484,IF(L2484&lt;&gt;"",L2484,F2484)))</f>
        <v>1</v>
      </c>
    </row>
    <row r="2485" customFormat="false" ht="15" hidden="false" customHeight="true" outlineLevel="0" collapsed="false">
      <c r="A2485" s="26" t="s">
        <v>294</v>
      </c>
      <c r="B2485" s="26" t="s">
        <v>295</v>
      </c>
      <c r="C2485" s="14" t="n">
        <f aca="false">IF(A2485="","",IFERROR(VLOOKUP(A2485,'Recert Status'!$A$8:$C$400,3,FALSE()),""))</f>
        <v>46752</v>
      </c>
      <c r="D2485" s="18" t="s">
        <v>414</v>
      </c>
      <c r="E2485" s="26" t="s">
        <v>416</v>
      </c>
      <c r="F2485" s="27" t="n">
        <v>2</v>
      </c>
      <c r="G2485" s="28" t="n">
        <v>46219</v>
      </c>
      <c r="H2485" s="28" t="n">
        <v>46219</v>
      </c>
      <c r="I2485" s="18" t="s">
        <v>567</v>
      </c>
      <c r="J2485" s="26" t="s">
        <v>416</v>
      </c>
      <c r="K2485" s="18" t="s">
        <v>418</v>
      </c>
      <c r="L2485" s="27" t="n">
        <v>2</v>
      </c>
      <c r="M2485" s="39" t="s">
        <v>413</v>
      </c>
      <c r="N2485" s="18" t="s">
        <v>414</v>
      </c>
      <c r="O2485" s="27" t="n">
        <v>2</v>
      </c>
      <c r="P2485" s="15" t="n">
        <f aca="false">IF(A2485="","",IF(O2485&lt;&gt;"",O2485,IF(L2485&lt;&gt;"",L2485,F2485)))</f>
        <v>2</v>
      </c>
    </row>
    <row r="2486" customFormat="false" ht="15" hidden="false" customHeight="true" outlineLevel="0" collapsed="false">
      <c r="A2486" s="30" t="s">
        <v>296</v>
      </c>
      <c r="B2486" s="30" t="s">
        <v>297</v>
      </c>
      <c r="C2486" s="21" t="n">
        <f aca="false">IF(A2486="","",IFERROR(VLOOKUP(A2486,'Recert Status'!$A$8:$C$400,3,FALSE()),""))</f>
        <v>46387</v>
      </c>
      <c r="D2486" s="31" t="s">
        <v>753</v>
      </c>
      <c r="E2486" s="30" t="s">
        <v>363</v>
      </c>
      <c r="F2486" s="32" t="n">
        <v>2</v>
      </c>
      <c r="G2486" s="33" t="n">
        <v>46069</v>
      </c>
      <c r="H2486" s="33" t="n">
        <v>46069</v>
      </c>
      <c r="I2486" s="31" t="s">
        <v>1041</v>
      </c>
      <c r="J2486" s="30" t="s">
        <v>363</v>
      </c>
      <c r="K2486" s="31" t="s">
        <v>1036</v>
      </c>
      <c r="L2486" s="32" t="n">
        <v>2</v>
      </c>
      <c r="M2486" s="29" t="s">
        <v>366</v>
      </c>
      <c r="N2486" s="31" t="s">
        <v>367</v>
      </c>
      <c r="O2486" s="32" t="n">
        <v>2</v>
      </c>
      <c r="P2486" s="15" t="n">
        <f aca="false">IF(A2486="","",IF(O2486&lt;&gt;"",O2486,IF(L2486&lt;&gt;"",L2486,F2486)))</f>
        <v>2</v>
      </c>
    </row>
    <row r="2487" customFormat="false" ht="15" hidden="false" customHeight="true" outlineLevel="0" collapsed="false">
      <c r="A2487" s="26" t="s">
        <v>296</v>
      </c>
      <c r="B2487" s="26" t="s">
        <v>297</v>
      </c>
      <c r="C2487" s="14" t="n">
        <f aca="false">IF(A2487="","",IFERROR(VLOOKUP(A2487,'Recert Status'!$A$8:$C$400,3,FALSE()),""))</f>
        <v>46387</v>
      </c>
      <c r="D2487" s="18" t="s">
        <v>800</v>
      </c>
      <c r="E2487" s="26" t="s">
        <v>426</v>
      </c>
      <c r="F2487" s="27" t="n">
        <v>2</v>
      </c>
      <c r="G2487" s="28" t="n">
        <v>45929</v>
      </c>
      <c r="H2487" s="28" t="n">
        <v>45929</v>
      </c>
      <c r="I2487" s="18" t="s">
        <v>1580</v>
      </c>
      <c r="J2487" s="26" t="s">
        <v>426</v>
      </c>
      <c r="K2487" s="18" t="s">
        <v>495</v>
      </c>
      <c r="L2487" s="27" t="n">
        <v>2</v>
      </c>
      <c r="M2487" s="41" t="s">
        <v>429</v>
      </c>
      <c r="N2487" s="18" t="s">
        <v>430</v>
      </c>
      <c r="O2487" s="27" t="n">
        <v>2</v>
      </c>
      <c r="P2487" s="15" t="n">
        <f aca="false">IF(A2487="","",IF(O2487&lt;&gt;"",O2487,IF(L2487&lt;&gt;"",L2487,F2487)))</f>
        <v>2</v>
      </c>
    </row>
    <row r="2488" customFormat="false" ht="15" hidden="false" customHeight="true" outlineLevel="0" collapsed="false">
      <c r="A2488" s="30" t="s">
        <v>296</v>
      </c>
      <c r="B2488" s="30" t="s">
        <v>297</v>
      </c>
      <c r="C2488" s="21" t="n">
        <f aca="false">IF(A2488="","",IFERROR(VLOOKUP(A2488,'Recert Status'!$A$8:$C$400,3,FALSE()),""))</f>
        <v>46387</v>
      </c>
      <c r="D2488" s="31" t="s">
        <v>884</v>
      </c>
      <c r="E2488" s="30" t="s">
        <v>426</v>
      </c>
      <c r="F2488" s="32" t="n">
        <v>2</v>
      </c>
      <c r="G2488" s="33" t="n">
        <v>45929</v>
      </c>
      <c r="H2488" s="33" t="n">
        <v>45929</v>
      </c>
      <c r="I2488" s="31" t="s">
        <v>885</v>
      </c>
      <c r="J2488" s="30" t="s">
        <v>426</v>
      </c>
      <c r="K2488" s="31" t="s">
        <v>428</v>
      </c>
      <c r="L2488" s="32" t="n">
        <v>2</v>
      </c>
      <c r="M2488" s="41" t="s">
        <v>429</v>
      </c>
      <c r="N2488" s="31" t="s">
        <v>430</v>
      </c>
      <c r="O2488" s="32" t="n">
        <v>2</v>
      </c>
      <c r="P2488" s="15" t="n">
        <f aca="false">IF(A2488="","",IF(O2488&lt;&gt;"",O2488,IF(L2488&lt;&gt;"",L2488,F2488)))</f>
        <v>2</v>
      </c>
    </row>
    <row r="2489" customFormat="false" ht="15" hidden="false" customHeight="true" outlineLevel="0" collapsed="false">
      <c r="A2489" s="26" t="s">
        <v>296</v>
      </c>
      <c r="B2489" s="26" t="s">
        <v>297</v>
      </c>
      <c r="C2489" s="14" t="n">
        <f aca="false">IF(A2489="","",IFERROR(VLOOKUP(A2489,'Recert Status'!$A$8:$C$400,3,FALSE()),""))</f>
        <v>46387</v>
      </c>
      <c r="D2489" s="18" t="s">
        <v>1335</v>
      </c>
      <c r="E2489" s="26" t="s">
        <v>426</v>
      </c>
      <c r="F2489" s="27" t="n">
        <v>2</v>
      </c>
      <c r="G2489" s="28" t="n">
        <v>46076</v>
      </c>
      <c r="H2489" s="28" t="n">
        <v>46076</v>
      </c>
      <c r="I2489" s="18" t="s">
        <v>1336</v>
      </c>
      <c r="J2489" s="26" t="s">
        <v>426</v>
      </c>
      <c r="K2489" s="18" t="s">
        <v>428</v>
      </c>
      <c r="L2489" s="27" t="n">
        <v>2</v>
      </c>
      <c r="M2489" s="41" t="s">
        <v>429</v>
      </c>
      <c r="N2489" s="18" t="s">
        <v>430</v>
      </c>
      <c r="O2489" s="27" t="n">
        <v>2</v>
      </c>
      <c r="P2489" s="15" t="n">
        <f aca="false">IF(A2489="","",IF(O2489&lt;&gt;"",O2489,IF(L2489&lt;&gt;"",L2489,F2489)))</f>
        <v>2</v>
      </c>
    </row>
    <row r="2490" customFormat="false" ht="15" hidden="false" customHeight="true" outlineLevel="0" collapsed="false">
      <c r="A2490" s="30" t="s">
        <v>296</v>
      </c>
      <c r="B2490" s="30" t="s">
        <v>297</v>
      </c>
      <c r="C2490" s="21" t="n">
        <f aca="false">IF(A2490="","",IFERROR(VLOOKUP(A2490,'Recert Status'!$A$8:$C$400,3,FALSE()),""))</f>
        <v>46387</v>
      </c>
      <c r="D2490" s="31" t="s">
        <v>682</v>
      </c>
      <c r="E2490" s="30" t="n">
        <v>29675</v>
      </c>
      <c r="F2490" s="32" t="n">
        <v>1</v>
      </c>
      <c r="G2490" s="33" t="n">
        <v>45986</v>
      </c>
      <c r="H2490" s="33" t="n">
        <v>45986</v>
      </c>
      <c r="I2490" s="31" t="s">
        <v>793</v>
      </c>
      <c r="J2490" s="30" t="s">
        <v>406</v>
      </c>
      <c r="K2490" s="31" t="s">
        <v>446</v>
      </c>
      <c r="L2490" s="32" t="n">
        <v>1</v>
      </c>
      <c r="M2490" s="35" t="s">
        <v>386</v>
      </c>
      <c r="N2490" s="31" t="s">
        <v>387</v>
      </c>
      <c r="O2490" s="32" t="n">
        <v>1</v>
      </c>
      <c r="P2490" s="15" t="n">
        <f aca="false">IF(A2490="","",IF(O2490&lt;&gt;"",O2490,IF(L2490&lt;&gt;"",L2490,F2490)))</f>
        <v>1</v>
      </c>
    </row>
    <row r="2491" customFormat="false" ht="15" hidden="false" customHeight="true" outlineLevel="0" collapsed="false">
      <c r="A2491" s="26" t="s">
        <v>296</v>
      </c>
      <c r="B2491" s="26" t="s">
        <v>297</v>
      </c>
      <c r="C2491" s="14" t="n">
        <f aca="false">IF(A2491="","",IFERROR(VLOOKUP(A2491,'Recert Status'!$A$8:$C$400,3,FALSE()),""))</f>
        <v>46387</v>
      </c>
      <c r="D2491" s="18" t="s">
        <v>717</v>
      </c>
      <c r="E2491" s="26" t="s">
        <v>416</v>
      </c>
      <c r="F2491" s="27" t="n">
        <v>1</v>
      </c>
      <c r="G2491" s="28" t="n">
        <v>45824</v>
      </c>
      <c r="H2491" s="28" t="n">
        <v>45824</v>
      </c>
      <c r="I2491" s="18" t="s">
        <v>1228</v>
      </c>
      <c r="J2491" s="26" t="s">
        <v>416</v>
      </c>
      <c r="K2491" s="18" t="s">
        <v>418</v>
      </c>
      <c r="L2491" s="27" t="n">
        <v>1</v>
      </c>
      <c r="M2491" s="39" t="s">
        <v>413</v>
      </c>
      <c r="N2491" s="18" t="s">
        <v>414</v>
      </c>
      <c r="O2491" s="27" t="n">
        <v>1</v>
      </c>
      <c r="P2491" s="15" t="n">
        <f aca="false">IF(A2491="","",IF(O2491&lt;&gt;"",O2491,IF(L2491&lt;&gt;"",L2491,F2491)))</f>
        <v>1</v>
      </c>
    </row>
    <row r="2492" customFormat="false" ht="15" hidden="false" customHeight="true" outlineLevel="0" collapsed="false">
      <c r="A2492" s="30" t="s">
        <v>296</v>
      </c>
      <c r="B2492" s="30" t="s">
        <v>297</v>
      </c>
      <c r="C2492" s="21" t="n">
        <f aca="false">IF(A2492="","",IFERROR(VLOOKUP(A2492,'Recert Status'!$A$8:$C$400,3,FALSE()),""))</f>
        <v>46387</v>
      </c>
      <c r="D2492" s="31" t="s">
        <v>457</v>
      </c>
      <c r="E2492" s="30" t="s">
        <v>416</v>
      </c>
      <c r="F2492" s="32" t="n">
        <v>2</v>
      </c>
      <c r="G2492" s="33" t="n">
        <v>45860</v>
      </c>
      <c r="H2492" s="33" t="n">
        <v>45860</v>
      </c>
      <c r="I2492" s="31" t="s">
        <v>533</v>
      </c>
      <c r="J2492" s="30" t="s">
        <v>416</v>
      </c>
      <c r="K2492" s="31" t="s">
        <v>523</v>
      </c>
      <c r="L2492" s="32" t="n">
        <v>2</v>
      </c>
      <c r="M2492" s="39" t="s">
        <v>413</v>
      </c>
      <c r="N2492" s="31" t="s">
        <v>414</v>
      </c>
      <c r="O2492" s="32" t="n">
        <v>2</v>
      </c>
      <c r="P2492" s="15" t="n">
        <f aca="false">IF(A2492="","",IF(O2492&lt;&gt;"",O2492,IF(L2492&lt;&gt;"",L2492,F2492)))</f>
        <v>2</v>
      </c>
    </row>
    <row r="2493" customFormat="false" ht="15" hidden="false" customHeight="true" outlineLevel="0" collapsed="false">
      <c r="A2493" s="26" t="s">
        <v>296</v>
      </c>
      <c r="B2493" s="26" t="s">
        <v>297</v>
      </c>
      <c r="C2493" s="14" t="n">
        <f aca="false">IF(A2493="","",IFERROR(VLOOKUP(A2493,'Recert Status'!$A$8:$C$400,3,FALSE()),""))</f>
        <v>46387</v>
      </c>
      <c r="D2493" s="18" t="s">
        <v>488</v>
      </c>
      <c r="E2493" s="26" t="s">
        <v>416</v>
      </c>
      <c r="F2493" s="27" t="n">
        <v>1</v>
      </c>
      <c r="G2493" s="28" t="n">
        <v>46139</v>
      </c>
      <c r="H2493" s="28" t="n">
        <v>46139</v>
      </c>
      <c r="I2493" s="18" t="s">
        <v>610</v>
      </c>
      <c r="J2493" s="26" t="s">
        <v>416</v>
      </c>
      <c r="K2493" s="18" t="s">
        <v>490</v>
      </c>
      <c r="L2493" s="27" t="n">
        <v>1</v>
      </c>
      <c r="M2493" s="39" t="s">
        <v>413</v>
      </c>
      <c r="N2493" s="18" t="s">
        <v>414</v>
      </c>
      <c r="O2493" s="27" t="n">
        <v>1</v>
      </c>
      <c r="P2493" s="15" t="n">
        <f aca="false">IF(A2493="","",IF(O2493&lt;&gt;"",O2493,IF(L2493&lt;&gt;"",L2493,F2493)))</f>
        <v>1</v>
      </c>
    </row>
    <row r="2494" customFormat="false" ht="15" hidden="false" customHeight="true" outlineLevel="0" collapsed="false">
      <c r="A2494" s="30" t="s">
        <v>296</v>
      </c>
      <c r="B2494" s="30" t="s">
        <v>297</v>
      </c>
      <c r="C2494" s="21" t="n">
        <f aca="false">IF(A2494="","",IFERROR(VLOOKUP(A2494,'Recert Status'!$A$8:$C$400,3,FALSE()),""))</f>
        <v>46387</v>
      </c>
      <c r="D2494" s="31" t="s">
        <v>414</v>
      </c>
      <c r="E2494" s="30" t="s">
        <v>416</v>
      </c>
      <c r="F2494" s="32" t="n">
        <v>2</v>
      </c>
      <c r="G2494" s="33" t="n">
        <v>46217</v>
      </c>
      <c r="H2494" s="33" t="n">
        <v>46217</v>
      </c>
      <c r="I2494" s="31" t="s">
        <v>460</v>
      </c>
      <c r="J2494" s="30" t="s">
        <v>416</v>
      </c>
      <c r="K2494" s="31" t="s">
        <v>418</v>
      </c>
      <c r="L2494" s="32" t="n">
        <v>2</v>
      </c>
      <c r="M2494" s="39" t="s">
        <v>413</v>
      </c>
      <c r="N2494" s="31" t="s">
        <v>414</v>
      </c>
      <c r="O2494" s="32" t="n">
        <v>2</v>
      </c>
      <c r="P2494" s="15" t="n">
        <f aca="false">IF(A2494="","",IF(O2494&lt;&gt;"",O2494,IF(L2494&lt;&gt;"",L2494,F2494)))</f>
        <v>2</v>
      </c>
    </row>
    <row r="2495" customFormat="false" ht="15" hidden="false" customHeight="true" outlineLevel="0" collapsed="false">
      <c r="A2495" s="26" t="s">
        <v>298</v>
      </c>
      <c r="B2495" s="26"/>
      <c r="C2495" s="14" t="n">
        <f aca="false">IF(A2495="","",IFERROR(VLOOKUP(A2495,'Recert Status'!$A$8:$C$400,3,FALSE()),""))</f>
        <v>0</v>
      </c>
      <c r="D2495" s="18" t="s">
        <v>1341</v>
      </c>
      <c r="E2495" s="26" t="s">
        <v>363</v>
      </c>
      <c r="F2495" s="27" t="n">
        <v>1</v>
      </c>
      <c r="G2495" s="28" t="n">
        <v>45912</v>
      </c>
      <c r="H2495" s="28" t="n">
        <v>45912</v>
      </c>
      <c r="I2495" s="18" t="s">
        <v>1342</v>
      </c>
      <c r="J2495" s="26" t="s">
        <v>363</v>
      </c>
      <c r="K2495" s="18" t="s">
        <v>495</v>
      </c>
      <c r="L2495" s="27" t="n">
        <v>1</v>
      </c>
      <c r="M2495" s="29" t="s">
        <v>366</v>
      </c>
      <c r="N2495" s="18" t="s">
        <v>367</v>
      </c>
      <c r="O2495" s="27" t="n">
        <v>1</v>
      </c>
      <c r="P2495" s="15" t="n">
        <f aca="false">IF(A2495="","",IF(O2495&lt;&gt;"",O2495,IF(L2495&lt;&gt;"",L2495,F2495)))</f>
        <v>1</v>
      </c>
    </row>
    <row r="2496" customFormat="false" ht="15" hidden="false" customHeight="true" outlineLevel="0" collapsed="false">
      <c r="A2496" s="30" t="s">
        <v>298</v>
      </c>
      <c r="B2496" s="30"/>
      <c r="C2496" s="21" t="n">
        <f aca="false">IF(A2496="","",IFERROR(VLOOKUP(A2496,'Recert Status'!$A$8:$C$400,3,FALSE()),""))</f>
        <v>0</v>
      </c>
      <c r="D2496" s="31" t="s">
        <v>367</v>
      </c>
      <c r="E2496" s="30" t="s">
        <v>363</v>
      </c>
      <c r="F2496" s="32" t="n">
        <v>1</v>
      </c>
      <c r="G2496" s="33" t="n">
        <v>46266</v>
      </c>
      <c r="H2496" s="33" t="n">
        <v>46266</v>
      </c>
      <c r="I2496" s="31" t="s">
        <v>1686</v>
      </c>
      <c r="J2496" s="30" t="s">
        <v>363</v>
      </c>
      <c r="K2496" s="31" t="s">
        <v>365</v>
      </c>
      <c r="L2496" s="32" t="n">
        <v>1</v>
      </c>
      <c r="M2496" s="29" t="s">
        <v>366</v>
      </c>
      <c r="N2496" s="31" t="s">
        <v>367</v>
      </c>
      <c r="O2496" s="32" t="n">
        <v>1</v>
      </c>
      <c r="P2496" s="15" t="n">
        <f aca="false">IF(A2496="","",IF(O2496&lt;&gt;"",O2496,IF(L2496&lt;&gt;"",L2496,F2496)))</f>
        <v>1</v>
      </c>
    </row>
    <row r="2497" customFormat="false" ht="15" hidden="false" customHeight="true" outlineLevel="0" collapsed="false">
      <c r="A2497" s="26" t="s">
        <v>298</v>
      </c>
      <c r="B2497" s="26"/>
      <c r="C2497" s="14" t="n">
        <f aca="false">IF(A2497="","",IFERROR(VLOOKUP(A2497,'Recert Status'!$A$8:$C$400,3,FALSE()),""))</f>
        <v>0</v>
      </c>
      <c r="D2497" s="18" t="s">
        <v>962</v>
      </c>
      <c r="E2497" s="26" t="s">
        <v>426</v>
      </c>
      <c r="F2497" s="27" t="n">
        <v>1</v>
      </c>
      <c r="G2497" s="28" t="n">
        <v>45912</v>
      </c>
      <c r="H2497" s="28" t="n">
        <v>45912</v>
      </c>
      <c r="I2497" s="18" t="s">
        <v>1343</v>
      </c>
      <c r="J2497" s="26" t="s">
        <v>426</v>
      </c>
      <c r="K2497" s="18" t="s">
        <v>428</v>
      </c>
      <c r="L2497" s="27" t="n">
        <v>1</v>
      </c>
      <c r="M2497" s="41" t="s">
        <v>429</v>
      </c>
      <c r="N2497" s="18" t="s">
        <v>430</v>
      </c>
      <c r="O2497" s="27" t="n">
        <v>1</v>
      </c>
      <c r="P2497" s="15" t="n">
        <f aca="false">IF(A2497="","",IF(O2497&lt;&gt;"",O2497,IF(L2497&lt;&gt;"",L2497,F2497)))</f>
        <v>1</v>
      </c>
    </row>
    <row r="2498" customFormat="false" ht="15" hidden="false" customHeight="true" outlineLevel="0" collapsed="false">
      <c r="A2498" s="30" t="s">
        <v>298</v>
      </c>
      <c r="B2498" s="30"/>
      <c r="C2498" s="21" t="n">
        <f aca="false">IF(A2498="","",IFERROR(VLOOKUP(A2498,'Recert Status'!$A$8:$C$400,3,FALSE()),""))</f>
        <v>0</v>
      </c>
      <c r="D2498" s="31" t="s">
        <v>732</v>
      </c>
      <c r="E2498" s="30" t="s">
        <v>372</v>
      </c>
      <c r="F2498" s="32" t="n">
        <v>1</v>
      </c>
      <c r="G2498" s="33" t="n">
        <v>45768</v>
      </c>
      <c r="H2498" s="33" t="n">
        <v>45768</v>
      </c>
      <c r="I2498" s="31" t="s">
        <v>1687</v>
      </c>
      <c r="J2498" s="30" t="s">
        <v>372</v>
      </c>
      <c r="K2498" s="31" t="s">
        <v>735</v>
      </c>
      <c r="L2498" s="32" t="n">
        <v>1</v>
      </c>
      <c r="M2498" s="34" t="s">
        <v>375</v>
      </c>
      <c r="N2498" s="31" t="s">
        <v>376</v>
      </c>
      <c r="O2498" s="32" t="n">
        <v>1</v>
      </c>
      <c r="P2498" s="15" t="n">
        <f aca="false">IF(A2498="","",IF(O2498&lt;&gt;"",O2498,IF(L2498&lt;&gt;"",L2498,F2498)))</f>
        <v>1</v>
      </c>
    </row>
    <row r="2499" customFormat="false" ht="15" hidden="false" customHeight="true" outlineLevel="0" collapsed="false">
      <c r="A2499" s="26" t="s">
        <v>298</v>
      </c>
      <c r="B2499" s="26"/>
      <c r="C2499" s="14" t="n">
        <f aca="false">IF(A2499="","",IFERROR(VLOOKUP(A2499,'Recert Status'!$A$8:$C$400,3,FALSE()),""))</f>
        <v>0</v>
      </c>
      <c r="D2499" s="18" t="s">
        <v>771</v>
      </c>
      <c r="E2499" s="26" t="s">
        <v>372</v>
      </c>
      <c r="F2499" s="27" t="n">
        <v>1</v>
      </c>
      <c r="G2499" s="28" t="n">
        <v>46146</v>
      </c>
      <c r="H2499" s="28" t="n">
        <v>46146</v>
      </c>
      <c r="I2499" s="18" t="s">
        <v>868</v>
      </c>
      <c r="J2499" s="26" t="s">
        <v>372</v>
      </c>
      <c r="K2499" s="18" t="s">
        <v>374</v>
      </c>
      <c r="L2499" s="27" t="n">
        <v>1</v>
      </c>
      <c r="M2499" s="34" t="s">
        <v>375</v>
      </c>
      <c r="N2499" s="18" t="s">
        <v>376</v>
      </c>
      <c r="O2499" s="27" t="n">
        <v>1</v>
      </c>
      <c r="P2499" s="15" t="n">
        <f aca="false">IF(A2499="","",IF(O2499&lt;&gt;"",O2499,IF(L2499&lt;&gt;"",L2499,F2499)))</f>
        <v>1</v>
      </c>
    </row>
    <row r="2500" customFormat="false" ht="15" hidden="false" customHeight="true" outlineLevel="0" collapsed="false">
      <c r="A2500" s="30" t="s">
        <v>298</v>
      </c>
      <c r="B2500" s="30"/>
      <c r="C2500" s="21" t="n">
        <f aca="false">IF(A2500="","",IFERROR(VLOOKUP(A2500,'Recert Status'!$A$8:$C$400,3,FALSE()),""))</f>
        <v>0</v>
      </c>
      <c r="D2500" s="31" t="s">
        <v>1382</v>
      </c>
      <c r="E2500" s="30" t="n">
        <v>29740</v>
      </c>
      <c r="F2500" s="32" t="n">
        <v>0.5</v>
      </c>
      <c r="G2500" s="33" t="n">
        <v>45666</v>
      </c>
      <c r="H2500" s="33" t="n">
        <v>45666</v>
      </c>
      <c r="I2500" s="31" t="s">
        <v>1383</v>
      </c>
      <c r="J2500" s="30" t="s">
        <v>394</v>
      </c>
      <c r="K2500" s="31" t="s">
        <v>509</v>
      </c>
      <c r="L2500" s="32" t="n">
        <v>0.5</v>
      </c>
      <c r="M2500" s="35" t="s">
        <v>386</v>
      </c>
      <c r="N2500" s="31" t="s">
        <v>387</v>
      </c>
      <c r="O2500" s="32" t="n">
        <v>0.5</v>
      </c>
      <c r="P2500" s="15" t="n">
        <f aca="false">IF(A2500="","",IF(O2500&lt;&gt;"",O2500,IF(L2500&lt;&gt;"",L2500,F2500)))</f>
        <v>0.5</v>
      </c>
    </row>
    <row r="2501" customFormat="false" ht="15" hidden="false" customHeight="true" outlineLevel="0" collapsed="false">
      <c r="A2501" s="26" t="s">
        <v>298</v>
      </c>
      <c r="B2501" s="26"/>
      <c r="C2501" s="14" t="n">
        <f aca="false">IF(A2501="","",IFERROR(VLOOKUP(A2501,'Recert Status'!$A$8:$C$400,3,FALSE()),""))</f>
        <v>0</v>
      </c>
      <c r="D2501" s="18" t="s">
        <v>647</v>
      </c>
      <c r="E2501" s="26" t="n">
        <v>29675</v>
      </c>
      <c r="F2501" s="27" t="n">
        <v>1</v>
      </c>
      <c r="G2501" s="28" t="n">
        <v>45840</v>
      </c>
      <c r="H2501" s="28" t="n">
        <v>45840</v>
      </c>
      <c r="I2501" s="18" t="s">
        <v>648</v>
      </c>
      <c r="J2501" s="26" t="s">
        <v>406</v>
      </c>
      <c r="K2501" s="18" t="s">
        <v>385</v>
      </c>
      <c r="L2501" s="27" t="n">
        <v>1</v>
      </c>
      <c r="M2501" s="35" t="s">
        <v>386</v>
      </c>
      <c r="N2501" s="18" t="s">
        <v>387</v>
      </c>
      <c r="O2501" s="27" t="n">
        <v>1</v>
      </c>
      <c r="P2501" s="15" t="n">
        <f aca="false">IF(A2501="","",IF(O2501&lt;&gt;"",O2501,IF(L2501&lt;&gt;"",L2501,F2501)))</f>
        <v>1</v>
      </c>
    </row>
    <row r="2502" customFormat="false" ht="15" hidden="false" customHeight="true" outlineLevel="0" collapsed="false">
      <c r="A2502" s="30" t="s">
        <v>298</v>
      </c>
      <c r="B2502" s="30"/>
      <c r="C2502" s="21" t="n">
        <f aca="false">IF(A2502="","",IFERROR(VLOOKUP(A2502,'Recert Status'!$A$8:$C$400,3,FALSE()),""))</f>
        <v>0</v>
      </c>
      <c r="D2502" s="31" t="s">
        <v>1131</v>
      </c>
      <c r="E2502" s="30" t="n">
        <v>29743</v>
      </c>
      <c r="F2502" s="32" t="n">
        <v>0.5</v>
      </c>
      <c r="G2502" s="33" t="n">
        <v>45897</v>
      </c>
      <c r="H2502" s="33" t="n">
        <v>45897</v>
      </c>
      <c r="I2502" s="31" t="s">
        <v>1132</v>
      </c>
      <c r="J2502" s="30" t="s">
        <v>439</v>
      </c>
      <c r="K2502" s="31" t="s">
        <v>791</v>
      </c>
      <c r="L2502" s="32" t="n">
        <v>0.5</v>
      </c>
      <c r="M2502" s="35" t="s">
        <v>386</v>
      </c>
      <c r="N2502" s="31" t="s">
        <v>387</v>
      </c>
      <c r="O2502" s="32" t="n">
        <v>0.5</v>
      </c>
      <c r="P2502" s="15" t="n">
        <f aca="false">IF(A2502="","",IF(O2502&lt;&gt;"",O2502,IF(L2502&lt;&gt;"",L2502,F2502)))</f>
        <v>0.5</v>
      </c>
    </row>
    <row r="2503" customFormat="false" ht="15" hidden="false" customHeight="true" outlineLevel="0" collapsed="false">
      <c r="A2503" s="26" t="s">
        <v>298</v>
      </c>
      <c r="B2503" s="26"/>
      <c r="C2503" s="14" t="n">
        <f aca="false">IF(A2503="","",IFERROR(VLOOKUP(A2503,'Recert Status'!$A$8:$C$400,3,FALSE()),""))</f>
        <v>0</v>
      </c>
      <c r="D2503" s="18" t="s">
        <v>660</v>
      </c>
      <c r="E2503" s="26" t="n">
        <v>29675</v>
      </c>
      <c r="F2503" s="27" t="n">
        <v>1</v>
      </c>
      <c r="G2503" s="28" t="n">
        <v>45966</v>
      </c>
      <c r="H2503" s="28" t="n">
        <v>45966</v>
      </c>
      <c r="I2503" s="18" t="s">
        <v>661</v>
      </c>
      <c r="J2503" s="26" t="s">
        <v>406</v>
      </c>
      <c r="K2503" s="18" t="s">
        <v>395</v>
      </c>
      <c r="L2503" s="27" t="n">
        <v>1</v>
      </c>
      <c r="M2503" s="35" t="s">
        <v>386</v>
      </c>
      <c r="N2503" s="18" t="s">
        <v>387</v>
      </c>
      <c r="O2503" s="27" t="n">
        <v>1</v>
      </c>
      <c r="P2503" s="15" t="n">
        <f aca="false">IF(A2503="","",IF(O2503&lt;&gt;"",O2503,IF(L2503&lt;&gt;"",L2503,F2503)))</f>
        <v>1</v>
      </c>
    </row>
    <row r="2504" customFormat="false" ht="15" hidden="false" customHeight="true" outlineLevel="0" collapsed="false">
      <c r="A2504" s="30" t="s">
        <v>298</v>
      </c>
      <c r="B2504" s="30"/>
      <c r="C2504" s="21" t="n">
        <f aca="false">IF(A2504="","",IFERROR(VLOOKUP(A2504,'Recert Status'!$A$8:$C$400,3,FALSE()),""))</f>
        <v>0</v>
      </c>
      <c r="D2504" s="31" t="s">
        <v>387</v>
      </c>
      <c r="E2504" s="30" t="s">
        <v>389</v>
      </c>
      <c r="F2504" s="32" t="n">
        <v>0.5</v>
      </c>
      <c r="G2504" s="33" t="n">
        <v>46230</v>
      </c>
      <c r="H2504" s="33" t="n">
        <v>46230</v>
      </c>
      <c r="I2504" s="31" t="s">
        <v>594</v>
      </c>
      <c r="J2504" s="30" t="s">
        <v>389</v>
      </c>
      <c r="K2504" s="31" t="s">
        <v>451</v>
      </c>
      <c r="L2504" s="32" t="n">
        <v>0.5</v>
      </c>
      <c r="M2504" s="35" t="s">
        <v>386</v>
      </c>
      <c r="N2504" s="31" t="s">
        <v>387</v>
      </c>
      <c r="O2504" s="32" t="n">
        <v>0.5</v>
      </c>
      <c r="P2504" s="15" t="n">
        <f aca="false">IF(A2504="","",IF(O2504&lt;&gt;"",O2504,IF(L2504&lt;&gt;"",L2504,F2504)))</f>
        <v>0.5</v>
      </c>
    </row>
    <row r="2505" customFormat="false" ht="15" hidden="false" customHeight="true" outlineLevel="0" collapsed="false">
      <c r="A2505" s="26" t="s">
        <v>298</v>
      </c>
      <c r="B2505" s="26"/>
      <c r="C2505" s="14" t="n">
        <f aca="false">IF(A2505="","",IFERROR(VLOOKUP(A2505,'Recert Status'!$A$8:$C$400,3,FALSE()),""))</f>
        <v>0</v>
      </c>
      <c r="D2505" s="18" t="s">
        <v>662</v>
      </c>
      <c r="E2505" s="26" t="s">
        <v>452</v>
      </c>
      <c r="F2505" s="27" t="n">
        <v>1</v>
      </c>
      <c r="G2505" s="28" t="n">
        <v>45882</v>
      </c>
      <c r="H2505" s="28" t="n">
        <v>45882</v>
      </c>
      <c r="I2505" s="18" t="s">
        <v>663</v>
      </c>
      <c r="J2505" s="26" t="s">
        <v>452</v>
      </c>
      <c r="K2505" s="18" t="s">
        <v>385</v>
      </c>
      <c r="L2505" s="27" t="n">
        <v>1</v>
      </c>
      <c r="M2505" s="36" t="s">
        <v>396</v>
      </c>
      <c r="N2505" s="18" t="s">
        <v>397</v>
      </c>
      <c r="O2505" s="27" t="n">
        <v>1</v>
      </c>
      <c r="P2505" s="15" t="n">
        <f aca="false">IF(A2505="","",IF(O2505&lt;&gt;"",O2505,IF(L2505&lt;&gt;"",L2505,F2505)))</f>
        <v>1</v>
      </c>
    </row>
    <row r="2506" customFormat="false" ht="15" hidden="false" customHeight="true" outlineLevel="0" collapsed="false">
      <c r="A2506" s="30" t="s">
        <v>298</v>
      </c>
      <c r="B2506" s="30"/>
      <c r="C2506" s="21" t="n">
        <f aca="false">IF(A2506="","",IFERROR(VLOOKUP(A2506,'Recert Status'!$A$8:$C$400,3,FALSE()),""))</f>
        <v>0</v>
      </c>
      <c r="D2506" s="31" t="s">
        <v>662</v>
      </c>
      <c r="E2506" s="30" t="n">
        <v>57434</v>
      </c>
      <c r="F2506" s="32" t="n">
        <v>1</v>
      </c>
      <c r="G2506" s="33" t="n">
        <v>45972</v>
      </c>
      <c r="H2506" s="33" t="n">
        <v>45972</v>
      </c>
      <c r="I2506" s="31" t="s">
        <v>1629</v>
      </c>
      <c r="J2506" s="30" t="s">
        <v>1630</v>
      </c>
      <c r="K2506" s="31" t="s">
        <v>385</v>
      </c>
      <c r="L2506" s="32" t="n">
        <v>1</v>
      </c>
      <c r="M2506" s="36" t="s">
        <v>396</v>
      </c>
      <c r="N2506" s="31" t="s">
        <v>397</v>
      </c>
      <c r="O2506" s="32" t="n">
        <v>1</v>
      </c>
      <c r="P2506" s="15" t="n">
        <f aca="false">IF(A2506="","",IF(O2506&lt;&gt;"",O2506,IF(L2506&lt;&gt;"",L2506,F2506)))</f>
        <v>1</v>
      </c>
    </row>
    <row r="2507" customFormat="false" ht="15" hidden="false" customHeight="true" outlineLevel="0" collapsed="false">
      <c r="A2507" s="26" t="s">
        <v>298</v>
      </c>
      <c r="B2507" s="26"/>
      <c r="C2507" s="14" t="n">
        <f aca="false">IF(A2507="","",IFERROR(VLOOKUP(A2507,'Recert Status'!$A$8:$C$400,3,FALSE()),""))</f>
        <v>0</v>
      </c>
      <c r="D2507" s="18" t="s">
        <v>560</v>
      </c>
      <c r="E2507" s="26" t="n">
        <v>35513</v>
      </c>
      <c r="F2507" s="27" t="n">
        <v>1</v>
      </c>
      <c r="G2507" s="28" t="n">
        <v>46116</v>
      </c>
      <c r="H2507" s="28" t="n">
        <v>46116</v>
      </c>
      <c r="I2507" s="18" t="s">
        <v>1392</v>
      </c>
      <c r="J2507" s="26" t="s">
        <v>384</v>
      </c>
      <c r="K2507" s="18" t="s">
        <v>385</v>
      </c>
      <c r="L2507" s="27" t="n">
        <v>1</v>
      </c>
      <c r="M2507" s="36" t="s">
        <v>396</v>
      </c>
      <c r="N2507" s="18" t="s">
        <v>397</v>
      </c>
      <c r="O2507" s="27" t="n">
        <v>1</v>
      </c>
      <c r="P2507" s="15" t="n">
        <f aca="false">IF(A2507="","",IF(O2507&lt;&gt;"",O2507,IF(L2507&lt;&gt;"",L2507,F2507)))</f>
        <v>1</v>
      </c>
    </row>
    <row r="2508" customFormat="false" ht="15" hidden="false" customHeight="true" outlineLevel="0" collapsed="false">
      <c r="A2508" s="30" t="s">
        <v>298</v>
      </c>
      <c r="B2508" s="30"/>
      <c r="C2508" s="21" t="n">
        <f aca="false">IF(A2508="","",IFERROR(VLOOKUP(A2508,'Recert Status'!$A$8:$C$400,3,FALSE()),""))</f>
        <v>0</v>
      </c>
      <c r="D2508" s="31" t="s">
        <v>397</v>
      </c>
      <c r="E2508" s="30" t="s">
        <v>452</v>
      </c>
      <c r="F2508" s="32" t="n">
        <v>1</v>
      </c>
      <c r="G2508" s="33" t="n">
        <v>46245</v>
      </c>
      <c r="H2508" s="33" t="n">
        <v>46245</v>
      </c>
      <c r="I2508" s="31" t="s">
        <v>605</v>
      </c>
      <c r="J2508" s="30" t="s">
        <v>452</v>
      </c>
      <c r="K2508" s="31" t="s">
        <v>385</v>
      </c>
      <c r="L2508" s="32" t="n">
        <v>1</v>
      </c>
      <c r="M2508" s="36" t="s">
        <v>396</v>
      </c>
      <c r="N2508" s="31" t="s">
        <v>397</v>
      </c>
      <c r="O2508" s="32" t="n">
        <v>1</v>
      </c>
      <c r="P2508" s="15" t="n">
        <f aca="false">IF(A2508="","",IF(O2508&lt;&gt;"",O2508,IF(L2508&lt;&gt;"",L2508,F2508)))</f>
        <v>1</v>
      </c>
    </row>
    <row r="2509" customFormat="false" ht="15" hidden="false" customHeight="true" outlineLevel="0" collapsed="false">
      <c r="A2509" s="26" t="s">
        <v>298</v>
      </c>
      <c r="B2509" s="26"/>
      <c r="C2509" s="14" t="n">
        <f aca="false">IF(A2509="","",IFERROR(VLOOKUP(A2509,'Recert Status'!$A$8:$C$400,3,FALSE()),""))</f>
        <v>0</v>
      </c>
      <c r="D2509" s="18" t="s">
        <v>1638</v>
      </c>
      <c r="E2509" s="26" t="s">
        <v>399</v>
      </c>
      <c r="F2509" s="27" t="n">
        <v>1</v>
      </c>
      <c r="G2509" s="28" t="n">
        <v>45972</v>
      </c>
      <c r="H2509" s="28" t="n">
        <v>45972</v>
      </c>
      <c r="I2509" s="18" t="s">
        <v>1639</v>
      </c>
      <c r="J2509" s="26" t="s">
        <v>399</v>
      </c>
      <c r="K2509" s="18" t="s">
        <v>401</v>
      </c>
      <c r="L2509" s="27" t="n">
        <v>1</v>
      </c>
      <c r="M2509" s="37" t="s">
        <v>402</v>
      </c>
      <c r="N2509" s="18" t="s">
        <v>403</v>
      </c>
      <c r="O2509" s="27" t="n">
        <v>1</v>
      </c>
      <c r="P2509" s="15" t="n">
        <f aca="false">IF(A2509="","",IF(O2509&lt;&gt;"",O2509,IF(L2509&lt;&gt;"",L2509,F2509)))</f>
        <v>1</v>
      </c>
    </row>
    <row r="2510" customFormat="false" ht="15" hidden="false" customHeight="true" outlineLevel="0" collapsed="false">
      <c r="A2510" s="30" t="s">
        <v>298</v>
      </c>
      <c r="B2510" s="30"/>
      <c r="C2510" s="21" t="n">
        <f aca="false">IF(A2510="","",IFERROR(VLOOKUP(A2510,'Recert Status'!$A$8:$C$400,3,FALSE()),""))</f>
        <v>0</v>
      </c>
      <c r="D2510" s="31" t="s">
        <v>717</v>
      </c>
      <c r="E2510" s="30" t="s">
        <v>416</v>
      </c>
      <c r="F2510" s="32" t="n">
        <v>1</v>
      </c>
      <c r="G2510" s="33" t="n">
        <v>45826</v>
      </c>
      <c r="H2510" s="33" t="n">
        <v>45826</v>
      </c>
      <c r="I2510" s="31" t="s">
        <v>747</v>
      </c>
      <c r="J2510" s="30" t="s">
        <v>416</v>
      </c>
      <c r="K2510" s="31" t="s">
        <v>418</v>
      </c>
      <c r="L2510" s="32" t="n">
        <v>1</v>
      </c>
      <c r="M2510" s="39" t="s">
        <v>413</v>
      </c>
      <c r="N2510" s="31" t="s">
        <v>414</v>
      </c>
      <c r="O2510" s="32" t="n">
        <v>1</v>
      </c>
      <c r="P2510" s="15" t="n">
        <f aca="false">IF(A2510="","",IF(O2510&lt;&gt;"",O2510,IF(L2510&lt;&gt;"",L2510,F2510)))</f>
        <v>1</v>
      </c>
    </row>
    <row r="2511" customFormat="false" ht="15" hidden="false" customHeight="true" outlineLevel="0" collapsed="false">
      <c r="A2511" s="26" t="s">
        <v>298</v>
      </c>
      <c r="B2511" s="26"/>
      <c r="C2511" s="14" t="n">
        <f aca="false">IF(A2511="","",IFERROR(VLOOKUP(A2511,'Recert Status'!$A$8:$C$400,3,FALSE()),""))</f>
        <v>0</v>
      </c>
      <c r="D2511" s="18" t="s">
        <v>457</v>
      </c>
      <c r="E2511" s="26" t="s">
        <v>416</v>
      </c>
      <c r="F2511" s="27" t="n">
        <v>2</v>
      </c>
      <c r="G2511" s="28" t="n">
        <v>45861</v>
      </c>
      <c r="H2511" s="28" t="n">
        <v>45861</v>
      </c>
      <c r="I2511" s="18" t="s">
        <v>921</v>
      </c>
      <c r="J2511" s="26" t="s">
        <v>416</v>
      </c>
      <c r="K2511" s="18" t="s">
        <v>418</v>
      </c>
      <c r="L2511" s="27" t="n">
        <v>2</v>
      </c>
      <c r="M2511" s="39" t="s">
        <v>413</v>
      </c>
      <c r="N2511" s="18" t="s">
        <v>414</v>
      </c>
      <c r="O2511" s="27" t="n">
        <v>2</v>
      </c>
      <c r="P2511" s="15" t="n">
        <f aca="false">IF(A2511="","",IF(O2511&lt;&gt;"",O2511,IF(L2511&lt;&gt;"",L2511,F2511)))</f>
        <v>2</v>
      </c>
    </row>
    <row r="2512" customFormat="false" ht="15" hidden="false" customHeight="true" outlineLevel="0" collapsed="false">
      <c r="A2512" s="30" t="s">
        <v>298</v>
      </c>
      <c r="B2512" s="30"/>
      <c r="C2512" s="21" t="n">
        <f aca="false">IF(A2512="","",IFERROR(VLOOKUP(A2512,'Recert Status'!$A$8:$C$400,3,FALSE()),""))</f>
        <v>0</v>
      </c>
      <c r="D2512" s="31" t="s">
        <v>672</v>
      </c>
      <c r="E2512" s="30" t="s">
        <v>416</v>
      </c>
      <c r="F2512" s="32" t="n">
        <v>1</v>
      </c>
      <c r="G2512" s="33" t="n">
        <v>45933</v>
      </c>
      <c r="H2512" s="33" t="n">
        <v>45933</v>
      </c>
      <c r="I2512" s="31" t="s">
        <v>675</v>
      </c>
      <c r="J2512" s="30" t="s">
        <v>416</v>
      </c>
      <c r="K2512" s="31" t="s">
        <v>674</v>
      </c>
      <c r="L2512" s="32" t="n">
        <v>1</v>
      </c>
      <c r="M2512" s="39" t="s">
        <v>413</v>
      </c>
      <c r="N2512" s="31" t="s">
        <v>414</v>
      </c>
      <c r="O2512" s="32" t="n">
        <v>1</v>
      </c>
      <c r="P2512" s="15" t="n">
        <f aca="false">IF(A2512="","",IF(O2512&lt;&gt;"",O2512,IF(L2512&lt;&gt;"",L2512,F2512)))</f>
        <v>1</v>
      </c>
    </row>
    <row r="2513" customFormat="false" ht="15" hidden="false" customHeight="true" outlineLevel="0" collapsed="false">
      <c r="A2513" s="26" t="s">
        <v>298</v>
      </c>
      <c r="B2513" s="26"/>
      <c r="C2513" s="14" t="n">
        <f aca="false">IF(A2513="","",IFERROR(VLOOKUP(A2513,'Recert Status'!$A$8:$C$400,3,FALSE()),""))</f>
        <v>0</v>
      </c>
      <c r="D2513" s="18" t="s">
        <v>1641</v>
      </c>
      <c r="E2513" s="26" t="s">
        <v>416</v>
      </c>
      <c r="F2513" s="27" t="n">
        <v>1</v>
      </c>
      <c r="G2513" s="28" t="n">
        <v>45972</v>
      </c>
      <c r="H2513" s="28" t="n">
        <v>45972</v>
      </c>
      <c r="I2513" s="18" t="s">
        <v>1639</v>
      </c>
      <c r="J2513" s="26" t="s">
        <v>416</v>
      </c>
      <c r="K2513" s="18" t="s">
        <v>523</v>
      </c>
      <c r="L2513" s="27" t="n">
        <v>1</v>
      </c>
      <c r="M2513" s="39" t="s">
        <v>413</v>
      </c>
      <c r="N2513" s="18" t="s">
        <v>414</v>
      </c>
      <c r="O2513" s="27" t="n">
        <v>1</v>
      </c>
      <c r="P2513" s="15" t="n">
        <f aca="false">IF(A2513="","",IF(O2513&lt;&gt;"",O2513,IF(L2513&lt;&gt;"",L2513,F2513)))</f>
        <v>1</v>
      </c>
    </row>
    <row r="2514" customFormat="false" ht="15" hidden="false" customHeight="true" outlineLevel="0" collapsed="false">
      <c r="A2514" s="30" t="s">
        <v>298</v>
      </c>
      <c r="B2514" s="30"/>
      <c r="C2514" s="21" t="n">
        <f aca="false">IF(A2514="","",IFERROR(VLOOKUP(A2514,'Recert Status'!$A$8:$C$400,3,FALSE()),""))</f>
        <v>0</v>
      </c>
      <c r="D2514" s="31" t="s">
        <v>1642</v>
      </c>
      <c r="E2514" s="30" t="s">
        <v>416</v>
      </c>
      <c r="F2514" s="32" t="n">
        <v>1</v>
      </c>
      <c r="G2514" s="33" t="n">
        <v>45972</v>
      </c>
      <c r="H2514" s="33" t="n">
        <v>45972</v>
      </c>
      <c r="I2514" s="31" t="s">
        <v>1639</v>
      </c>
      <c r="J2514" s="30" t="s">
        <v>416</v>
      </c>
      <c r="K2514" s="31" t="s">
        <v>490</v>
      </c>
      <c r="L2514" s="32" t="n">
        <v>1</v>
      </c>
      <c r="M2514" s="39" t="s">
        <v>413</v>
      </c>
      <c r="N2514" s="31" t="s">
        <v>414</v>
      </c>
      <c r="O2514" s="32" t="n">
        <v>1</v>
      </c>
      <c r="P2514" s="15" t="n">
        <f aca="false">IF(A2514="","",IF(O2514&lt;&gt;"",O2514,IF(L2514&lt;&gt;"",L2514,F2514)))</f>
        <v>1</v>
      </c>
    </row>
    <row r="2515" customFormat="false" ht="15" hidden="false" customHeight="true" outlineLevel="0" collapsed="false">
      <c r="A2515" s="26" t="s">
        <v>298</v>
      </c>
      <c r="B2515" s="26"/>
      <c r="C2515" s="14" t="n">
        <f aca="false">IF(A2515="","",IFERROR(VLOOKUP(A2515,'Recert Status'!$A$8:$C$400,3,FALSE()),""))</f>
        <v>0</v>
      </c>
      <c r="D2515" s="18" t="s">
        <v>1643</v>
      </c>
      <c r="E2515" s="26" t="s">
        <v>416</v>
      </c>
      <c r="F2515" s="27" t="n">
        <v>1</v>
      </c>
      <c r="G2515" s="28" t="n">
        <v>45972</v>
      </c>
      <c r="H2515" s="28" t="n">
        <v>45972</v>
      </c>
      <c r="I2515" s="18" t="s">
        <v>1639</v>
      </c>
      <c r="J2515" s="26" t="s">
        <v>416</v>
      </c>
      <c r="K2515" s="18" t="s">
        <v>674</v>
      </c>
      <c r="L2515" s="27" t="n">
        <v>1</v>
      </c>
      <c r="M2515" s="39" t="s">
        <v>413</v>
      </c>
      <c r="N2515" s="18" t="s">
        <v>414</v>
      </c>
      <c r="O2515" s="27" t="n">
        <v>1</v>
      </c>
      <c r="P2515" s="15" t="n">
        <f aca="false">IF(A2515="","",IF(O2515&lt;&gt;"",O2515,IF(L2515&lt;&gt;"",L2515,F2515)))</f>
        <v>1</v>
      </c>
    </row>
    <row r="2516" customFormat="false" ht="15" hidden="false" customHeight="true" outlineLevel="0" collapsed="false">
      <c r="A2516" s="30" t="s">
        <v>298</v>
      </c>
      <c r="B2516" s="30"/>
      <c r="C2516" s="21" t="n">
        <f aca="false">IF(A2516="","",IFERROR(VLOOKUP(A2516,'Recert Status'!$A$8:$C$400,3,FALSE()),""))</f>
        <v>0</v>
      </c>
      <c r="D2516" s="31" t="s">
        <v>1644</v>
      </c>
      <c r="E2516" s="30" t="s">
        <v>416</v>
      </c>
      <c r="F2516" s="32" t="n">
        <v>1</v>
      </c>
      <c r="G2516" s="33" t="n">
        <v>45972</v>
      </c>
      <c r="H2516" s="33" t="n">
        <v>45972</v>
      </c>
      <c r="I2516" s="31" t="s">
        <v>1639</v>
      </c>
      <c r="J2516" s="30" t="s">
        <v>416</v>
      </c>
      <c r="K2516" s="31" t="s">
        <v>485</v>
      </c>
      <c r="L2516" s="32" t="n">
        <v>1</v>
      </c>
      <c r="M2516" s="39" t="s">
        <v>413</v>
      </c>
      <c r="N2516" s="31" t="s">
        <v>414</v>
      </c>
      <c r="O2516" s="32" t="n">
        <v>1</v>
      </c>
      <c r="P2516" s="15" t="n">
        <f aca="false">IF(A2516="","",IF(O2516&lt;&gt;"",O2516,IF(L2516&lt;&gt;"",L2516,F2516)))</f>
        <v>1</v>
      </c>
    </row>
    <row r="2517" customFormat="false" ht="15" hidden="false" customHeight="true" outlineLevel="0" collapsed="false">
      <c r="A2517" s="26" t="s">
        <v>298</v>
      </c>
      <c r="B2517" s="26"/>
      <c r="C2517" s="14" t="n">
        <f aca="false">IF(A2517="","",IFERROR(VLOOKUP(A2517,'Recert Status'!$A$8:$C$400,3,FALSE()),""))</f>
        <v>0</v>
      </c>
      <c r="D2517" s="18" t="s">
        <v>1644</v>
      </c>
      <c r="E2517" s="26" t="s">
        <v>416</v>
      </c>
      <c r="F2517" s="27" t="n">
        <v>1</v>
      </c>
      <c r="G2517" s="28" t="n">
        <v>45972</v>
      </c>
      <c r="H2517" s="28" t="n">
        <v>45972</v>
      </c>
      <c r="I2517" s="18" t="s">
        <v>1639</v>
      </c>
      <c r="J2517" s="26" t="s">
        <v>416</v>
      </c>
      <c r="K2517" s="18" t="s">
        <v>485</v>
      </c>
      <c r="L2517" s="27" t="n">
        <v>1</v>
      </c>
      <c r="M2517" s="39" t="s">
        <v>413</v>
      </c>
      <c r="N2517" s="18" t="s">
        <v>414</v>
      </c>
      <c r="O2517" s="27" t="n">
        <v>1</v>
      </c>
      <c r="P2517" s="15" t="n">
        <f aca="false">IF(A2517="","",IF(O2517&lt;&gt;"",O2517,IF(L2517&lt;&gt;"",L2517,F2517)))</f>
        <v>1</v>
      </c>
    </row>
    <row r="2518" customFormat="false" ht="15" hidden="false" customHeight="true" outlineLevel="0" collapsed="false">
      <c r="A2518" s="30" t="s">
        <v>298</v>
      </c>
      <c r="B2518" s="30"/>
      <c r="C2518" s="21" t="n">
        <f aca="false">IF(A2518="","",IFERROR(VLOOKUP(A2518,'Recert Status'!$A$8:$C$400,3,FALSE()),""))</f>
        <v>0</v>
      </c>
      <c r="D2518" s="31" t="s">
        <v>488</v>
      </c>
      <c r="E2518" s="30" t="s">
        <v>416</v>
      </c>
      <c r="F2518" s="32" t="n">
        <v>1</v>
      </c>
      <c r="G2518" s="33" t="n">
        <v>46128</v>
      </c>
      <c r="H2518" s="33" t="n">
        <v>46128</v>
      </c>
      <c r="I2518" s="31" t="s">
        <v>609</v>
      </c>
      <c r="J2518" s="30" t="s">
        <v>416</v>
      </c>
      <c r="K2518" s="31" t="s">
        <v>490</v>
      </c>
      <c r="L2518" s="32" t="n">
        <v>1</v>
      </c>
      <c r="M2518" s="39" t="s">
        <v>413</v>
      </c>
      <c r="N2518" s="31" t="s">
        <v>414</v>
      </c>
      <c r="O2518" s="32" t="n">
        <v>1</v>
      </c>
      <c r="P2518" s="15" t="n">
        <f aca="false">IF(A2518="","",IF(O2518&lt;&gt;"",O2518,IF(L2518&lt;&gt;"",L2518,F2518)))</f>
        <v>1</v>
      </c>
    </row>
    <row r="2519" customFormat="false" ht="15" hidden="false" customHeight="true" outlineLevel="0" collapsed="false">
      <c r="A2519" s="26" t="s">
        <v>298</v>
      </c>
      <c r="B2519" s="26"/>
      <c r="C2519" s="14" t="n">
        <f aca="false">IF(A2519="","",IFERROR(VLOOKUP(A2519,'Recert Status'!$A$8:$C$400,3,FALSE()),""))</f>
        <v>0</v>
      </c>
      <c r="D2519" s="18" t="s">
        <v>414</v>
      </c>
      <c r="E2519" s="26" t="s">
        <v>416</v>
      </c>
      <c r="F2519" s="27" t="n">
        <v>2</v>
      </c>
      <c r="G2519" s="28" t="n">
        <v>46218</v>
      </c>
      <c r="H2519" s="28" t="n">
        <v>46218</v>
      </c>
      <c r="I2519" s="18" t="s">
        <v>535</v>
      </c>
      <c r="J2519" s="26" t="s">
        <v>416</v>
      </c>
      <c r="K2519" s="18" t="s">
        <v>418</v>
      </c>
      <c r="L2519" s="27" t="n">
        <v>2</v>
      </c>
      <c r="M2519" s="39" t="s">
        <v>413</v>
      </c>
      <c r="N2519" s="18" t="s">
        <v>414</v>
      </c>
      <c r="O2519" s="27" t="n">
        <v>2</v>
      </c>
      <c r="P2519" s="15" t="n">
        <f aca="false">IF(A2519="","",IF(O2519&lt;&gt;"",O2519,IF(L2519&lt;&gt;"",L2519,F2519)))</f>
        <v>2</v>
      </c>
    </row>
    <row r="2520" customFormat="false" ht="15" hidden="false" customHeight="true" outlineLevel="0" collapsed="false">
      <c r="A2520" s="30" t="s">
        <v>299</v>
      </c>
      <c r="B2520" s="30" t="s">
        <v>300</v>
      </c>
      <c r="C2520" s="21" t="n">
        <f aca="false">IF(A2520="","",IFERROR(VLOOKUP(A2520,'Recert Status'!$A$8:$C$400,3,FALSE()),""))</f>
        <v>46752</v>
      </c>
      <c r="D2520" s="31" t="s">
        <v>811</v>
      </c>
      <c r="E2520" s="30" t="s">
        <v>363</v>
      </c>
      <c r="F2520" s="32" t="n">
        <v>1</v>
      </c>
      <c r="G2520" s="33" t="n">
        <v>45783</v>
      </c>
      <c r="H2520" s="33" t="n">
        <v>45783</v>
      </c>
      <c r="I2520" s="31" t="s">
        <v>812</v>
      </c>
      <c r="J2520" s="30" t="s">
        <v>363</v>
      </c>
      <c r="K2520" s="31" t="s">
        <v>813</v>
      </c>
      <c r="L2520" s="32" t="n">
        <v>1</v>
      </c>
      <c r="M2520" s="29" t="s">
        <v>366</v>
      </c>
      <c r="N2520" s="31" t="s">
        <v>367</v>
      </c>
      <c r="O2520" s="32" t="n">
        <v>1</v>
      </c>
      <c r="P2520" s="15" t="n">
        <f aca="false">IF(A2520="","",IF(O2520&lt;&gt;"",O2520,IF(L2520&lt;&gt;"",L2520,F2520)))</f>
        <v>1</v>
      </c>
    </row>
    <row r="2521" customFormat="false" ht="15" hidden="false" customHeight="true" outlineLevel="0" collapsed="false">
      <c r="A2521" s="26" t="s">
        <v>299</v>
      </c>
      <c r="B2521" s="26" t="s">
        <v>300</v>
      </c>
      <c r="C2521" s="14" t="n">
        <f aca="false">IF(A2521="","",IFERROR(VLOOKUP(A2521,'Recert Status'!$A$8:$C$400,3,FALSE()),""))</f>
        <v>46752</v>
      </c>
      <c r="D2521" s="18" t="s">
        <v>621</v>
      </c>
      <c r="E2521" s="26" t="n">
        <v>29740</v>
      </c>
      <c r="F2521" s="27" t="n">
        <v>0.5</v>
      </c>
      <c r="G2521" s="28" t="n">
        <v>45783</v>
      </c>
      <c r="H2521" s="28" t="n">
        <v>45783</v>
      </c>
      <c r="I2521" s="18" t="s">
        <v>622</v>
      </c>
      <c r="J2521" s="26" t="s">
        <v>394</v>
      </c>
      <c r="K2521" s="18" t="s">
        <v>365</v>
      </c>
      <c r="L2521" s="27" t="n">
        <v>0.5</v>
      </c>
      <c r="M2521" s="29" t="s">
        <v>366</v>
      </c>
      <c r="N2521" s="18" t="s">
        <v>367</v>
      </c>
      <c r="O2521" s="27" t="n">
        <v>0.5</v>
      </c>
      <c r="P2521" s="15" t="n">
        <f aca="false">IF(A2521="","",IF(O2521&lt;&gt;"",O2521,IF(L2521&lt;&gt;"",L2521,F2521)))</f>
        <v>0.5</v>
      </c>
    </row>
    <row r="2522" customFormat="false" ht="15" hidden="false" customHeight="true" outlineLevel="0" collapsed="false">
      <c r="A2522" s="30" t="s">
        <v>299</v>
      </c>
      <c r="B2522" s="30" t="s">
        <v>300</v>
      </c>
      <c r="C2522" s="21" t="n">
        <f aca="false">IF(A2522="","",IFERROR(VLOOKUP(A2522,'Recert Status'!$A$8:$C$400,3,FALSE()),""))</f>
        <v>46752</v>
      </c>
      <c r="D2522" s="31" t="s">
        <v>623</v>
      </c>
      <c r="E2522" s="30" t="s">
        <v>363</v>
      </c>
      <c r="F2522" s="32" t="n">
        <v>0.5</v>
      </c>
      <c r="G2522" s="33" t="n">
        <v>45783</v>
      </c>
      <c r="H2522" s="33" t="n">
        <v>45783</v>
      </c>
      <c r="I2522" s="31" t="s">
        <v>624</v>
      </c>
      <c r="J2522" s="30" t="s">
        <v>363</v>
      </c>
      <c r="K2522" s="31" t="s">
        <v>365</v>
      </c>
      <c r="L2522" s="32" t="n">
        <v>0.5</v>
      </c>
      <c r="M2522" s="29" t="s">
        <v>366</v>
      </c>
      <c r="N2522" s="31" t="s">
        <v>367</v>
      </c>
      <c r="O2522" s="32" t="n">
        <v>0.5</v>
      </c>
      <c r="P2522" s="15" t="n">
        <f aca="false">IF(A2522="","",IF(O2522&lt;&gt;"",O2522,IF(L2522&lt;&gt;"",L2522,F2522)))</f>
        <v>0.5</v>
      </c>
    </row>
    <row r="2523" customFormat="false" ht="15" hidden="false" customHeight="true" outlineLevel="0" collapsed="false">
      <c r="A2523" s="26" t="s">
        <v>299</v>
      </c>
      <c r="B2523" s="26" t="s">
        <v>300</v>
      </c>
      <c r="C2523" s="14" t="n">
        <f aca="false">IF(A2523="","",IFERROR(VLOOKUP(A2523,'Recert Status'!$A$8:$C$400,3,FALSE()),""))</f>
        <v>46752</v>
      </c>
      <c r="D2523" s="18" t="s">
        <v>628</v>
      </c>
      <c r="E2523" s="26" t="n">
        <v>29675</v>
      </c>
      <c r="F2523" s="27" t="n">
        <v>0.5</v>
      </c>
      <c r="G2523" s="28" t="n">
        <v>45951</v>
      </c>
      <c r="H2523" s="28" t="n">
        <v>45951</v>
      </c>
      <c r="I2523" s="18" t="s">
        <v>629</v>
      </c>
      <c r="J2523" s="26" t="s">
        <v>406</v>
      </c>
      <c r="K2523" s="18" t="s">
        <v>630</v>
      </c>
      <c r="L2523" s="27" t="n">
        <v>0.5</v>
      </c>
      <c r="M2523" s="29" t="s">
        <v>366</v>
      </c>
      <c r="N2523" s="18" t="s">
        <v>367</v>
      </c>
      <c r="O2523" s="27" t="n">
        <v>0.5</v>
      </c>
      <c r="P2523" s="15" t="n">
        <f aca="false">IF(A2523="","",IF(O2523&lt;&gt;"",O2523,IF(L2523&lt;&gt;"",L2523,F2523)))</f>
        <v>0.5</v>
      </c>
    </row>
    <row r="2524" customFormat="false" ht="15" hidden="false" customHeight="true" outlineLevel="0" collapsed="false">
      <c r="A2524" s="30" t="s">
        <v>299</v>
      </c>
      <c r="B2524" s="30" t="s">
        <v>300</v>
      </c>
      <c r="C2524" s="21" t="n">
        <f aca="false">IF(A2524="","",IFERROR(VLOOKUP(A2524,'Recert Status'!$A$8:$C$400,3,FALSE()),""))</f>
        <v>46752</v>
      </c>
      <c r="D2524" s="31" t="s">
        <v>569</v>
      </c>
      <c r="E2524" s="30" t="n">
        <v>57433</v>
      </c>
      <c r="F2524" s="32" t="n">
        <v>1</v>
      </c>
      <c r="G2524" s="33" t="n">
        <v>46017</v>
      </c>
      <c r="H2524" s="33" t="n">
        <v>46017</v>
      </c>
      <c r="I2524" s="31" t="s">
        <v>570</v>
      </c>
      <c r="J2524" s="30" t="s">
        <v>421</v>
      </c>
      <c r="K2524" s="31" t="s">
        <v>428</v>
      </c>
      <c r="L2524" s="32" t="n">
        <v>1</v>
      </c>
      <c r="M2524" s="40" t="s">
        <v>423</v>
      </c>
      <c r="N2524" s="31" t="s">
        <v>514</v>
      </c>
      <c r="O2524" s="32" t="n">
        <v>1</v>
      </c>
      <c r="P2524" s="15" t="n">
        <f aca="false">IF(A2524="","",IF(O2524&lt;&gt;"",O2524,IF(L2524&lt;&gt;"",L2524,F2524)))</f>
        <v>1</v>
      </c>
    </row>
    <row r="2525" customFormat="false" ht="15" hidden="false" customHeight="true" outlineLevel="0" collapsed="false">
      <c r="A2525" s="26" t="s">
        <v>299</v>
      </c>
      <c r="B2525" s="26" t="s">
        <v>300</v>
      </c>
      <c r="C2525" s="14" t="n">
        <f aca="false">IF(A2525="","",IFERROR(VLOOKUP(A2525,'Recert Status'!$A$8:$C$400,3,FALSE()),""))</f>
        <v>46752</v>
      </c>
      <c r="D2525" s="18" t="s">
        <v>814</v>
      </c>
      <c r="E2525" s="26" t="s">
        <v>426</v>
      </c>
      <c r="F2525" s="27" t="n">
        <v>2</v>
      </c>
      <c r="G2525" s="28" t="n">
        <v>45912</v>
      </c>
      <c r="H2525" s="28" t="n">
        <v>45912</v>
      </c>
      <c r="I2525" s="18" t="s">
        <v>815</v>
      </c>
      <c r="J2525" s="26" t="s">
        <v>426</v>
      </c>
      <c r="K2525" s="18" t="s">
        <v>428</v>
      </c>
      <c r="L2525" s="27" t="n">
        <v>2</v>
      </c>
      <c r="M2525" s="41" t="s">
        <v>429</v>
      </c>
      <c r="N2525" s="18" t="s">
        <v>430</v>
      </c>
      <c r="O2525" s="27" t="n">
        <v>2</v>
      </c>
      <c r="P2525" s="15" t="n">
        <f aca="false">IF(A2525="","",IF(O2525&lt;&gt;"",O2525,IF(L2525&lt;&gt;"",L2525,F2525)))</f>
        <v>2</v>
      </c>
    </row>
    <row r="2526" customFormat="false" ht="15" hidden="false" customHeight="true" outlineLevel="0" collapsed="false">
      <c r="A2526" s="30" t="s">
        <v>299</v>
      </c>
      <c r="B2526" s="30" t="s">
        <v>300</v>
      </c>
      <c r="C2526" s="21" t="n">
        <f aca="false">IF(A2526="","",IFERROR(VLOOKUP(A2526,'Recert Status'!$A$8:$C$400,3,FALSE()),""))</f>
        <v>46752</v>
      </c>
      <c r="D2526" s="31" t="s">
        <v>1239</v>
      </c>
      <c r="E2526" s="30" t="s">
        <v>372</v>
      </c>
      <c r="F2526" s="32" t="n">
        <v>1</v>
      </c>
      <c r="G2526" s="33" t="n">
        <v>45749</v>
      </c>
      <c r="H2526" s="33" t="n">
        <v>45749</v>
      </c>
      <c r="I2526" s="31" t="s">
        <v>1688</v>
      </c>
      <c r="J2526" s="30" t="s">
        <v>372</v>
      </c>
      <c r="K2526" s="31" t="s">
        <v>374</v>
      </c>
      <c r="L2526" s="32" t="n">
        <v>1</v>
      </c>
      <c r="M2526" s="34" t="s">
        <v>375</v>
      </c>
      <c r="N2526" s="31" t="s">
        <v>376</v>
      </c>
      <c r="O2526" s="32" t="n">
        <v>1</v>
      </c>
      <c r="P2526" s="15" t="n">
        <f aca="false">IF(A2526="","",IF(O2526&lt;&gt;"",O2526,IF(L2526&lt;&gt;"",L2526,F2526)))</f>
        <v>1</v>
      </c>
    </row>
    <row r="2527" customFormat="false" ht="15" hidden="false" customHeight="true" outlineLevel="0" collapsed="false">
      <c r="A2527" s="26" t="s">
        <v>299</v>
      </c>
      <c r="B2527" s="26" t="s">
        <v>300</v>
      </c>
      <c r="C2527" s="14" t="n">
        <f aca="false">IF(A2527="","",IFERROR(VLOOKUP(A2527,'Recert Status'!$A$8:$C$400,3,FALSE()),""))</f>
        <v>46752</v>
      </c>
      <c r="D2527" s="18" t="s">
        <v>658</v>
      </c>
      <c r="E2527" s="26" t="n">
        <v>29675</v>
      </c>
      <c r="F2527" s="27" t="n">
        <v>0.5</v>
      </c>
      <c r="G2527" s="28" t="n">
        <v>45951</v>
      </c>
      <c r="H2527" s="28" t="n">
        <v>45951</v>
      </c>
      <c r="I2527" s="18" t="s">
        <v>659</v>
      </c>
      <c r="J2527" s="26" t="s">
        <v>406</v>
      </c>
      <c r="K2527" s="18" t="s">
        <v>395</v>
      </c>
      <c r="L2527" s="27" t="n">
        <v>0.5</v>
      </c>
      <c r="M2527" s="35" t="s">
        <v>386</v>
      </c>
      <c r="N2527" s="18" t="s">
        <v>387</v>
      </c>
      <c r="O2527" s="27" t="n">
        <v>0.5</v>
      </c>
      <c r="P2527" s="15" t="n">
        <f aca="false">IF(A2527="","",IF(O2527&lt;&gt;"",O2527,IF(L2527&lt;&gt;"",L2527,F2527)))</f>
        <v>0.5</v>
      </c>
    </row>
    <row r="2528" customFormat="false" ht="15" hidden="false" customHeight="true" outlineLevel="0" collapsed="false">
      <c r="A2528" s="30" t="s">
        <v>299</v>
      </c>
      <c r="B2528" s="30" t="s">
        <v>300</v>
      </c>
      <c r="C2528" s="21" t="n">
        <f aca="false">IF(A2528="","",IFERROR(VLOOKUP(A2528,'Recert Status'!$A$8:$C$400,3,FALSE()),""))</f>
        <v>46752</v>
      </c>
      <c r="D2528" s="31" t="s">
        <v>573</v>
      </c>
      <c r="E2528" s="30" t="s">
        <v>389</v>
      </c>
      <c r="F2528" s="32" t="n">
        <v>1</v>
      </c>
      <c r="G2528" s="33" t="n">
        <v>45987</v>
      </c>
      <c r="H2528" s="33" t="n">
        <v>45987</v>
      </c>
      <c r="I2528" s="31" t="s">
        <v>574</v>
      </c>
      <c r="J2528" s="30" t="s">
        <v>389</v>
      </c>
      <c r="K2528" s="31" t="s">
        <v>451</v>
      </c>
      <c r="L2528" s="32" t="n">
        <v>1</v>
      </c>
      <c r="M2528" s="35" t="s">
        <v>386</v>
      </c>
      <c r="N2528" s="31" t="s">
        <v>387</v>
      </c>
      <c r="O2528" s="32" t="n">
        <v>1</v>
      </c>
      <c r="P2528" s="15" t="n">
        <f aca="false">IF(A2528="","",IF(O2528&lt;&gt;"",O2528,IF(L2528&lt;&gt;"",L2528,F2528)))</f>
        <v>1</v>
      </c>
    </row>
    <row r="2529" customFormat="false" ht="15" hidden="false" customHeight="true" outlineLevel="0" collapsed="false">
      <c r="A2529" s="26" t="s">
        <v>299</v>
      </c>
      <c r="B2529" s="26" t="s">
        <v>300</v>
      </c>
      <c r="C2529" s="14" t="n">
        <f aca="false">IF(A2529="","",IFERROR(VLOOKUP(A2529,'Recert Status'!$A$8:$C$400,3,FALSE()),""))</f>
        <v>46752</v>
      </c>
      <c r="D2529" s="18" t="s">
        <v>397</v>
      </c>
      <c r="E2529" s="26" t="s">
        <v>452</v>
      </c>
      <c r="F2529" s="27" t="n">
        <v>1</v>
      </c>
      <c r="G2529" s="28" t="n">
        <v>46245</v>
      </c>
      <c r="H2529" s="28" t="n">
        <v>46245</v>
      </c>
      <c r="I2529" s="18" t="s">
        <v>605</v>
      </c>
      <c r="J2529" s="26" t="s">
        <v>452</v>
      </c>
      <c r="K2529" s="18" t="s">
        <v>385</v>
      </c>
      <c r="L2529" s="27" t="n">
        <v>1</v>
      </c>
      <c r="M2529" s="36" t="s">
        <v>396</v>
      </c>
      <c r="N2529" s="18" t="s">
        <v>397</v>
      </c>
      <c r="O2529" s="27" t="n">
        <v>1</v>
      </c>
      <c r="P2529" s="15" t="n">
        <f aca="false">IF(A2529="","",IF(O2529&lt;&gt;"",O2529,IF(L2529&lt;&gt;"",L2529,F2529)))</f>
        <v>1</v>
      </c>
    </row>
    <row r="2530" customFormat="false" ht="15" hidden="false" customHeight="true" outlineLevel="0" collapsed="false">
      <c r="A2530" s="30" t="s">
        <v>299</v>
      </c>
      <c r="B2530" s="30" t="s">
        <v>300</v>
      </c>
      <c r="C2530" s="21" t="n">
        <f aca="false">IF(A2530="","",IFERROR(VLOOKUP(A2530,'Recert Status'!$A$8:$C$400,3,FALSE()),""))</f>
        <v>46752</v>
      </c>
      <c r="D2530" s="31" t="s">
        <v>987</v>
      </c>
      <c r="E2530" s="30" t="s">
        <v>399</v>
      </c>
      <c r="F2530" s="32" t="n">
        <v>1</v>
      </c>
      <c r="G2530" s="33" t="n">
        <v>46095</v>
      </c>
      <c r="H2530" s="33" t="n">
        <v>46095</v>
      </c>
      <c r="I2530" s="31" t="s">
        <v>988</v>
      </c>
      <c r="J2530" s="30" t="s">
        <v>399</v>
      </c>
      <c r="K2530" s="31" t="s">
        <v>401</v>
      </c>
      <c r="L2530" s="32" t="n">
        <v>1</v>
      </c>
      <c r="M2530" s="37" t="s">
        <v>402</v>
      </c>
      <c r="N2530" s="31" t="s">
        <v>403</v>
      </c>
      <c r="O2530" s="32" t="n">
        <v>1</v>
      </c>
      <c r="P2530" s="15" t="n">
        <f aca="false">IF(A2530="","",IF(O2530&lt;&gt;"",O2530,IF(L2530&lt;&gt;"",L2530,F2530)))</f>
        <v>1</v>
      </c>
    </row>
    <row r="2531" customFormat="false" ht="15" hidden="false" customHeight="true" outlineLevel="0" collapsed="false">
      <c r="A2531" s="26" t="s">
        <v>299</v>
      </c>
      <c r="B2531" s="26" t="s">
        <v>300</v>
      </c>
      <c r="C2531" s="14" t="n">
        <f aca="false">IF(A2531="","",IFERROR(VLOOKUP(A2531,'Recert Status'!$A$8:$C$400,3,FALSE()),""))</f>
        <v>46752</v>
      </c>
      <c r="D2531" s="18" t="s">
        <v>1442</v>
      </c>
      <c r="E2531" s="26" t="n">
        <v>29718</v>
      </c>
      <c r="F2531" s="27" t="n">
        <v>1</v>
      </c>
      <c r="G2531" s="28" t="n">
        <v>46186</v>
      </c>
      <c r="H2531" s="28" t="n">
        <v>46186</v>
      </c>
      <c r="I2531" s="18" t="s">
        <v>1689</v>
      </c>
      <c r="J2531" s="26" t="s">
        <v>1123</v>
      </c>
      <c r="K2531" s="18" t="s">
        <v>407</v>
      </c>
      <c r="L2531" s="27" t="n">
        <v>1</v>
      </c>
      <c r="M2531" s="38" t="s">
        <v>408</v>
      </c>
      <c r="N2531" s="18" t="s">
        <v>409</v>
      </c>
      <c r="O2531" s="27" t="n">
        <v>1</v>
      </c>
      <c r="P2531" s="15" t="n">
        <f aca="false">IF(A2531="","",IF(O2531&lt;&gt;"",O2531,IF(L2531&lt;&gt;"",L2531,F2531)))</f>
        <v>1</v>
      </c>
    </row>
    <row r="2532" customFormat="false" ht="15" hidden="false" customHeight="true" outlineLevel="0" collapsed="false">
      <c r="A2532" s="30" t="s">
        <v>299</v>
      </c>
      <c r="B2532" s="30" t="s">
        <v>300</v>
      </c>
      <c r="C2532" s="21" t="n">
        <f aca="false">IF(A2532="","",IFERROR(VLOOKUP(A2532,'Recert Status'!$A$8:$C$400,3,FALSE()),""))</f>
        <v>46752</v>
      </c>
      <c r="D2532" s="31" t="s">
        <v>580</v>
      </c>
      <c r="E2532" s="30" t="s">
        <v>416</v>
      </c>
      <c r="F2532" s="32" t="n">
        <v>1</v>
      </c>
      <c r="G2532" s="33" t="n">
        <v>45825</v>
      </c>
      <c r="H2532" s="33" t="n">
        <v>45825</v>
      </c>
      <c r="I2532" s="31" t="s">
        <v>581</v>
      </c>
      <c r="J2532" s="30" t="s">
        <v>416</v>
      </c>
      <c r="K2532" s="31" t="s">
        <v>418</v>
      </c>
      <c r="L2532" s="32" t="n">
        <v>1</v>
      </c>
      <c r="M2532" s="39" t="s">
        <v>413</v>
      </c>
      <c r="N2532" s="31" t="s">
        <v>414</v>
      </c>
      <c r="O2532" s="32" t="n">
        <v>1</v>
      </c>
      <c r="P2532" s="15" t="n">
        <f aca="false">IF(A2532="","",IF(O2532&lt;&gt;"",O2532,IF(L2532&lt;&gt;"",L2532,F2532)))</f>
        <v>1</v>
      </c>
    </row>
    <row r="2533" customFormat="false" ht="15" hidden="false" customHeight="true" outlineLevel="0" collapsed="false">
      <c r="A2533" s="26" t="s">
        <v>299</v>
      </c>
      <c r="B2533" s="26" t="s">
        <v>300</v>
      </c>
      <c r="C2533" s="14" t="n">
        <f aca="false">IF(A2533="","",IFERROR(VLOOKUP(A2533,'Recert Status'!$A$8:$C$400,3,FALSE()),""))</f>
        <v>46752</v>
      </c>
      <c r="D2533" s="18" t="s">
        <v>878</v>
      </c>
      <c r="E2533" s="26" t="s">
        <v>416</v>
      </c>
      <c r="F2533" s="27" t="n">
        <v>1</v>
      </c>
      <c r="G2533" s="28" t="n">
        <v>45849</v>
      </c>
      <c r="H2533" s="28" t="n">
        <v>45849</v>
      </c>
      <c r="I2533" s="18" t="s">
        <v>879</v>
      </c>
      <c r="J2533" s="26" t="s">
        <v>416</v>
      </c>
      <c r="K2533" s="18" t="s">
        <v>501</v>
      </c>
      <c r="L2533" s="27" t="n">
        <v>1</v>
      </c>
      <c r="M2533" s="39" t="s">
        <v>413</v>
      </c>
      <c r="N2533" s="18" t="s">
        <v>414</v>
      </c>
      <c r="O2533" s="27" t="n">
        <v>1</v>
      </c>
      <c r="P2533" s="15" t="n">
        <f aca="false">IF(A2533="","",IF(O2533&lt;&gt;"",O2533,IF(L2533&lt;&gt;"",L2533,F2533)))</f>
        <v>1</v>
      </c>
    </row>
    <row r="2534" customFormat="false" ht="15" hidden="false" customHeight="true" outlineLevel="0" collapsed="false">
      <c r="A2534" s="30" t="s">
        <v>299</v>
      </c>
      <c r="B2534" s="30" t="s">
        <v>300</v>
      </c>
      <c r="C2534" s="21" t="n">
        <f aca="false">IF(A2534="","",IFERROR(VLOOKUP(A2534,'Recert Status'!$A$8:$C$400,3,FALSE()),""))</f>
        <v>46752</v>
      </c>
      <c r="D2534" s="31" t="s">
        <v>457</v>
      </c>
      <c r="E2534" s="30" t="s">
        <v>416</v>
      </c>
      <c r="F2534" s="32" t="n">
        <v>2</v>
      </c>
      <c r="G2534" s="33" t="n">
        <v>45861</v>
      </c>
      <c r="H2534" s="33" t="n">
        <v>45861</v>
      </c>
      <c r="I2534" s="31" t="s">
        <v>921</v>
      </c>
      <c r="J2534" s="30" t="s">
        <v>416</v>
      </c>
      <c r="K2534" s="31" t="s">
        <v>418</v>
      </c>
      <c r="L2534" s="32" t="n">
        <v>2</v>
      </c>
      <c r="M2534" s="39" t="s">
        <v>413</v>
      </c>
      <c r="N2534" s="31" t="s">
        <v>414</v>
      </c>
      <c r="O2534" s="32" t="n">
        <v>2</v>
      </c>
      <c r="P2534" s="15" t="n">
        <f aca="false">IF(A2534="","",IF(O2534&lt;&gt;"",O2534,IF(L2534&lt;&gt;"",L2534,F2534)))</f>
        <v>2</v>
      </c>
    </row>
    <row r="2535" customFormat="false" ht="15" hidden="false" customHeight="true" outlineLevel="0" collapsed="false">
      <c r="A2535" s="26" t="s">
        <v>299</v>
      </c>
      <c r="B2535" s="26" t="s">
        <v>300</v>
      </c>
      <c r="C2535" s="14" t="n">
        <f aca="false">IF(A2535="","",IFERROR(VLOOKUP(A2535,'Recert Status'!$A$8:$C$400,3,FALSE()),""))</f>
        <v>46752</v>
      </c>
      <c r="D2535" s="18" t="s">
        <v>672</v>
      </c>
      <c r="E2535" s="26" t="s">
        <v>416</v>
      </c>
      <c r="F2535" s="27" t="n">
        <v>1</v>
      </c>
      <c r="G2535" s="28" t="n">
        <v>45933</v>
      </c>
      <c r="H2535" s="28" t="n">
        <v>45933</v>
      </c>
      <c r="I2535" s="18" t="s">
        <v>675</v>
      </c>
      <c r="J2535" s="26" t="s">
        <v>416</v>
      </c>
      <c r="K2535" s="18" t="s">
        <v>674</v>
      </c>
      <c r="L2535" s="27" t="n">
        <v>1</v>
      </c>
      <c r="M2535" s="39" t="s">
        <v>413</v>
      </c>
      <c r="N2535" s="18" t="s">
        <v>414</v>
      </c>
      <c r="O2535" s="27" t="n">
        <v>1</v>
      </c>
      <c r="P2535" s="15" t="n">
        <f aca="false">IF(A2535="","",IF(O2535&lt;&gt;"",O2535,IF(L2535&lt;&gt;"",L2535,F2535)))</f>
        <v>1</v>
      </c>
    </row>
    <row r="2536" customFormat="false" ht="15" hidden="false" customHeight="true" outlineLevel="0" collapsed="false">
      <c r="A2536" s="30" t="s">
        <v>299</v>
      </c>
      <c r="B2536" s="30" t="s">
        <v>300</v>
      </c>
      <c r="C2536" s="21" t="n">
        <f aca="false">IF(A2536="","",IFERROR(VLOOKUP(A2536,'Recert Status'!$A$8:$C$400,3,FALSE()),""))</f>
        <v>46752</v>
      </c>
      <c r="D2536" s="31" t="s">
        <v>488</v>
      </c>
      <c r="E2536" s="30" t="s">
        <v>416</v>
      </c>
      <c r="F2536" s="32" t="n">
        <v>1</v>
      </c>
      <c r="G2536" s="33" t="n">
        <v>46125</v>
      </c>
      <c r="H2536" s="33" t="n">
        <v>46125</v>
      </c>
      <c r="I2536" s="31" t="s">
        <v>608</v>
      </c>
      <c r="J2536" s="30" t="s">
        <v>416</v>
      </c>
      <c r="K2536" s="31" t="s">
        <v>490</v>
      </c>
      <c r="L2536" s="32" t="n">
        <v>1</v>
      </c>
      <c r="M2536" s="39" t="s">
        <v>413</v>
      </c>
      <c r="N2536" s="31" t="s">
        <v>414</v>
      </c>
      <c r="O2536" s="32" t="n">
        <v>1</v>
      </c>
      <c r="P2536" s="15" t="n">
        <f aca="false">IF(A2536="","",IF(O2536&lt;&gt;"",O2536,IF(L2536&lt;&gt;"",L2536,F2536)))</f>
        <v>1</v>
      </c>
    </row>
    <row r="2537" customFormat="false" ht="15" hidden="false" customHeight="true" outlineLevel="0" collapsed="false">
      <c r="A2537" s="26" t="s">
        <v>299</v>
      </c>
      <c r="B2537" s="26" t="s">
        <v>300</v>
      </c>
      <c r="C2537" s="14" t="n">
        <f aca="false">IF(A2537="","",IFERROR(VLOOKUP(A2537,'Recert Status'!$A$8:$C$400,3,FALSE()),""))</f>
        <v>46752</v>
      </c>
      <c r="D2537" s="18" t="s">
        <v>414</v>
      </c>
      <c r="E2537" s="26" t="s">
        <v>416</v>
      </c>
      <c r="F2537" s="27" t="n">
        <v>2</v>
      </c>
      <c r="G2537" s="28" t="n">
        <v>46218</v>
      </c>
      <c r="H2537" s="28" t="n">
        <v>46218</v>
      </c>
      <c r="I2537" s="18" t="s">
        <v>535</v>
      </c>
      <c r="J2537" s="26" t="s">
        <v>416</v>
      </c>
      <c r="K2537" s="18" t="s">
        <v>418</v>
      </c>
      <c r="L2537" s="27" t="n">
        <v>2</v>
      </c>
      <c r="M2537" s="39" t="s">
        <v>413</v>
      </c>
      <c r="N2537" s="18" t="s">
        <v>414</v>
      </c>
      <c r="O2537" s="27" t="n">
        <v>2</v>
      </c>
      <c r="P2537" s="15" t="n">
        <f aca="false">IF(A2537="","",IF(O2537&lt;&gt;"",O2537,IF(L2537&lt;&gt;"",L2537,F2537)))</f>
        <v>2</v>
      </c>
    </row>
    <row r="2538" customFormat="false" ht="15" hidden="false" customHeight="true" outlineLevel="0" collapsed="false">
      <c r="A2538" s="30" t="s">
        <v>301</v>
      </c>
      <c r="B2538" s="30" t="s">
        <v>302</v>
      </c>
      <c r="C2538" s="21" t="n">
        <f aca="false">IF(A2538="","",IFERROR(VLOOKUP(A2538,'Recert Status'!$A$8:$C$400,3,FALSE()),""))</f>
        <v>46752</v>
      </c>
      <c r="D2538" s="31" t="s">
        <v>512</v>
      </c>
      <c r="E2538" s="30" t="n">
        <v>29675</v>
      </c>
      <c r="F2538" s="32" t="n">
        <v>1</v>
      </c>
      <c r="G2538" s="33" t="n">
        <v>45952</v>
      </c>
      <c r="H2538" s="33" t="n">
        <v>45952</v>
      </c>
      <c r="I2538" s="31" t="s">
        <v>631</v>
      </c>
      <c r="J2538" s="30" t="s">
        <v>406</v>
      </c>
      <c r="K2538" s="31" t="s">
        <v>630</v>
      </c>
      <c r="L2538" s="32" t="n">
        <v>1</v>
      </c>
      <c r="M2538" s="29" t="s">
        <v>366</v>
      </c>
      <c r="N2538" s="31" t="s">
        <v>367</v>
      </c>
      <c r="O2538" s="32" t="n">
        <v>1</v>
      </c>
      <c r="P2538" s="15" t="n">
        <f aca="false">IF(A2538="","",IF(O2538&lt;&gt;"",O2538,IF(L2538&lt;&gt;"",L2538,F2538)))</f>
        <v>1</v>
      </c>
    </row>
    <row r="2539" customFormat="false" ht="15" hidden="false" customHeight="true" outlineLevel="0" collapsed="false">
      <c r="A2539" s="26" t="s">
        <v>301</v>
      </c>
      <c r="B2539" s="26" t="s">
        <v>302</v>
      </c>
      <c r="C2539" s="14" t="n">
        <f aca="false">IF(A2539="","",IFERROR(VLOOKUP(A2539,'Recert Status'!$A$8:$C$400,3,FALSE()),""))</f>
        <v>46752</v>
      </c>
      <c r="D2539" s="18" t="s">
        <v>544</v>
      </c>
      <c r="E2539" s="26" t="s">
        <v>426</v>
      </c>
      <c r="F2539" s="27" t="n">
        <v>0.5</v>
      </c>
      <c r="G2539" s="28" t="n">
        <v>45676</v>
      </c>
      <c r="H2539" s="28" t="n">
        <v>45676</v>
      </c>
      <c r="I2539" s="18" t="s">
        <v>545</v>
      </c>
      <c r="J2539" s="26" t="s">
        <v>426</v>
      </c>
      <c r="K2539" s="18" t="s">
        <v>428</v>
      </c>
      <c r="L2539" s="27" t="n">
        <v>0.5</v>
      </c>
      <c r="M2539" s="41" t="s">
        <v>429</v>
      </c>
      <c r="N2539" s="18" t="s">
        <v>430</v>
      </c>
      <c r="O2539" s="27" t="n">
        <v>0.5</v>
      </c>
      <c r="P2539" s="15" t="n">
        <f aca="false">IF(A2539="","",IF(O2539&lt;&gt;"",O2539,IF(L2539&lt;&gt;"",L2539,F2539)))</f>
        <v>0.5</v>
      </c>
    </row>
    <row r="2540" customFormat="false" ht="15" hidden="false" customHeight="true" outlineLevel="0" collapsed="false">
      <c r="A2540" s="30" t="s">
        <v>301</v>
      </c>
      <c r="B2540" s="30" t="s">
        <v>302</v>
      </c>
      <c r="C2540" s="21" t="n">
        <f aca="false">IF(A2540="","",IFERROR(VLOOKUP(A2540,'Recert Status'!$A$8:$C$400,3,FALSE()),""))</f>
        <v>46752</v>
      </c>
      <c r="D2540" s="31" t="s">
        <v>732</v>
      </c>
      <c r="E2540" s="30" t="n">
        <v>29740</v>
      </c>
      <c r="F2540" s="32" t="n">
        <v>1</v>
      </c>
      <c r="G2540" s="33" t="n">
        <v>46174</v>
      </c>
      <c r="H2540" s="33" t="n">
        <v>46174</v>
      </c>
      <c r="I2540" s="31" t="s">
        <v>1129</v>
      </c>
      <c r="J2540" s="30" t="s">
        <v>394</v>
      </c>
      <c r="K2540" s="31" t="s">
        <v>1130</v>
      </c>
      <c r="L2540" s="32" t="n">
        <v>1</v>
      </c>
      <c r="M2540" s="34" t="s">
        <v>375</v>
      </c>
      <c r="N2540" s="31" t="s">
        <v>514</v>
      </c>
      <c r="O2540" s="32" t="n">
        <v>1</v>
      </c>
      <c r="P2540" s="15" t="n">
        <f aca="false">IF(A2540="","",IF(O2540&lt;&gt;"",O2540,IF(L2540&lt;&gt;"",L2540,F2540)))</f>
        <v>1</v>
      </c>
    </row>
    <row r="2541" customFormat="false" ht="15" hidden="false" customHeight="true" outlineLevel="0" collapsed="false">
      <c r="A2541" s="26" t="s">
        <v>301</v>
      </c>
      <c r="B2541" s="26" t="s">
        <v>302</v>
      </c>
      <c r="C2541" s="14" t="n">
        <f aca="false">IF(A2541="","",IFERROR(VLOOKUP(A2541,'Recert Status'!$A$8:$C$400,3,FALSE()),""))</f>
        <v>46752</v>
      </c>
      <c r="D2541" s="18" t="s">
        <v>1690</v>
      </c>
      <c r="E2541" s="26" t="s">
        <v>389</v>
      </c>
      <c r="F2541" s="27" t="n">
        <v>1</v>
      </c>
      <c r="G2541" s="28" t="n">
        <v>45848</v>
      </c>
      <c r="H2541" s="28" t="n">
        <v>45848</v>
      </c>
      <c r="I2541" s="18" t="s">
        <v>1691</v>
      </c>
      <c r="J2541" s="26" t="s">
        <v>389</v>
      </c>
      <c r="K2541" s="18" t="s">
        <v>385</v>
      </c>
      <c r="L2541" s="27" t="n">
        <v>1</v>
      </c>
      <c r="M2541" s="35" t="s">
        <v>386</v>
      </c>
      <c r="N2541" s="18" t="s">
        <v>387</v>
      </c>
      <c r="O2541" s="27" t="n">
        <v>1</v>
      </c>
      <c r="P2541" s="15" t="n">
        <f aca="false">IF(A2541="","",IF(O2541&lt;&gt;"",O2541,IF(L2541&lt;&gt;"",L2541,F2541)))</f>
        <v>1</v>
      </c>
    </row>
    <row r="2542" customFormat="false" ht="15" hidden="false" customHeight="true" outlineLevel="0" collapsed="false">
      <c r="A2542" s="30" t="s">
        <v>301</v>
      </c>
      <c r="B2542" s="30" t="s">
        <v>302</v>
      </c>
      <c r="C2542" s="21" t="n">
        <f aca="false">IF(A2542="","",IFERROR(VLOOKUP(A2542,'Recert Status'!$A$8:$C$400,3,FALSE()),""))</f>
        <v>46752</v>
      </c>
      <c r="D2542" s="31" t="s">
        <v>382</v>
      </c>
      <c r="E2542" s="30" t="n">
        <v>35513</v>
      </c>
      <c r="F2542" s="32" t="n">
        <v>2</v>
      </c>
      <c r="G2542" s="33" t="n">
        <v>45883</v>
      </c>
      <c r="H2542" s="33" t="n">
        <v>45883</v>
      </c>
      <c r="I2542" s="31" t="s">
        <v>553</v>
      </c>
      <c r="J2542" s="30" t="s">
        <v>384</v>
      </c>
      <c r="K2542" s="31" t="s">
        <v>385</v>
      </c>
      <c r="L2542" s="32" t="n">
        <v>2</v>
      </c>
      <c r="M2542" s="35" t="s">
        <v>386</v>
      </c>
      <c r="N2542" s="31" t="s">
        <v>387</v>
      </c>
      <c r="O2542" s="32" t="n">
        <v>2</v>
      </c>
      <c r="P2542" s="15" t="n">
        <f aca="false">IF(A2542="","",IF(O2542&lt;&gt;"",O2542,IF(L2542&lt;&gt;"",L2542,F2542)))</f>
        <v>2</v>
      </c>
    </row>
    <row r="2543" customFormat="false" ht="15" hidden="false" customHeight="true" outlineLevel="0" collapsed="false">
      <c r="A2543" s="26" t="s">
        <v>301</v>
      </c>
      <c r="B2543" s="26" t="s">
        <v>302</v>
      </c>
      <c r="C2543" s="14" t="n">
        <f aca="false">IF(A2543="","",IFERROR(VLOOKUP(A2543,'Recert Status'!$A$8:$C$400,3,FALSE()),""))</f>
        <v>46752</v>
      </c>
      <c r="D2543" s="18" t="s">
        <v>1692</v>
      </c>
      <c r="E2543" s="26" t="s">
        <v>389</v>
      </c>
      <c r="F2543" s="27" t="n">
        <v>2</v>
      </c>
      <c r="G2543" s="28" t="n">
        <v>46012</v>
      </c>
      <c r="H2543" s="28" t="n">
        <v>46012</v>
      </c>
      <c r="I2543" s="18" t="s">
        <v>1693</v>
      </c>
      <c r="J2543" s="26" t="s">
        <v>389</v>
      </c>
      <c r="K2543" s="18" t="s">
        <v>1694</v>
      </c>
      <c r="L2543" s="27" t="n">
        <v>2</v>
      </c>
      <c r="M2543" s="35" t="s">
        <v>386</v>
      </c>
      <c r="N2543" s="18" t="s">
        <v>387</v>
      </c>
      <c r="O2543" s="27" t="n">
        <v>2</v>
      </c>
      <c r="P2543" s="15" t="n">
        <f aca="false">IF(A2543="","",IF(O2543&lt;&gt;"",O2543,IF(L2543&lt;&gt;"",L2543,F2543)))</f>
        <v>2</v>
      </c>
    </row>
    <row r="2544" customFormat="false" ht="15" hidden="false" customHeight="true" outlineLevel="0" collapsed="false">
      <c r="A2544" s="30" t="s">
        <v>301</v>
      </c>
      <c r="B2544" s="30" t="s">
        <v>302</v>
      </c>
      <c r="C2544" s="21" t="n">
        <f aca="false">IF(A2544="","",IFERROR(VLOOKUP(A2544,'Recert Status'!$A$8:$C$400,3,FALSE()),""))</f>
        <v>46752</v>
      </c>
      <c r="D2544" s="31" t="s">
        <v>474</v>
      </c>
      <c r="E2544" s="30" t="s">
        <v>389</v>
      </c>
      <c r="F2544" s="32" t="n">
        <v>1</v>
      </c>
      <c r="G2544" s="33" t="n">
        <v>46204</v>
      </c>
      <c r="H2544" s="33" t="n">
        <v>46204</v>
      </c>
      <c r="I2544" s="31" t="s">
        <v>475</v>
      </c>
      <c r="J2544" s="30" t="s">
        <v>389</v>
      </c>
      <c r="K2544" s="31" t="s">
        <v>476</v>
      </c>
      <c r="L2544" s="32" t="n">
        <v>1</v>
      </c>
      <c r="M2544" s="35" t="s">
        <v>386</v>
      </c>
      <c r="N2544" s="31" t="s">
        <v>387</v>
      </c>
      <c r="O2544" s="32" t="n">
        <v>1</v>
      </c>
      <c r="P2544" s="15" t="n">
        <f aca="false">IF(A2544="","",IF(O2544&lt;&gt;"",O2544,IF(L2544&lt;&gt;"",L2544,F2544)))</f>
        <v>1</v>
      </c>
    </row>
    <row r="2545" customFormat="false" ht="15" hidden="false" customHeight="true" outlineLevel="0" collapsed="false">
      <c r="A2545" s="26" t="s">
        <v>301</v>
      </c>
      <c r="B2545" s="26" t="s">
        <v>302</v>
      </c>
      <c r="C2545" s="14" t="n">
        <f aca="false">IF(A2545="","",IFERROR(VLOOKUP(A2545,'Recert Status'!$A$8:$C$400,3,FALSE()),""))</f>
        <v>46752</v>
      </c>
      <c r="D2545" s="18" t="s">
        <v>397</v>
      </c>
      <c r="E2545" s="26" t="s">
        <v>452</v>
      </c>
      <c r="F2545" s="27" t="n">
        <v>1</v>
      </c>
      <c r="G2545" s="28" t="n">
        <v>46246</v>
      </c>
      <c r="H2545" s="28" t="n">
        <v>46246</v>
      </c>
      <c r="I2545" s="18" t="s">
        <v>478</v>
      </c>
      <c r="J2545" s="26" t="s">
        <v>452</v>
      </c>
      <c r="K2545" s="18" t="s">
        <v>385</v>
      </c>
      <c r="L2545" s="27" t="n">
        <v>1</v>
      </c>
      <c r="M2545" s="36" t="s">
        <v>396</v>
      </c>
      <c r="N2545" s="18" t="s">
        <v>397</v>
      </c>
      <c r="O2545" s="27" t="n">
        <v>1</v>
      </c>
      <c r="P2545" s="15" t="n">
        <f aca="false">IF(A2545="","",IF(O2545&lt;&gt;"",O2545,IF(L2545&lt;&gt;"",L2545,F2545)))</f>
        <v>1</v>
      </c>
    </row>
    <row r="2546" customFormat="false" ht="15" hidden="false" customHeight="true" outlineLevel="0" collapsed="false">
      <c r="A2546" s="30" t="s">
        <v>301</v>
      </c>
      <c r="B2546" s="30" t="s">
        <v>302</v>
      </c>
      <c r="C2546" s="21" t="n">
        <f aca="false">IF(A2546="","",IFERROR(VLOOKUP(A2546,'Recert Status'!$A$8:$C$400,3,FALSE()),""))</f>
        <v>46752</v>
      </c>
      <c r="D2546" s="31" t="s">
        <v>541</v>
      </c>
      <c r="E2546" s="30" t="s">
        <v>416</v>
      </c>
      <c r="F2546" s="32" t="n">
        <v>0.5</v>
      </c>
      <c r="G2546" s="33" t="n">
        <v>45676</v>
      </c>
      <c r="H2546" s="33" t="n">
        <v>45676</v>
      </c>
      <c r="I2546" s="31" t="s">
        <v>564</v>
      </c>
      <c r="J2546" s="30" t="s">
        <v>416</v>
      </c>
      <c r="K2546" s="31" t="s">
        <v>485</v>
      </c>
      <c r="L2546" s="32" t="n">
        <v>0.5</v>
      </c>
      <c r="M2546" s="39" t="s">
        <v>413</v>
      </c>
      <c r="N2546" s="31" t="s">
        <v>414</v>
      </c>
      <c r="O2546" s="32" t="n">
        <v>0.5</v>
      </c>
      <c r="P2546" s="15" t="n">
        <f aca="false">IF(A2546="","",IF(O2546&lt;&gt;"",O2546,IF(L2546&lt;&gt;"",L2546,F2546)))</f>
        <v>0.5</v>
      </c>
    </row>
    <row r="2547" customFormat="false" ht="15" hidden="false" customHeight="true" outlineLevel="0" collapsed="false">
      <c r="A2547" s="26" t="s">
        <v>301</v>
      </c>
      <c r="B2547" s="26" t="s">
        <v>302</v>
      </c>
      <c r="C2547" s="14" t="n">
        <f aca="false">IF(A2547="","",IFERROR(VLOOKUP(A2547,'Recert Status'!$A$8:$C$400,3,FALSE()),""))</f>
        <v>46752</v>
      </c>
      <c r="D2547" s="18" t="s">
        <v>457</v>
      </c>
      <c r="E2547" s="26" t="s">
        <v>416</v>
      </c>
      <c r="F2547" s="27" t="n">
        <v>2</v>
      </c>
      <c r="G2547" s="28" t="n">
        <v>45859</v>
      </c>
      <c r="H2547" s="28" t="n">
        <v>45859</v>
      </c>
      <c r="I2547" s="18" t="s">
        <v>780</v>
      </c>
      <c r="J2547" s="26" t="s">
        <v>416</v>
      </c>
      <c r="K2547" s="18" t="s">
        <v>781</v>
      </c>
      <c r="L2547" s="27" t="n">
        <v>2</v>
      </c>
      <c r="M2547" s="39" t="s">
        <v>413</v>
      </c>
      <c r="N2547" s="18" t="s">
        <v>414</v>
      </c>
      <c r="O2547" s="27" t="n">
        <v>2</v>
      </c>
      <c r="P2547" s="15" t="n">
        <f aca="false">IF(A2547="","",IF(O2547&lt;&gt;"",O2547,IF(L2547&lt;&gt;"",L2547,F2547)))</f>
        <v>2</v>
      </c>
    </row>
    <row r="2548" customFormat="false" ht="15" hidden="false" customHeight="true" outlineLevel="0" collapsed="false">
      <c r="A2548" s="30" t="s">
        <v>301</v>
      </c>
      <c r="B2548" s="30" t="s">
        <v>302</v>
      </c>
      <c r="C2548" s="21" t="n">
        <f aca="false">IF(A2548="","",IFERROR(VLOOKUP(A2548,'Recert Status'!$A$8:$C$400,3,FALSE()),""))</f>
        <v>46752</v>
      </c>
      <c r="D2548" s="31" t="s">
        <v>1206</v>
      </c>
      <c r="E2548" s="30" t="s">
        <v>416</v>
      </c>
      <c r="F2548" s="32" t="n">
        <v>4</v>
      </c>
      <c r="G2548" s="33" t="n">
        <v>45964</v>
      </c>
      <c r="H2548" s="33" t="n">
        <v>45964</v>
      </c>
      <c r="I2548" s="31" t="s">
        <v>1207</v>
      </c>
      <c r="J2548" s="30" t="s">
        <v>416</v>
      </c>
      <c r="K2548" s="31" t="s">
        <v>485</v>
      </c>
      <c r="L2548" s="32" t="n">
        <v>4</v>
      </c>
      <c r="M2548" s="39" t="s">
        <v>413</v>
      </c>
      <c r="N2548" s="31" t="s">
        <v>414</v>
      </c>
      <c r="O2548" s="32" t="n">
        <v>4</v>
      </c>
      <c r="P2548" s="15" t="n">
        <f aca="false">IF(A2548="","",IF(O2548&lt;&gt;"",O2548,IF(L2548&lt;&gt;"",L2548,F2548)))</f>
        <v>4</v>
      </c>
    </row>
    <row r="2549" customFormat="false" ht="15" hidden="false" customHeight="true" outlineLevel="0" collapsed="false">
      <c r="A2549" s="26" t="s">
        <v>303</v>
      </c>
      <c r="B2549" s="26"/>
      <c r="C2549" s="14" t="n">
        <f aca="false">IF(A2549="","",IFERROR(VLOOKUP(A2549,'Recert Status'!$A$8:$C$400,3,FALSE()),""))</f>
        <v>0</v>
      </c>
      <c r="D2549" s="18" t="s">
        <v>621</v>
      </c>
      <c r="E2549" s="26" t="n">
        <v>29740</v>
      </c>
      <c r="F2549" s="27" t="n">
        <v>0.5</v>
      </c>
      <c r="G2549" s="28" t="n">
        <v>45783</v>
      </c>
      <c r="H2549" s="28" t="n">
        <v>45783</v>
      </c>
      <c r="I2549" s="18" t="s">
        <v>622</v>
      </c>
      <c r="J2549" s="26" t="s">
        <v>394</v>
      </c>
      <c r="K2549" s="18" t="s">
        <v>365</v>
      </c>
      <c r="L2549" s="27" t="n">
        <v>0.5</v>
      </c>
      <c r="M2549" s="29" t="s">
        <v>366</v>
      </c>
      <c r="N2549" s="18" t="s">
        <v>367</v>
      </c>
      <c r="O2549" s="27" t="n">
        <v>0.5</v>
      </c>
      <c r="P2549" s="15" t="n">
        <f aca="false">IF(A2549="","",IF(O2549&lt;&gt;"",O2549,IF(L2549&lt;&gt;"",L2549,F2549)))</f>
        <v>0.5</v>
      </c>
    </row>
    <row r="2550" customFormat="false" ht="15" hidden="false" customHeight="true" outlineLevel="0" collapsed="false">
      <c r="A2550" s="30" t="s">
        <v>303</v>
      </c>
      <c r="B2550" s="30"/>
      <c r="C2550" s="21" t="n">
        <f aca="false">IF(A2550="","",IFERROR(VLOOKUP(A2550,'Recert Status'!$A$8:$C$400,3,FALSE()),""))</f>
        <v>0</v>
      </c>
      <c r="D2550" s="31" t="s">
        <v>367</v>
      </c>
      <c r="E2550" s="30" t="s">
        <v>363</v>
      </c>
      <c r="F2550" s="32" t="n">
        <v>1</v>
      </c>
      <c r="G2550" s="33" t="n">
        <v>46266</v>
      </c>
      <c r="H2550" s="33" t="n">
        <v>46266</v>
      </c>
      <c r="I2550" s="31" t="s">
        <v>1686</v>
      </c>
      <c r="J2550" s="30" t="s">
        <v>363</v>
      </c>
      <c r="K2550" s="31" t="s">
        <v>365</v>
      </c>
      <c r="L2550" s="32" t="n">
        <v>1</v>
      </c>
      <c r="M2550" s="29" t="s">
        <v>366</v>
      </c>
      <c r="N2550" s="31" t="s">
        <v>367</v>
      </c>
      <c r="O2550" s="32" t="n">
        <v>1</v>
      </c>
      <c r="P2550" s="15" t="n">
        <f aca="false">IF(A2550="","",IF(O2550&lt;&gt;"",O2550,IF(L2550&lt;&gt;"",L2550,F2550)))</f>
        <v>1</v>
      </c>
    </row>
    <row r="2551" customFormat="false" ht="15" hidden="false" customHeight="true" outlineLevel="0" collapsed="false">
      <c r="A2551" s="26" t="s">
        <v>303</v>
      </c>
      <c r="B2551" s="26"/>
      <c r="C2551" s="14" t="n">
        <f aca="false">IF(A2551="","",IFERROR(VLOOKUP(A2551,'Recert Status'!$A$8:$C$400,3,FALSE()),""))</f>
        <v>0</v>
      </c>
      <c r="D2551" s="18" t="s">
        <v>1382</v>
      </c>
      <c r="E2551" s="26" t="n">
        <v>29740</v>
      </c>
      <c r="F2551" s="27" t="n">
        <v>0.5</v>
      </c>
      <c r="G2551" s="28" t="n">
        <v>45666</v>
      </c>
      <c r="H2551" s="28" t="n">
        <v>45666</v>
      </c>
      <c r="I2551" s="18" t="s">
        <v>1383</v>
      </c>
      <c r="J2551" s="26" t="s">
        <v>394</v>
      </c>
      <c r="K2551" s="18" t="s">
        <v>509</v>
      </c>
      <c r="L2551" s="27" t="n">
        <v>0.5</v>
      </c>
      <c r="M2551" s="35" t="s">
        <v>386</v>
      </c>
      <c r="N2551" s="18" t="s">
        <v>387</v>
      </c>
      <c r="O2551" s="27" t="n">
        <v>0.5</v>
      </c>
      <c r="P2551" s="15" t="n">
        <f aca="false">IF(A2551="","",IF(O2551&lt;&gt;"",O2551,IF(L2551&lt;&gt;"",L2551,F2551)))</f>
        <v>0.5</v>
      </c>
    </row>
    <row r="2552" customFormat="false" ht="15" hidden="false" customHeight="true" outlineLevel="0" collapsed="false">
      <c r="A2552" s="30" t="s">
        <v>303</v>
      </c>
      <c r="B2552" s="30"/>
      <c r="C2552" s="21" t="n">
        <f aca="false">IF(A2552="","",IFERROR(VLOOKUP(A2552,'Recert Status'!$A$8:$C$400,3,FALSE()),""))</f>
        <v>0</v>
      </c>
      <c r="D2552" s="31" t="s">
        <v>1131</v>
      </c>
      <c r="E2552" s="30" t="n">
        <v>29743</v>
      </c>
      <c r="F2552" s="32" t="n">
        <v>0.5</v>
      </c>
      <c r="G2552" s="33" t="n">
        <v>45897</v>
      </c>
      <c r="H2552" s="33" t="n">
        <v>45897</v>
      </c>
      <c r="I2552" s="31" t="s">
        <v>1132</v>
      </c>
      <c r="J2552" s="30" t="s">
        <v>439</v>
      </c>
      <c r="K2552" s="31" t="s">
        <v>791</v>
      </c>
      <c r="L2552" s="32" t="n">
        <v>0.5</v>
      </c>
      <c r="M2552" s="35" t="s">
        <v>386</v>
      </c>
      <c r="N2552" s="31" t="s">
        <v>387</v>
      </c>
      <c r="O2552" s="32" t="n">
        <v>0.5</v>
      </c>
      <c r="P2552" s="15" t="n">
        <f aca="false">IF(A2552="","",IF(O2552&lt;&gt;"",O2552,IF(L2552&lt;&gt;"",L2552,F2552)))</f>
        <v>0.5</v>
      </c>
    </row>
    <row r="2553" customFormat="false" ht="15" hidden="false" customHeight="true" outlineLevel="0" collapsed="false">
      <c r="A2553" s="26" t="s">
        <v>303</v>
      </c>
      <c r="B2553" s="26"/>
      <c r="C2553" s="14" t="n">
        <f aca="false">IF(A2553="","",IFERROR(VLOOKUP(A2553,'Recert Status'!$A$8:$C$400,3,FALSE()),""))</f>
        <v>0</v>
      </c>
      <c r="D2553" s="18" t="s">
        <v>1088</v>
      </c>
      <c r="E2553" s="26" t="n">
        <v>29740</v>
      </c>
      <c r="F2553" s="27" t="n">
        <v>1</v>
      </c>
      <c r="G2553" s="28" t="n">
        <v>45987</v>
      </c>
      <c r="H2553" s="28" t="n">
        <v>45987</v>
      </c>
      <c r="I2553" s="18" t="s">
        <v>1089</v>
      </c>
      <c r="J2553" s="26" t="s">
        <v>394</v>
      </c>
      <c r="K2553" s="18" t="s">
        <v>468</v>
      </c>
      <c r="L2553" s="27" t="n">
        <v>1</v>
      </c>
      <c r="M2553" s="35" t="s">
        <v>386</v>
      </c>
      <c r="N2553" s="18" t="s">
        <v>387</v>
      </c>
      <c r="O2553" s="27" t="n">
        <v>1</v>
      </c>
      <c r="P2553" s="15" t="n">
        <f aca="false">IF(A2553="","",IF(O2553&lt;&gt;"",O2553,IF(L2553&lt;&gt;"",L2553,F2553)))</f>
        <v>1</v>
      </c>
    </row>
    <row r="2554" customFormat="false" ht="15" hidden="false" customHeight="true" outlineLevel="0" collapsed="false">
      <c r="A2554" s="30" t="s">
        <v>303</v>
      </c>
      <c r="B2554" s="30"/>
      <c r="C2554" s="21" t="n">
        <f aca="false">IF(A2554="","",IFERROR(VLOOKUP(A2554,'Recert Status'!$A$8:$C$400,3,FALSE()),""))</f>
        <v>0</v>
      </c>
      <c r="D2554" s="31" t="s">
        <v>1388</v>
      </c>
      <c r="E2554" s="30" t="n">
        <v>29740</v>
      </c>
      <c r="F2554" s="32" t="n">
        <v>3</v>
      </c>
      <c r="G2554" s="33" t="n">
        <v>46083</v>
      </c>
      <c r="H2554" s="33" t="n">
        <v>46083</v>
      </c>
      <c r="I2554" s="31" t="s">
        <v>1389</v>
      </c>
      <c r="J2554" s="30" t="s">
        <v>394</v>
      </c>
      <c r="K2554" s="31" t="s">
        <v>391</v>
      </c>
      <c r="L2554" s="32" t="n">
        <v>3</v>
      </c>
      <c r="M2554" s="35" t="s">
        <v>386</v>
      </c>
      <c r="N2554" s="31" t="s">
        <v>387</v>
      </c>
      <c r="O2554" s="32" t="n">
        <v>3</v>
      </c>
      <c r="P2554" s="15" t="n">
        <f aca="false">IF(A2554="","",IF(O2554&lt;&gt;"",O2554,IF(L2554&lt;&gt;"",L2554,F2554)))</f>
        <v>3</v>
      </c>
    </row>
    <row r="2555" customFormat="false" ht="15" hidden="false" customHeight="true" outlineLevel="0" collapsed="false">
      <c r="A2555" s="26" t="s">
        <v>303</v>
      </c>
      <c r="B2555" s="26"/>
      <c r="C2555" s="14" t="n">
        <f aca="false">IF(A2555="","",IFERROR(VLOOKUP(A2555,'Recert Status'!$A$8:$C$400,3,FALSE()),""))</f>
        <v>0</v>
      </c>
      <c r="D2555" s="18" t="s">
        <v>1695</v>
      </c>
      <c r="E2555" s="26" t="s">
        <v>389</v>
      </c>
      <c r="F2555" s="27" t="n">
        <v>1</v>
      </c>
      <c r="G2555" s="28" t="n">
        <v>46140</v>
      </c>
      <c r="H2555" s="28" t="n">
        <v>46140</v>
      </c>
      <c r="I2555" s="18" t="s">
        <v>1696</v>
      </c>
      <c r="J2555" s="26" t="s">
        <v>389</v>
      </c>
      <c r="K2555" s="18" t="s">
        <v>1221</v>
      </c>
      <c r="L2555" s="27" t="n">
        <v>1</v>
      </c>
      <c r="M2555" s="35" t="s">
        <v>386</v>
      </c>
      <c r="N2555" s="18" t="s">
        <v>387</v>
      </c>
      <c r="O2555" s="27" t="n">
        <v>1</v>
      </c>
      <c r="P2555" s="15" t="n">
        <f aca="false">IF(A2555="","",IF(O2555&lt;&gt;"",O2555,IF(L2555&lt;&gt;"",L2555,F2555)))</f>
        <v>1</v>
      </c>
    </row>
    <row r="2556" customFormat="false" ht="15" hidden="false" customHeight="true" outlineLevel="0" collapsed="false">
      <c r="A2556" s="30" t="s">
        <v>303</v>
      </c>
      <c r="B2556" s="30"/>
      <c r="C2556" s="21" t="n">
        <f aca="false">IF(A2556="","",IFERROR(VLOOKUP(A2556,'Recert Status'!$A$8:$C$400,3,FALSE()),""))</f>
        <v>0</v>
      </c>
      <c r="D2556" s="31" t="s">
        <v>387</v>
      </c>
      <c r="E2556" s="30" t="s">
        <v>389</v>
      </c>
      <c r="F2556" s="32" t="n">
        <v>0.5</v>
      </c>
      <c r="G2556" s="33" t="n">
        <v>46230</v>
      </c>
      <c r="H2556" s="33" t="n">
        <v>46230</v>
      </c>
      <c r="I2556" s="31" t="s">
        <v>594</v>
      </c>
      <c r="J2556" s="30" t="s">
        <v>389</v>
      </c>
      <c r="K2556" s="31" t="s">
        <v>451</v>
      </c>
      <c r="L2556" s="32" t="n">
        <v>0.5</v>
      </c>
      <c r="M2556" s="35" t="s">
        <v>386</v>
      </c>
      <c r="N2556" s="31" t="s">
        <v>387</v>
      </c>
      <c r="O2556" s="32" t="n">
        <v>0.5</v>
      </c>
      <c r="P2556" s="15" t="n">
        <f aca="false">IF(A2556="","",IF(O2556&lt;&gt;"",O2556,IF(L2556&lt;&gt;"",L2556,F2556)))</f>
        <v>0.5</v>
      </c>
    </row>
    <row r="2557" customFormat="false" ht="15" hidden="false" customHeight="true" outlineLevel="0" collapsed="false">
      <c r="A2557" s="26" t="s">
        <v>303</v>
      </c>
      <c r="B2557" s="26"/>
      <c r="C2557" s="14" t="n">
        <f aca="false">IF(A2557="","",IFERROR(VLOOKUP(A2557,'Recert Status'!$A$8:$C$400,3,FALSE()),""))</f>
        <v>0</v>
      </c>
      <c r="D2557" s="18" t="s">
        <v>662</v>
      </c>
      <c r="E2557" s="26" t="s">
        <v>452</v>
      </c>
      <c r="F2557" s="27" t="n">
        <v>1</v>
      </c>
      <c r="G2557" s="28" t="n">
        <v>45882</v>
      </c>
      <c r="H2557" s="28" t="n">
        <v>45882</v>
      </c>
      <c r="I2557" s="18" t="s">
        <v>663</v>
      </c>
      <c r="J2557" s="26" t="s">
        <v>452</v>
      </c>
      <c r="K2557" s="18" t="s">
        <v>385</v>
      </c>
      <c r="L2557" s="27" t="n">
        <v>1</v>
      </c>
      <c r="M2557" s="36" t="s">
        <v>396</v>
      </c>
      <c r="N2557" s="18" t="s">
        <v>397</v>
      </c>
      <c r="O2557" s="27" t="n">
        <v>1</v>
      </c>
      <c r="P2557" s="15" t="n">
        <f aca="false">IF(A2557="","",IF(O2557&lt;&gt;"",O2557,IF(L2557&lt;&gt;"",L2557,F2557)))</f>
        <v>1</v>
      </c>
    </row>
    <row r="2558" customFormat="false" ht="15" hidden="false" customHeight="true" outlineLevel="0" collapsed="false">
      <c r="A2558" s="30" t="s">
        <v>303</v>
      </c>
      <c r="B2558" s="30"/>
      <c r="C2558" s="21" t="n">
        <f aca="false">IF(A2558="","",IFERROR(VLOOKUP(A2558,'Recert Status'!$A$8:$C$400,3,FALSE()),""))</f>
        <v>0</v>
      </c>
      <c r="D2558" s="31" t="s">
        <v>662</v>
      </c>
      <c r="E2558" s="30" t="n">
        <v>57434</v>
      </c>
      <c r="F2558" s="32" t="n">
        <v>1</v>
      </c>
      <c r="G2558" s="33" t="n">
        <v>45972</v>
      </c>
      <c r="H2558" s="33" t="n">
        <v>45972</v>
      </c>
      <c r="I2558" s="31" t="s">
        <v>1629</v>
      </c>
      <c r="J2558" s="30" t="s">
        <v>1630</v>
      </c>
      <c r="K2558" s="31" t="s">
        <v>385</v>
      </c>
      <c r="L2558" s="32" t="n">
        <v>1</v>
      </c>
      <c r="M2558" s="36" t="s">
        <v>396</v>
      </c>
      <c r="N2558" s="31" t="s">
        <v>397</v>
      </c>
      <c r="O2558" s="32" t="n">
        <v>1</v>
      </c>
      <c r="P2558" s="15" t="n">
        <f aca="false">IF(A2558="","",IF(O2558&lt;&gt;"",O2558,IF(L2558&lt;&gt;"",L2558,F2558)))</f>
        <v>1</v>
      </c>
    </row>
    <row r="2559" customFormat="false" ht="15" hidden="false" customHeight="true" outlineLevel="0" collapsed="false">
      <c r="A2559" s="26" t="s">
        <v>303</v>
      </c>
      <c r="B2559" s="26"/>
      <c r="C2559" s="14" t="n">
        <f aca="false">IF(A2559="","",IFERROR(VLOOKUP(A2559,'Recert Status'!$A$8:$C$400,3,FALSE()),""))</f>
        <v>0</v>
      </c>
      <c r="D2559" s="18" t="s">
        <v>560</v>
      </c>
      <c r="E2559" s="26" t="n">
        <v>35513</v>
      </c>
      <c r="F2559" s="27" t="n">
        <v>1</v>
      </c>
      <c r="G2559" s="28" t="n">
        <v>46116</v>
      </c>
      <c r="H2559" s="28" t="n">
        <v>46116</v>
      </c>
      <c r="I2559" s="18" t="s">
        <v>1392</v>
      </c>
      <c r="J2559" s="26" t="s">
        <v>384</v>
      </c>
      <c r="K2559" s="18" t="s">
        <v>385</v>
      </c>
      <c r="L2559" s="27" t="n">
        <v>1</v>
      </c>
      <c r="M2559" s="36" t="s">
        <v>396</v>
      </c>
      <c r="N2559" s="18" t="s">
        <v>397</v>
      </c>
      <c r="O2559" s="27" t="n">
        <v>1</v>
      </c>
      <c r="P2559" s="15" t="n">
        <f aca="false">IF(A2559="","",IF(O2559&lt;&gt;"",O2559,IF(L2559&lt;&gt;"",L2559,F2559)))</f>
        <v>1</v>
      </c>
    </row>
    <row r="2560" customFormat="false" ht="15" hidden="false" customHeight="true" outlineLevel="0" collapsed="false">
      <c r="A2560" s="30" t="s">
        <v>303</v>
      </c>
      <c r="B2560" s="30"/>
      <c r="C2560" s="21" t="n">
        <f aca="false">IF(A2560="","",IFERROR(VLOOKUP(A2560,'Recert Status'!$A$8:$C$400,3,FALSE()),""))</f>
        <v>0</v>
      </c>
      <c r="D2560" s="31" t="s">
        <v>1638</v>
      </c>
      <c r="E2560" s="30" t="s">
        <v>399</v>
      </c>
      <c r="F2560" s="32" t="n">
        <v>1</v>
      </c>
      <c r="G2560" s="33" t="n">
        <v>45972</v>
      </c>
      <c r="H2560" s="33" t="n">
        <v>45972</v>
      </c>
      <c r="I2560" s="31" t="s">
        <v>1639</v>
      </c>
      <c r="J2560" s="30" t="s">
        <v>399</v>
      </c>
      <c r="K2560" s="31" t="s">
        <v>401</v>
      </c>
      <c r="L2560" s="32" t="n">
        <v>1</v>
      </c>
      <c r="M2560" s="37" t="s">
        <v>402</v>
      </c>
      <c r="N2560" s="31" t="s">
        <v>403</v>
      </c>
      <c r="O2560" s="32" t="n">
        <v>1</v>
      </c>
      <c r="P2560" s="15" t="n">
        <f aca="false">IF(A2560="","",IF(O2560&lt;&gt;"",O2560,IF(L2560&lt;&gt;"",L2560,F2560)))</f>
        <v>1</v>
      </c>
    </row>
    <row r="2561" customFormat="false" ht="15" hidden="false" customHeight="true" outlineLevel="0" collapsed="false">
      <c r="A2561" s="26" t="s">
        <v>303</v>
      </c>
      <c r="B2561" s="26"/>
      <c r="C2561" s="14" t="n">
        <f aca="false">IF(A2561="","",IFERROR(VLOOKUP(A2561,'Recert Status'!$A$8:$C$400,3,FALSE()),""))</f>
        <v>0</v>
      </c>
      <c r="D2561" s="18" t="s">
        <v>457</v>
      </c>
      <c r="E2561" s="26" t="s">
        <v>416</v>
      </c>
      <c r="F2561" s="27" t="n">
        <v>2</v>
      </c>
      <c r="G2561" s="28" t="n">
        <v>45861</v>
      </c>
      <c r="H2561" s="28" t="n">
        <v>45861</v>
      </c>
      <c r="I2561" s="18" t="s">
        <v>921</v>
      </c>
      <c r="J2561" s="26" t="s">
        <v>416</v>
      </c>
      <c r="K2561" s="18" t="s">
        <v>418</v>
      </c>
      <c r="L2561" s="27" t="n">
        <v>2</v>
      </c>
      <c r="M2561" s="39" t="s">
        <v>413</v>
      </c>
      <c r="N2561" s="18" t="s">
        <v>414</v>
      </c>
      <c r="O2561" s="27" t="n">
        <v>2</v>
      </c>
      <c r="P2561" s="15" t="n">
        <f aca="false">IF(A2561="","",IF(O2561&lt;&gt;"",O2561,IF(L2561&lt;&gt;"",L2561,F2561)))</f>
        <v>2</v>
      </c>
    </row>
    <row r="2562" customFormat="false" ht="15" hidden="false" customHeight="true" outlineLevel="0" collapsed="false">
      <c r="A2562" s="30" t="s">
        <v>303</v>
      </c>
      <c r="B2562" s="30"/>
      <c r="C2562" s="21" t="n">
        <f aca="false">IF(A2562="","",IFERROR(VLOOKUP(A2562,'Recert Status'!$A$8:$C$400,3,FALSE()),""))</f>
        <v>0</v>
      </c>
      <c r="D2562" s="31" t="s">
        <v>1641</v>
      </c>
      <c r="E2562" s="30" t="s">
        <v>416</v>
      </c>
      <c r="F2562" s="32" t="n">
        <v>1</v>
      </c>
      <c r="G2562" s="33" t="n">
        <v>45972</v>
      </c>
      <c r="H2562" s="33" t="n">
        <v>45972</v>
      </c>
      <c r="I2562" s="31" t="s">
        <v>1639</v>
      </c>
      <c r="J2562" s="30" t="s">
        <v>416</v>
      </c>
      <c r="K2562" s="31" t="s">
        <v>523</v>
      </c>
      <c r="L2562" s="32" t="n">
        <v>1</v>
      </c>
      <c r="M2562" s="39" t="s">
        <v>413</v>
      </c>
      <c r="N2562" s="31" t="s">
        <v>414</v>
      </c>
      <c r="O2562" s="32" t="n">
        <v>1</v>
      </c>
      <c r="P2562" s="15" t="n">
        <f aca="false">IF(A2562="","",IF(O2562&lt;&gt;"",O2562,IF(L2562&lt;&gt;"",L2562,F2562)))</f>
        <v>1</v>
      </c>
    </row>
    <row r="2563" customFormat="false" ht="15" hidden="false" customHeight="true" outlineLevel="0" collapsed="false">
      <c r="A2563" s="26" t="s">
        <v>303</v>
      </c>
      <c r="B2563" s="26"/>
      <c r="C2563" s="14" t="n">
        <f aca="false">IF(A2563="","",IFERROR(VLOOKUP(A2563,'Recert Status'!$A$8:$C$400,3,FALSE()),""))</f>
        <v>0</v>
      </c>
      <c r="D2563" s="18" t="s">
        <v>1642</v>
      </c>
      <c r="E2563" s="26" t="s">
        <v>416</v>
      </c>
      <c r="F2563" s="27" t="n">
        <v>1</v>
      </c>
      <c r="G2563" s="28" t="n">
        <v>45972</v>
      </c>
      <c r="H2563" s="28" t="n">
        <v>45972</v>
      </c>
      <c r="I2563" s="18" t="s">
        <v>1639</v>
      </c>
      <c r="J2563" s="26" t="s">
        <v>416</v>
      </c>
      <c r="K2563" s="18" t="s">
        <v>490</v>
      </c>
      <c r="L2563" s="27" t="n">
        <v>1</v>
      </c>
      <c r="M2563" s="39" t="s">
        <v>413</v>
      </c>
      <c r="N2563" s="18" t="s">
        <v>414</v>
      </c>
      <c r="O2563" s="27" t="n">
        <v>1</v>
      </c>
      <c r="P2563" s="15" t="n">
        <f aca="false">IF(A2563="","",IF(O2563&lt;&gt;"",O2563,IF(L2563&lt;&gt;"",L2563,F2563)))</f>
        <v>1</v>
      </c>
    </row>
    <row r="2564" customFormat="false" ht="15" hidden="false" customHeight="true" outlineLevel="0" collapsed="false">
      <c r="A2564" s="30" t="s">
        <v>303</v>
      </c>
      <c r="B2564" s="30"/>
      <c r="C2564" s="21" t="n">
        <f aca="false">IF(A2564="","",IFERROR(VLOOKUP(A2564,'Recert Status'!$A$8:$C$400,3,FALSE()),""))</f>
        <v>0</v>
      </c>
      <c r="D2564" s="31" t="s">
        <v>1643</v>
      </c>
      <c r="E2564" s="30" t="s">
        <v>416</v>
      </c>
      <c r="F2564" s="32" t="n">
        <v>1</v>
      </c>
      <c r="G2564" s="33" t="n">
        <v>45972</v>
      </c>
      <c r="H2564" s="33" t="n">
        <v>45972</v>
      </c>
      <c r="I2564" s="31" t="s">
        <v>1639</v>
      </c>
      <c r="J2564" s="30" t="s">
        <v>416</v>
      </c>
      <c r="K2564" s="31" t="s">
        <v>674</v>
      </c>
      <c r="L2564" s="32" t="n">
        <v>1</v>
      </c>
      <c r="M2564" s="39" t="s">
        <v>413</v>
      </c>
      <c r="N2564" s="31" t="s">
        <v>414</v>
      </c>
      <c r="O2564" s="32" t="n">
        <v>1</v>
      </c>
      <c r="P2564" s="15" t="n">
        <f aca="false">IF(A2564="","",IF(O2564&lt;&gt;"",O2564,IF(L2564&lt;&gt;"",L2564,F2564)))</f>
        <v>1</v>
      </c>
    </row>
    <row r="2565" customFormat="false" ht="15" hidden="false" customHeight="true" outlineLevel="0" collapsed="false">
      <c r="A2565" s="26" t="s">
        <v>303</v>
      </c>
      <c r="B2565" s="26"/>
      <c r="C2565" s="14" t="n">
        <f aca="false">IF(A2565="","",IFERROR(VLOOKUP(A2565,'Recert Status'!$A$8:$C$400,3,FALSE()),""))</f>
        <v>0</v>
      </c>
      <c r="D2565" s="18" t="s">
        <v>1644</v>
      </c>
      <c r="E2565" s="26" t="s">
        <v>416</v>
      </c>
      <c r="F2565" s="27" t="n">
        <v>1</v>
      </c>
      <c r="G2565" s="28" t="n">
        <v>45972</v>
      </c>
      <c r="H2565" s="28" t="n">
        <v>45972</v>
      </c>
      <c r="I2565" s="18" t="s">
        <v>1639</v>
      </c>
      <c r="J2565" s="26" t="s">
        <v>416</v>
      </c>
      <c r="K2565" s="18" t="s">
        <v>485</v>
      </c>
      <c r="L2565" s="27" t="n">
        <v>1</v>
      </c>
      <c r="M2565" s="39" t="s">
        <v>413</v>
      </c>
      <c r="N2565" s="18" t="s">
        <v>414</v>
      </c>
      <c r="O2565" s="27" t="n">
        <v>1</v>
      </c>
      <c r="P2565" s="15" t="n">
        <f aca="false">IF(A2565="","",IF(O2565&lt;&gt;"",O2565,IF(L2565&lt;&gt;"",L2565,F2565)))</f>
        <v>1</v>
      </c>
    </row>
    <row r="2566" customFormat="false" ht="15" hidden="false" customHeight="true" outlineLevel="0" collapsed="false">
      <c r="A2566" s="30" t="s">
        <v>303</v>
      </c>
      <c r="B2566" s="30"/>
      <c r="C2566" s="21" t="n">
        <f aca="false">IF(A2566="","",IFERROR(VLOOKUP(A2566,'Recert Status'!$A$8:$C$400,3,FALSE()),""))</f>
        <v>0</v>
      </c>
      <c r="D2566" s="31" t="s">
        <v>1644</v>
      </c>
      <c r="E2566" s="30" t="s">
        <v>416</v>
      </c>
      <c r="F2566" s="32" t="n">
        <v>1</v>
      </c>
      <c r="G2566" s="33" t="n">
        <v>45972</v>
      </c>
      <c r="H2566" s="33" t="n">
        <v>45972</v>
      </c>
      <c r="I2566" s="31" t="s">
        <v>1639</v>
      </c>
      <c r="J2566" s="30" t="s">
        <v>416</v>
      </c>
      <c r="K2566" s="31" t="s">
        <v>485</v>
      </c>
      <c r="L2566" s="32" t="n">
        <v>1</v>
      </c>
      <c r="M2566" s="39" t="s">
        <v>413</v>
      </c>
      <c r="N2566" s="31" t="s">
        <v>414</v>
      </c>
      <c r="O2566" s="32" t="n">
        <v>1</v>
      </c>
      <c r="P2566" s="15" t="n">
        <f aca="false">IF(A2566="","",IF(O2566&lt;&gt;"",O2566,IF(L2566&lt;&gt;"",L2566,F2566)))</f>
        <v>1</v>
      </c>
    </row>
    <row r="2567" customFormat="false" ht="15" hidden="false" customHeight="true" outlineLevel="0" collapsed="false">
      <c r="A2567" s="26" t="s">
        <v>304</v>
      </c>
      <c r="B2567" s="26" t="s">
        <v>305</v>
      </c>
      <c r="C2567" s="14" t="n">
        <f aca="false">IF(A2567="","",IFERROR(VLOOKUP(A2567,'Recert Status'!$A$8:$C$400,3,FALSE()),""))</f>
        <v>46752</v>
      </c>
      <c r="D2567" s="18" t="s">
        <v>1255</v>
      </c>
      <c r="E2567" s="26" t="n">
        <v>57404</v>
      </c>
      <c r="F2567" s="27" t="n">
        <v>3</v>
      </c>
      <c r="G2567" s="28" t="n">
        <v>45971</v>
      </c>
      <c r="H2567" s="28" t="n">
        <v>45971</v>
      </c>
      <c r="I2567" s="18" t="s">
        <v>1256</v>
      </c>
      <c r="J2567" s="26" t="s">
        <v>728</v>
      </c>
      <c r="K2567" s="18" t="s">
        <v>882</v>
      </c>
      <c r="L2567" s="27" t="n">
        <v>3</v>
      </c>
      <c r="M2567" s="29" t="s">
        <v>366</v>
      </c>
      <c r="N2567" s="18" t="s">
        <v>367</v>
      </c>
      <c r="O2567" s="27" t="n">
        <v>3</v>
      </c>
      <c r="P2567" s="15" t="n">
        <f aca="false">IF(A2567="","",IF(O2567&lt;&gt;"",O2567,IF(L2567&lt;&gt;"",L2567,F2567)))</f>
        <v>3</v>
      </c>
    </row>
    <row r="2568" customFormat="false" ht="15" hidden="false" customHeight="true" outlineLevel="0" collapsed="false">
      <c r="A2568" s="30" t="s">
        <v>304</v>
      </c>
      <c r="B2568" s="30" t="s">
        <v>305</v>
      </c>
      <c r="C2568" s="21" t="n">
        <f aca="false">IF(A2568="","",IFERROR(VLOOKUP(A2568,'Recert Status'!$A$8:$C$400,3,FALSE()),""))</f>
        <v>46752</v>
      </c>
      <c r="D2568" s="31" t="s">
        <v>785</v>
      </c>
      <c r="E2568" s="30" t="s">
        <v>363</v>
      </c>
      <c r="F2568" s="32" t="n">
        <v>4</v>
      </c>
      <c r="G2568" s="33" t="n">
        <v>46076</v>
      </c>
      <c r="H2568" s="33" t="n">
        <v>46076</v>
      </c>
      <c r="I2568" s="31" t="s">
        <v>786</v>
      </c>
      <c r="J2568" s="30" t="s">
        <v>363</v>
      </c>
      <c r="K2568" s="31" t="s">
        <v>630</v>
      </c>
      <c r="L2568" s="32" t="n">
        <v>4</v>
      </c>
      <c r="M2568" s="29" t="s">
        <v>366</v>
      </c>
      <c r="N2568" s="31" t="s">
        <v>367</v>
      </c>
      <c r="O2568" s="32" t="n">
        <v>4</v>
      </c>
      <c r="P2568" s="15" t="n">
        <f aca="false">IF(A2568="","",IF(O2568&lt;&gt;"",O2568,IF(L2568&lt;&gt;"",L2568,F2568)))</f>
        <v>4</v>
      </c>
    </row>
    <row r="2569" customFormat="false" ht="15" hidden="false" customHeight="true" outlineLevel="0" collapsed="false">
      <c r="A2569" s="26" t="s">
        <v>304</v>
      </c>
      <c r="B2569" s="26" t="s">
        <v>305</v>
      </c>
      <c r="C2569" s="14" t="n">
        <f aca="false">IF(A2569="","",IFERROR(VLOOKUP(A2569,'Recert Status'!$A$8:$C$400,3,FALSE()),""))</f>
        <v>46752</v>
      </c>
      <c r="D2569" s="18" t="s">
        <v>1257</v>
      </c>
      <c r="E2569" s="26" t="n">
        <v>29743</v>
      </c>
      <c r="F2569" s="27" t="n">
        <v>1.75</v>
      </c>
      <c r="G2569" s="28" t="n">
        <v>45758</v>
      </c>
      <c r="H2569" s="28" t="n">
        <v>45758</v>
      </c>
      <c r="I2569" s="18" t="s">
        <v>1258</v>
      </c>
      <c r="J2569" s="26" t="s">
        <v>439</v>
      </c>
      <c r="K2569" s="18" t="s">
        <v>422</v>
      </c>
      <c r="L2569" s="27" t="n">
        <v>1.75</v>
      </c>
      <c r="M2569" s="40" t="s">
        <v>423</v>
      </c>
      <c r="N2569" s="18" t="s">
        <v>424</v>
      </c>
      <c r="O2569" s="27" t="n">
        <v>1.75</v>
      </c>
      <c r="P2569" s="15" t="n">
        <f aca="false">IF(A2569="","",IF(O2569&lt;&gt;"",O2569,IF(L2569&lt;&gt;"",L2569,F2569)))</f>
        <v>1.75</v>
      </c>
    </row>
    <row r="2570" customFormat="false" ht="15" hidden="false" customHeight="true" outlineLevel="0" collapsed="false">
      <c r="A2570" s="30" t="s">
        <v>304</v>
      </c>
      <c r="B2570" s="30" t="s">
        <v>305</v>
      </c>
      <c r="C2570" s="21" t="n">
        <f aca="false">IF(A2570="","",IFERROR(VLOOKUP(A2570,'Recert Status'!$A$8:$C$400,3,FALSE()),""))</f>
        <v>46752</v>
      </c>
      <c r="D2570" s="31" t="s">
        <v>548</v>
      </c>
      <c r="E2570" s="30" t="s">
        <v>426</v>
      </c>
      <c r="F2570" s="32" t="n">
        <v>2</v>
      </c>
      <c r="G2570" s="33" t="n">
        <v>45972</v>
      </c>
      <c r="H2570" s="33" t="n">
        <v>45972</v>
      </c>
      <c r="I2570" s="31" t="s">
        <v>1259</v>
      </c>
      <c r="J2570" s="30" t="s">
        <v>426</v>
      </c>
      <c r="K2570" s="31" t="s">
        <v>428</v>
      </c>
      <c r="L2570" s="32" t="n">
        <v>2</v>
      </c>
      <c r="M2570" s="41" t="s">
        <v>429</v>
      </c>
      <c r="N2570" s="31" t="s">
        <v>430</v>
      </c>
      <c r="O2570" s="32" t="n">
        <v>2</v>
      </c>
      <c r="P2570" s="15" t="n">
        <f aca="false">IF(A2570="","",IF(O2570&lt;&gt;"",O2570,IF(L2570&lt;&gt;"",L2570,F2570)))</f>
        <v>2</v>
      </c>
    </row>
    <row r="2571" customFormat="false" ht="15" hidden="false" customHeight="true" outlineLevel="0" collapsed="false">
      <c r="A2571" s="26" t="s">
        <v>304</v>
      </c>
      <c r="B2571" s="26" t="s">
        <v>305</v>
      </c>
      <c r="C2571" s="14" t="n">
        <f aca="false">IF(A2571="","",IFERROR(VLOOKUP(A2571,'Recert Status'!$A$8:$C$400,3,FALSE()),""))</f>
        <v>46752</v>
      </c>
      <c r="D2571" s="18" t="s">
        <v>449</v>
      </c>
      <c r="E2571" s="26" t="s">
        <v>389</v>
      </c>
      <c r="F2571" s="27" t="n">
        <v>1</v>
      </c>
      <c r="G2571" s="28" t="n">
        <v>45689</v>
      </c>
      <c r="H2571" s="28" t="n">
        <v>45689</v>
      </c>
      <c r="I2571" s="18" t="s">
        <v>1262</v>
      </c>
      <c r="J2571" s="26" t="s">
        <v>389</v>
      </c>
      <c r="K2571" s="18" t="s">
        <v>395</v>
      </c>
      <c r="L2571" s="27" t="n">
        <v>1</v>
      </c>
      <c r="M2571" s="35" t="s">
        <v>386</v>
      </c>
      <c r="N2571" s="18" t="s">
        <v>387</v>
      </c>
      <c r="O2571" s="27" t="n">
        <v>1</v>
      </c>
      <c r="P2571" s="15" t="n">
        <f aca="false">IF(A2571="","",IF(O2571&lt;&gt;"",O2571,IF(L2571&lt;&gt;"",L2571,F2571)))</f>
        <v>1</v>
      </c>
    </row>
    <row r="2572" customFormat="false" ht="15" hidden="false" customHeight="true" outlineLevel="0" collapsed="false">
      <c r="A2572" s="30" t="s">
        <v>304</v>
      </c>
      <c r="B2572" s="30" t="s">
        <v>305</v>
      </c>
      <c r="C2572" s="21" t="n">
        <f aca="false">IF(A2572="","",IFERROR(VLOOKUP(A2572,'Recert Status'!$A$8:$C$400,3,FALSE()),""))</f>
        <v>46752</v>
      </c>
      <c r="D2572" s="31" t="s">
        <v>437</v>
      </c>
      <c r="E2572" s="30" t="n">
        <v>29743</v>
      </c>
      <c r="F2572" s="32" t="n">
        <v>1</v>
      </c>
      <c r="G2572" s="33" t="n">
        <v>45833</v>
      </c>
      <c r="H2572" s="33" t="n">
        <v>45833</v>
      </c>
      <c r="I2572" s="31" t="s">
        <v>438</v>
      </c>
      <c r="J2572" s="30" t="s">
        <v>439</v>
      </c>
      <c r="K2572" s="31" t="s">
        <v>440</v>
      </c>
      <c r="L2572" s="32" t="n">
        <v>1</v>
      </c>
      <c r="M2572" s="35" t="s">
        <v>386</v>
      </c>
      <c r="N2572" s="31" t="s">
        <v>387</v>
      </c>
      <c r="O2572" s="32" t="n">
        <v>1</v>
      </c>
      <c r="P2572" s="15" t="n">
        <f aca="false">IF(A2572="","",IF(O2572&lt;&gt;"",O2572,IF(L2572&lt;&gt;"",L2572,F2572)))</f>
        <v>1</v>
      </c>
    </row>
    <row r="2573" customFormat="false" ht="15" hidden="false" customHeight="true" outlineLevel="0" collapsed="false">
      <c r="A2573" s="26" t="s">
        <v>304</v>
      </c>
      <c r="B2573" s="26" t="s">
        <v>305</v>
      </c>
      <c r="C2573" s="14" t="n">
        <f aca="false">IF(A2573="","",IFERROR(VLOOKUP(A2573,'Recert Status'!$A$8:$C$400,3,FALSE()),""))</f>
        <v>46752</v>
      </c>
      <c r="D2573" s="18" t="s">
        <v>441</v>
      </c>
      <c r="E2573" s="26" t="n">
        <v>29743</v>
      </c>
      <c r="F2573" s="27" t="n">
        <v>1</v>
      </c>
      <c r="G2573" s="28" t="n">
        <v>45833</v>
      </c>
      <c r="H2573" s="28" t="n">
        <v>45833</v>
      </c>
      <c r="I2573" s="18" t="s">
        <v>442</v>
      </c>
      <c r="J2573" s="26" t="s">
        <v>439</v>
      </c>
      <c r="K2573" s="18" t="s">
        <v>443</v>
      </c>
      <c r="L2573" s="27" t="n">
        <v>1</v>
      </c>
      <c r="M2573" s="35" t="s">
        <v>386</v>
      </c>
      <c r="N2573" s="18" t="s">
        <v>387</v>
      </c>
      <c r="O2573" s="27" t="n">
        <v>1</v>
      </c>
      <c r="P2573" s="15" t="n">
        <f aca="false">IF(A2573="","",IF(O2573&lt;&gt;"",O2573,IF(L2573&lt;&gt;"",L2573,F2573)))</f>
        <v>1</v>
      </c>
    </row>
    <row r="2574" customFormat="false" ht="15" hidden="false" customHeight="true" outlineLevel="0" collapsed="false">
      <c r="A2574" s="30" t="s">
        <v>304</v>
      </c>
      <c r="B2574" s="30" t="s">
        <v>305</v>
      </c>
      <c r="C2574" s="21" t="n">
        <f aca="false">IF(A2574="","",IFERROR(VLOOKUP(A2574,'Recert Status'!$A$8:$C$400,3,FALSE()),""))</f>
        <v>46752</v>
      </c>
      <c r="D2574" s="31" t="s">
        <v>615</v>
      </c>
      <c r="E2574" s="30" t="n">
        <v>29740</v>
      </c>
      <c r="F2574" s="32" t="n">
        <v>2</v>
      </c>
      <c r="G2574" s="33" t="n">
        <v>45884</v>
      </c>
      <c r="H2574" s="33" t="n">
        <v>45884</v>
      </c>
      <c r="I2574" s="31" t="s">
        <v>616</v>
      </c>
      <c r="J2574" s="30" t="s">
        <v>394</v>
      </c>
      <c r="K2574" s="31" t="s">
        <v>385</v>
      </c>
      <c r="L2574" s="32" t="n">
        <v>2</v>
      </c>
      <c r="M2574" s="35" t="s">
        <v>386</v>
      </c>
      <c r="N2574" s="31" t="s">
        <v>397</v>
      </c>
      <c r="O2574" s="32" t="n">
        <v>2</v>
      </c>
      <c r="P2574" s="15" t="n">
        <f aca="false">IF(A2574="","",IF(O2574&lt;&gt;"",O2574,IF(L2574&lt;&gt;"",L2574,F2574)))</f>
        <v>2</v>
      </c>
    </row>
    <row r="2575" customFormat="false" ht="15" hidden="false" customHeight="true" outlineLevel="0" collapsed="false">
      <c r="A2575" s="26" t="s">
        <v>304</v>
      </c>
      <c r="B2575" s="26" t="s">
        <v>305</v>
      </c>
      <c r="C2575" s="14" t="n">
        <f aca="false">IF(A2575="","",IFERROR(VLOOKUP(A2575,'Recert Status'!$A$8:$C$400,3,FALSE()),""))</f>
        <v>46752</v>
      </c>
      <c r="D2575" s="18" t="s">
        <v>705</v>
      </c>
      <c r="E2575" s="26" t="n">
        <v>29769</v>
      </c>
      <c r="F2575" s="27" t="n">
        <v>2</v>
      </c>
      <c r="G2575" s="28" t="n">
        <v>45896</v>
      </c>
      <c r="H2575" s="28" t="n">
        <v>45896</v>
      </c>
      <c r="I2575" s="18" t="s">
        <v>706</v>
      </c>
      <c r="J2575" s="26" t="s">
        <v>517</v>
      </c>
      <c r="K2575" s="18" t="s">
        <v>707</v>
      </c>
      <c r="L2575" s="27" t="n">
        <v>2</v>
      </c>
      <c r="M2575" s="35" t="s">
        <v>386</v>
      </c>
      <c r="N2575" s="18" t="s">
        <v>387</v>
      </c>
      <c r="O2575" s="27" t="n">
        <v>2</v>
      </c>
      <c r="P2575" s="15" t="n">
        <f aca="false">IF(A2575="","",IF(O2575&lt;&gt;"",O2575,IF(L2575&lt;&gt;"",L2575,F2575)))</f>
        <v>2</v>
      </c>
    </row>
    <row r="2576" customFormat="false" ht="15" hidden="false" customHeight="true" outlineLevel="0" collapsed="false">
      <c r="A2576" s="30" t="s">
        <v>304</v>
      </c>
      <c r="B2576" s="30" t="s">
        <v>305</v>
      </c>
      <c r="C2576" s="21" t="n">
        <f aca="false">IF(A2576="","",IFERROR(VLOOKUP(A2576,'Recert Status'!$A$8:$C$400,3,FALSE()),""))</f>
        <v>46752</v>
      </c>
      <c r="D2576" s="31" t="s">
        <v>1263</v>
      </c>
      <c r="E2576" s="30" t="s">
        <v>389</v>
      </c>
      <c r="F2576" s="32" t="n">
        <v>3</v>
      </c>
      <c r="G2576" s="33" t="n">
        <v>45972</v>
      </c>
      <c r="H2576" s="33" t="n">
        <v>45972</v>
      </c>
      <c r="I2576" s="31" t="s">
        <v>1264</v>
      </c>
      <c r="J2576" s="30" t="s">
        <v>389</v>
      </c>
      <c r="K2576" s="31" t="s">
        <v>446</v>
      </c>
      <c r="L2576" s="32" t="n">
        <v>3</v>
      </c>
      <c r="M2576" s="35" t="s">
        <v>386</v>
      </c>
      <c r="N2576" s="31" t="s">
        <v>387</v>
      </c>
      <c r="O2576" s="32" t="n">
        <v>3</v>
      </c>
      <c r="P2576" s="15" t="n">
        <f aca="false">IF(A2576="","",IF(O2576&lt;&gt;"",O2576,IF(L2576&lt;&gt;"",L2576,F2576)))</f>
        <v>3</v>
      </c>
    </row>
    <row r="2577" customFormat="false" ht="15" hidden="false" customHeight="true" outlineLevel="0" collapsed="false">
      <c r="A2577" s="26" t="s">
        <v>304</v>
      </c>
      <c r="B2577" s="26" t="s">
        <v>305</v>
      </c>
      <c r="C2577" s="14" t="n">
        <f aca="false">IF(A2577="","",IFERROR(VLOOKUP(A2577,'Recert Status'!$A$8:$C$400,3,FALSE()),""))</f>
        <v>46752</v>
      </c>
      <c r="D2577" s="18" t="s">
        <v>682</v>
      </c>
      <c r="E2577" s="26" t="n">
        <v>29675</v>
      </c>
      <c r="F2577" s="27" t="n">
        <v>1</v>
      </c>
      <c r="G2577" s="28" t="n">
        <v>45986</v>
      </c>
      <c r="H2577" s="28" t="n">
        <v>45986</v>
      </c>
      <c r="I2577" s="18" t="s">
        <v>793</v>
      </c>
      <c r="J2577" s="26" t="s">
        <v>406</v>
      </c>
      <c r="K2577" s="18" t="s">
        <v>446</v>
      </c>
      <c r="L2577" s="27" t="n">
        <v>1</v>
      </c>
      <c r="M2577" s="35" t="s">
        <v>386</v>
      </c>
      <c r="N2577" s="18" t="s">
        <v>387</v>
      </c>
      <c r="O2577" s="27" t="n">
        <v>1</v>
      </c>
      <c r="P2577" s="15" t="n">
        <f aca="false">IF(A2577="","",IF(O2577&lt;&gt;"",O2577,IF(L2577&lt;&gt;"",L2577,F2577)))</f>
        <v>1</v>
      </c>
    </row>
    <row r="2578" customFormat="false" ht="15" hidden="false" customHeight="true" outlineLevel="0" collapsed="false">
      <c r="A2578" s="30" t="s">
        <v>304</v>
      </c>
      <c r="B2578" s="30" t="s">
        <v>305</v>
      </c>
      <c r="C2578" s="21" t="n">
        <f aca="false">IF(A2578="","",IFERROR(VLOOKUP(A2578,'Recert Status'!$A$8:$C$400,3,FALSE()),""))</f>
        <v>46752</v>
      </c>
      <c r="D2578" s="31" t="s">
        <v>1337</v>
      </c>
      <c r="E2578" s="30" t="s">
        <v>389</v>
      </c>
      <c r="F2578" s="32" t="n">
        <v>1</v>
      </c>
      <c r="G2578" s="33" t="n">
        <v>46064</v>
      </c>
      <c r="H2578" s="33" t="n">
        <v>46064</v>
      </c>
      <c r="I2578" s="31" t="s">
        <v>1338</v>
      </c>
      <c r="J2578" s="30" t="s">
        <v>389</v>
      </c>
      <c r="K2578" s="31" t="s">
        <v>791</v>
      </c>
      <c r="L2578" s="32" t="n">
        <v>1</v>
      </c>
      <c r="M2578" s="35" t="s">
        <v>386</v>
      </c>
      <c r="N2578" s="31" t="s">
        <v>387</v>
      </c>
      <c r="O2578" s="32" t="n">
        <v>1</v>
      </c>
      <c r="P2578" s="15" t="n">
        <f aca="false">IF(A2578="","",IF(O2578&lt;&gt;"",O2578,IF(L2578&lt;&gt;"",L2578,F2578)))</f>
        <v>1</v>
      </c>
    </row>
    <row r="2579" customFormat="false" ht="15" hidden="false" customHeight="true" outlineLevel="0" collapsed="false">
      <c r="A2579" s="26" t="s">
        <v>304</v>
      </c>
      <c r="B2579" s="26" t="s">
        <v>305</v>
      </c>
      <c r="C2579" s="14" t="n">
        <f aca="false">IF(A2579="","",IFERROR(VLOOKUP(A2579,'Recert Status'!$A$8:$C$400,3,FALSE()),""))</f>
        <v>46752</v>
      </c>
      <c r="D2579" s="18" t="s">
        <v>794</v>
      </c>
      <c r="E2579" s="26" t="s">
        <v>389</v>
      </c>
      <c r="F2579" s="27" t="n">
        <v>2</v>
      </c>
      <c r="G2579" s="28" t="n">
        <v>46079</v>
      </c>
      <c r="H2579" s="28" t="n">
        <v>46079</v>
      </c>
      <c r="I2579" s="18" t="s">
        <v>795</v>
      </c>
      <c r="J2579" s="26" t="s">
        <v>389</v>
      </c>
      <c r="K2579" s="18" t="s">
        <v>446</v>
      </c>
      <c r="L2579" s="27" t="n">
        <v>2</v>
      </c>
      <c r="M2579" s="35" t="s">
        <v>386</v>
      </c>
      <c r="N2579" s="18" t="s">
        <v>387</v>
      </c>
      <c r="O2579" s="27" t="n">
        <v>2</v>
      </c>
      <c r="P2579" s="15" t="n">
        <f aca="false">IF(A2579="","",IF(O2579&lt;&gt;"",O2579,IF(L2579&lt;&gt;"",L2579,F2579)))</f>
        <v>2</v>
      </c>
    </row>
    <row r="2580" customFormat="false" ht="15" hidden="false" customHeight="true" outlineLevel="0" collapsed="false">
      <c r="A2580" s="30" t="s">
        <v>304</v>
      </c>
      <c r="B2580" s="30" t="s">
        <v>305</v>
      </c>
      <c r="C2580" s="21" t="n">
        <f aca="false">IF(A2580="","",IFERROR(VLOOKUP(A2580,'Recert Status'!$A$8:$C$400,3,FALSE()),""))</f>
        <v>46752</v>
      </c>
      <c r="D2580" s="31" t="s">
        <v>1239</v>
      </c>
      <c r="E2580" s="30" t="n">
        <v>29675</v>
      </c>
      <c r="F2580" s="32" t="n">
        <v>2</v>
      </c>
      <c r="G2580" s="33" t="n">
        <v>46181</v>
      </c>
      <c r="H2580" s="33" t="n">
        <v>46181</v>
      </c>
      <c r="I2580" s="31" t="s">
        <v>1697</v>
      </c>
      <c r="J2580" s="30" t="s">
        <v>406</v>
      </c>
      <c r="K2580" s="31" t="s">
        <v>735</v>
      </c>
      <c r="L2580" s="32" t="n">
        <v>2</v>
      </c>
      <c r="M2580" s="35" t="s">
        <v>386</v>
      </c>
      <c r="N2580" s="31" t="s">
        <v>387</v>
      </c>
      <c r="O2580" s="32" t="n">
        <v>2</v>
      </c>
      <c r="P2580" s="15" t="n">
        <f aca="false">IF(A2580="","",IF(O2580&lt;&gt;"",O2580,IF(L2580&lt;&gt;"",L2580,F2580)))</f>
        <v>2</v>
      </c>
    </row>
    <row r="2581" customFormat="false" ht="15" hidden="false" customHeight="true" outlineLevel="0" collapsed="false">
      <c r="A2581" s="26" t="s">
        <v>304</v>
      </c>
      <c r="B2581" s="26" t="s">
        <v>305</v>
      </c>
      <c r="C2581" s="14" t="n">
        <f aca="false">IF(A2581="","",IFERROR(VLOOKUP(A2581,'Recert Status'!$A$8:$C$400,3,FALSE()),""))</f>
        <v>46752</v>
      </c>
      <c r="D2581" s="18" t="s">
        <v>1265</v>
      </c>
      <c r="E2581" s="26" t="n">
        <v>29769</v>
      </c>
      <c r="F2581" s="27" t="n">
        <v>4</v>
      </c>
      <c r="G2581" s="28" t="n">
        <v>45740</v>
      </c>
      <c r="H2581" s="28" t="n">
        <v>45740</v>
      </c>
      <c r="I2581" s="18" t="s">
        <v>1266</v>
      </c>
      <c r="J2581" s="26" t="s">
        <v>517</v>
      </c>
      <c r="K2581" s="18" t="s">
        <v>412</v>
      </c>
      <c r="L2581" s="27" t="n">
        <v>4</v>
      </c>
      <c r="M2581" s="36" t="s">
        <v>396</v>
      </c>
      <c r="N2581" s="18" t="s">
        <v>397</v>
      </c>
      <c r="O2581" s="27" t="n">
        <v>4</v>
      </c>
      <c r="P2581" s="15" t="n">
        <f aca="false">IF(A2581="","",IF(O2581&lt;&gt;"",O2581,IF(L2581&lt;&gt;"",L2581,F2581)))</f>
        <v>4</v>
      </c>
    </row>
    <row r="2582" customFormat="false" ht="15" hidden="false" customHeight="true" outlineLevel="0" collapsed="false">
      <c r="A2582" s="30" t="s">
        <v>304</v>
      </c>
      <c r="B2582" s="30" t="s">
        <v>305</v>
      </c>
      <c r="C2582" s="21" t="n">
        <f aca="false">IF(A2582="","",IFERROR(VLOOKUP(A2582,'Recert Status'!$A$8:$C$400,3,FALSE()),""))</f>
        <v>46752</v>
      </c>
      <c r="D2582" s="31" t="s">
        <v>1267</v>
      </c>
      <c r="E2582" s="30" t="n">
        <v>29769</v>
      </c>
      <c r="F2582" s="32" t="n">
        <v>4</v>
      </c>
      <c r="G2582" s="33" t="n">
        <v>45740</v>
      </c>
      <c r="H2582" s="33" t="n">
        <v>45740</v>
      </c>
      <c r="I2582" s="31" t="s">
        <v>1266</v>
      </c>
      <c r="J2582" s="30" t="s">
        <v>517</v>
      </c>
      <c r="K2582" s="31" t="s">
        <v>1268</v>
      </c>
      <c r="L2582" s="32" t="n">
        <v>4</v>
      </c>
      <c r="M2582" s="36" t="s">
        <v>396</v>
      </c>
      <c r="N2582" s="31" t="s">
        <v>397</v>
      </c>
      <c r="O2582" s="32" t="n">
        <v>4</v>
      </c>
      <c r="P2582" s="15" t="n">
        <f aca="false">IF(A2582="","",IF(O2582&lt;&gt;"",O2582,IF(L2582&lt;&gt;"",L2582,F2582)))</f>
        <v>4</v>
      </c>
    </row>
    <row r="2583" customFormat="false" ht="15" hidden="false" customHeight="true" outlineLevel="0" collapsed="false">
      <c r="A2583" s="26" t="s">
        <v>304</v>
      </c>
      <c r="B2583" s="26" t="s">
        <v>305</v>
      </c>
      <c r="C2583" s="14" t="n">
        <f aca="false">IF(A2583="","",IFERROR(VLOOKUP(A2583,'Recert Status'!$A$8:$C$400,3,FALSE()),""))</f>
        <v>46752</v>
      </c>
      <c r="D2583" s="18" t="s">
        <v>397</v>
      </c>
      <c r="E2583" s="26" t="s">
        <v>452</v>
      </c>
      <c r="F2583" s="27" t="n">
        <v>1</v>
      </c>
      <c r="G2583" s="28" t="n">
        <v>46244</v>
      </c>
      <c r="H2583" s="28" t="n">
        <v>46244</v>
      </c>
      <c r="I2583" s="18" t="s">
        <v>577</v>
      </c>
      <c r="J2583" s="26" t="s">
        <v>452</v>
      </c>
      <c r="K2583" s="18" t="s">
        <v>385</v>
      </c>
      <c r="L2583" s="27" t="n">
        <v>1</v>
      </c>
      <c r="M2583" s="36" t="s">
        <v>396</v>
      </c>
      <c r="N2583" s="18" t="s">
        <v>397</v>
      </c>
      <c r="O2583" s="27" t="n">
        <v>1</v>
      </c>
      <c r="P2583" s="15" t="n">
        <f aca="false">IF(A2583="","",IF(O2583&lt;&gt;"",O2583,IF(L2583&lt;&gt;"",L2583,F2583)))</f>
        <v>1</v>
      </c>
    </row>
    <row r="2584" customFormat="false" ht="15" hidden="false" customHeight="true" outlineLevel="0" collapsed="false">
      <c r="A2584" s="30" t="s">
        <v>304</v>
      </c>
      <c r="B2584" s="30" t="s">
        <v>305</v>
      </c>
      <c r="C2584" s="21" t="n">
        <f aca="false">IF(A2584="","",IFERROR(VLOOKUP(A2584,'Recert Status'!$A$8:$C$400,3,FALSE()),""))</f>
        <v>46752</v>
      </c>
      <c r="D2584" s="31" t="s">
        <v>415</v>
      </c>
      <c r="E2584" s="30" t="s">
        <v>416</v>
      </c>
      <c r="F2584" s="32" t="n">
        <v>1</v>
      </c>
      <c r="G2584" s="33" t="n">
        <v>45779</v>
      </c>
      <c r="H2584" s="33" t="n">
        <v>45779</v>
      </c>
      <c r="I2584" s="31" t="s">
        <v>1279</v>
      </c>
      <c r="J2584" s="30" t="s">
        <v>416</v>
      </c>
      <c r="K2584" s="31" t="s">
        <v>1280</v>
      </c>
      <c r="L2584" s="32" t="n">
        <v>1</v>
      </c>
      <c r="M2584" s="39" t="s">
        <v>413</v>
      </c>
      <c r="N2584" s="31" t="s">
        <v>414</v>
      </c>
      <c r="O2584" s="32" t="n">
        <v>1</v>
      </c>
      <c r="P2584" s="15" t="n">
        <f aca="false">IF(A2584="","",IF(O2584&lt;&gt;"",O2584,IF(L2584&lt;&gt;"",L2584,F2584)))</f>
        <v>1</v>
      </c>
    </row>
    <row r="2585" customFormat="false" ht="15" hidden="false" customHeight="true" outlineLevel="0" collapsed="false">
      <c r="A2585" s="26" t="s">
        <v>304</v>
      </c>
      <c r="B2585" s="26" t="s">
        <v>305</v>
      </c>
      <c r="C2585" s="14" t="n">
        <f aca="false">IF(A2585="","",IFERROR(VLOOKUP(A2585,'Recert Status'!$A$8:$C$400,3,FALSE()),""))</f>
        <v>46752</v>
      </c>
      <c r="D2585" s="18" t="s">
        <v>454</v>
      </c>
      <c r="E2585" s="26" t="s">
        <v>416</v>
      </c>
      <c r="F2585" s="27" t="n">
        <v>1</v>
      </c>
      <c r="G2585" s="28" t="n">
        <v>45824</v>
      </c>
      <c r="H2585" s="28" t="n">
        <v>45824</v>
      </c>
      <c r="I2585" s="18" t="s">
        <v>455</v>
      </c>
      <c r="J2585" s="26" t="s">
        <v>416</v>
      </c>
      <c r="K2585" s="18" t="s">
        <v>456</v>
      </c>
      <c r="L2585" s="27" t="n">
        <v>1</v>
      </c>
      <c r="M2585" s="39" t="s">
        <v>413</v>
      </c>
      <c r="N2585" s="18" t="s">
        <v>414</v>
      </c>
      <c r="O2585" s="27" t="n">
        <v>1</v>
      </c>
      <c r="P2585" s="15" t="n">
        <f aca="false">IF(A2585="","",IF(O2585&lt;&gt;"",O2585,IF(L2585&lt;&gt;"",L2585,F2585)))</f>
        <v>1</v>
      </c>
    </row>
    <row r="2586" customFormat="false" ht="15" hidden="false" customHeight="true" outlineLevel="0" collapsed="false">
      <c r="A2586" s="30" t="s">
        <v>304</v>
      </c>
      <c r="B2586" s="30" t="s">
        <v>305</v>
      </c>
      <c r="C2586" s="21" t="n">
        <f aca="false">IF(A2586="","",IFERROR(VLOOKUP(A2586,'Recert Status'!$A$8:$C$400,3,FALSE()),""))</f>
        <v>46752</v>
      </c>
      <c r="D2586" s="31" t="s">
        <v>454</v>
      </c>
      <c r="E2586" s="30" t="s">
        <v>416</v>
      </c>
      <c r="F2586" s="32" t="n">
        <v>1</v>
      </c>
      <c r="G2586" s="33" t="n">
        <v>45824</v>
      </c>
      <c r="H2586" s="33" t="n">
        <v>45824</v>
      </c>
      <c r="I2586" s="31" t="s">
        <v>455</v>
      </c>
      <c r="J2586" s="30" t="s">
        <v>416</v>
      </c>
      <c r="K2586" s="31" t="s">
        <v>456</v>
      </c>
      <c r="L2586" s="32" t="n">
        <v>1</v>
      </c>
      <c r="M2586" s="39" t="s">
        <v>413</v>
      </c>
      <c r="N2586" s="31" t="s">
        <v>414</v>
      </c>
      <c r="O2586" s="32" t="n">
        <v>1</v>
      </c>
      <c r="P2586" s="15" t="n">
        <f aca="false">IF(A2586="","",IF(O2586&lt;&gt;"",O2586,IF(L2586&lt;&gt;"",L2586,F2586)))</f>
        <v>1</v>
      </c>
    </row>
    <row r="2587" customFormat="false" ht="15" hidden="false" customHeight="true" outlineLevel="0" collapsed="false">
      <c r="A2587" s="26" t="s">
        <v>304</v>
      </c>
      <c r="B2587" s="26" t="s">
        <v>305</v>
      </c>
      <c r="C2587" s="14" t="n">
        <f aca="false">IF(A2587="","",IFERROR(VLOOKUP(A2587,'Recert Status'!$A$8:$C$400,3,FALSE()),""))</f>
        <v>46752</v>
      </c>
      <c r="D2587" s="18" t="s">
        <v>719</v>
      </c>
      <c r="E2587" s="26" t="s">
        <v>416</v>
      </c>
      <c r="F2587" s="27" t="n">
        <v>2</v>
      </c>
      <c r="G2587" s="28" t="n">
        <v>45859</v>
      </c>
      <c r="H2587" s="28" t="n">
        <v>45859</v>
      </c>
      <c r="I2587" s="18" t="s">
        <v>486</v>
      </c>
      <c r="J2587" s="26" t="s">
        <v>416</v>
      </c>
      <c r="K2587" s="18" t="s">
        <v>418</v>
      </c>
      <c r="L2587" s="27" t="n">
        <v>2</v>
      </c>
      <c r="M2587" s="39" t="s">
        <v>413</v>
      </c>
      <c r="N2587" s="18" t="s">
        <v>414</v>
      </c>
      <c r="O2587" s="27" t="n">
        <v>2</v>
      </c>
      <c r="P2587" s="15" t="n">
        <f aca="false">IF(A2587="","",IF(O2587&lt;&gt;"",O2587,IF(L2587&lt;&gt;"",L2587,F2587)))</f>
        <v>2</v>
      </c>
    </row>
    <row r="2588" customFormat="false" ht="15" hidden="false" customHeight="true" outlineLevel="0" collapsed="false">
      <c r="A2588" s="30" t="s">
        <v>304</v>
      </c>
      <c r="B2588" s="30" t="s">
        <v>305</v>
      </c>
      <c r="C2588" s="21" t="n">
        <f aca="false">IF(A2588="","",IFERROR(VLOOKUP(A2588,'Recert Status'!$A$8:$C$400,3,FALSE()),""))</f>
        <v>46752</v>
      </c>
      <c r="D2588" s="31" t="s">
        <v>457</v>
      </c>
      <c r="E2588" s="30" t="s">
        <v>416</v>
      </c>
      <c r="F2588" s="32" t="n">
        <v>2</v>
      </c>
      <c r="G2588" s="33" t="n">
        <v>45860</v>
      </c>
      <c r="H2588" s="33" t="n">
        <v>45860</v>
      </c>
      <c r="I2588" s="31" t="s">
        <v>720</v>
      </c>
      <c r="J2588" s="30" t="s">
        <v>416</v>
      </c>
      <c r="K2588" s="31" t="s">
        <v>459</v>
      </c>
      <c r="L2588" s="32" t="n">
        <v>2</v>
      </c>
      <c r="M2588" s="39" t="s">
        <v>413</v>
      </c>
      <c r="N2588" s="31" t="s">
        <v>414</v>
      </c>
      <c r="O2588" s="32" t="n">
        <v>2</v>
      </c>
      <c r="P2588" s="15" t="n">
        <f aca="false">IF(A2588="","",IF(O2588&lt;&gt;"",O2588,IF(L2588&lt;&gt;"",L2588,F2588)))</f>
        <v>2</v>
      </c>
    </row>
    <row r="2589" customFormat="false" ht="15" hidden="false" customHeight="true" outlineLevel="0" collapsed="false">
      <c r="A2589" s="26" t="s">
        <v>304</v>
      </c>
      <c r="B2589" s="26" t="s">
        <v>305</v>
      </c>
      <c r="C2589" s="14" t="n">
        <f aca="false">IF(A2589="","",IFERROR(VLOOKUP(A2589,'Recert Status'!$A$8:$C$400,3,FALSE()),""))</f>
        <v>46752</v>
      </c>
      <c r="D2589" s="18" t="s">
        <v>750</v>
      </c>
      <c r="E2589" s="26" t="s">
        <v>416</v>
      </c>
      <c r="F2589" s="27" t="n">
        <v>3</v>
      </c>
      <c r="G2589" s="28" t="n">
        <v>46001</v>
      </c>
      <c r="H2589" s="28" t="n">
        <v>46001</v>
      </c>
      <c r="I2589" s="18" t="s">
        <v>751</v>
      </c>
      <c r="J2589" s="26" t="s">
        <v>416</v>
      </c>
      <c r="K2589" s="18" t="s">
        <v>456</v>
      </c>
      <c r="L2589" s="27" t="n">
        <v>3</v>
      </c>
      <c r="M2589" s="39" t="s">
        <v>413</v>
      </c>
      <c r="N2589" s="18" t="s">
        <v>414</v>
      </c>
      <c r="O2589" s="27" t="n">
        <v>3</v>
      </c>
      <c r="P2589" s="15" t="n">
        <f aca="false">IF(A2589="","",IF(O2589&lt;&gt;"",O2589,IF(L2589&lt;&gt;"",L2589,F2589)))</f>
        <v>3</v>
      </c>
    </row>
    <row r="2590" customFormat="false" ht="15" hidden="false" customHeight="true" outlineLevel="0" collapsed="false">
      <c r="A2590" s="30" t="s">
        <v>304</v>
      </c>
      <c r="B2590" s="30" t="s">
        <v>305</v>
      </c>
      <c r="C2590" s="21" t="n">
        <f aca="false">IF(A2590="","",IFERROR(VLOOKUP(A2590,'Recert Status'!$A$8:$C$400,3,FALSE()),""))</f>
        <v>46752</v>
      </c>
      <c r="D2590" s="31" t="s">
        <v>1439</v>
      </c>
      <c r="E2590" s="30" t="s">
        <v>416</v>
      </c>
      <c r="F2590" s="32" t="n">
        <v>4</v>
      </c>
      <c r="G2590" s="33" t="n">
        <v>46085</v>
      </c>
      <c r="H2590" s="33" t="n">
        <v>46085</v>
      </c>
      <c r="I2590" s="31" t="s">
        <v>1440</v>
      </c>
      <c r="J2590" s="30" t="s">
        <v>416</v>
      </c>
      <c r="K2590" s="31" t="s">
        <v>1441</v>
      </c>
      <c r="L2590" s="32" t="n">
        <v>4</v>
      </c>
      <c r="M2590" s="39" t="s">
        <v>413</v>
      </c>
      <c r="N2590" s="31" t="s">
        <v>414</v>
      </c>
      <c r="O2590" s="32" t="n">
        <v>4</v>
      </c>
      <c r="P2590" s="15" t="n">
        <f aca="false">IF(A2590="","",IF(O2590&lt;&gt;"",O2590,IF(L2590&lt;&gt;"",L2590,F2590)))</f>
        <v>4</v>
      </c>
    </row>
    <row r="2591" customFormat="false" ht="15" hidden="false" customHeight="true" outlineLevel="0" collapsed="false">
      <c r="A2591" s="26" t="s">
        <v>304</v>
      </c>
      <c r="B2591" s="26" t="s">
        <v>305</v>
      </c>
      <c r="C2591" s="14" t="n">
        <f aca="false">IF(A2591="","",IFERROR(VLOOKUP(A2591,'Recert Status'!$A$8:$C$400,3,FALSE()),""))</f>
        <v>46752</v>
      </c>
      <c r="D2591" s="18" t="s">
        <v>488</v>
      </c>
      <c r="E2591" s="26" t="s">
        <v>416</v>
      </c>
      <c r="F2591" s="27" t="n">
        <v>1</v>
      </c>
      <c r="G2591" s="28" t="n">
        <v>46127</v>
      </c>
      <c r="H2591" s="28" t="n">
        <v>46127</v>
      </c>
      <c r="I2591" s="18" t="s">
        <v>534</v>
      </c>
      <c r="J2591" s="26" t="s">
        <v>416</v>
      </c>
      <c r="K2591" s="18" t="s">
        <v>490</v>
      </c>
      <c r="L2591" s="27" t="n">
        <v>1</v>
      </c>
      <c r="M2591" s="39" t="s">
        <v>413</v>
      </c>
      <c r="N2591" s="18" t="s">
        <v>414</v>
      </c>
      <c r="O2591" s="27" t="n">
        <v>1</v>
      </c>
      <c r="P2591" s="15" t="n">
        <f aca="false">IF(A2591="","",IF(O2591&lt;&gt;"",O2591,IF(L2591&lt;&gt;"",L2591,F2591)))</f>
        <v>1</v>
      </c>
    </row>
    <row r="2592" customFormat="false" ht="15" hidden="false" customHeight="true" outlineLevel="0" collapsed="false">
      <c r="A2592" s="30" t="s">
        <v>304</v>
      </c>
      <c r="B2592" s="30" t="s">
        <v>305</v>
      </c>
      <c r="C2592" s="21" t="n">
        <f aca="false">IF(A2592="","",IFERROR(VLOOKUP(A2592,'Recert Status'!$A$8:$C$400,3,FALSE()),""))</f>
        <v>46752</v>
      </c>
      <c r="D2592" s="31" t="s">
        <v>414</v>
      </c>
      <c r="E2592" s="30" t="s">
        <v>416</v>
      </c>
      <c r="F2592" s="32" t="n">
        <v>2</v>
      </c>
      <c r="G2592" s="33" t="n">
        <v>46217</v>
      </c>
      <c r="H2592" s="33" t="n">
        <v>46217</v>
      </c>
      <c r="I2592" s="31" t="s">
        <v>460</v>
      </c>
      <c r="J2592" s="30" t="s">
        <v>416</v>
      </c>
      <c r="K2592" s="31" t="s">
        <v>418</v>
      </c>
      <c r="L2592" s="32" t="n">
        <v>2</v>
      </c>
      <c r="M2592" s="39" t="s">
        <v>413</v>
      </c>
      <c r="N2592" s="31" t="s">
        <v>414</v>
      </c>
      <c r="O2592" s="32" t="n">
        <v>2</v>
      </c>
      <c r="P2592" s="15" t="n">
        <f aca="false">IF(A2592="","",IF(O2592&lt;&gt;"",O2592,IF(L2592&lt;&gt;"",L2592,F2592)))</f>
        <v>2</v>
      </c>
    </row>
    <row r="2593" customFormat="false" ht="15" hidden="false" customHeight="true" outlineLevel="0" collapsed="false">
      <c r="A2593" s="26" t="s">
        <v>306</v>
      </c>
      <c r="B2593" s="26" t="s">
        <v>307</v>
      </c>
      <c r="C2593" s="14" t="n">
        <f aca="false">IF(A2593="","",IFERROR(VLOOKUP(A2593,'Recert Status'!$A$8:$C$400,3,FALSE()),""))</f>
        <v>46752</v>
      </c>
      <c r="D2593" s="18" t="s">
        <v>936</v>
      </c>
      <c r="E2593" s="26" t="s">
        <v>363</v>
      </c>
      <c r="F2593" s="27" t="n">
        <v>1</v>
      </c>
      <c r="G2593" s="28" t="n">
        <v>45950</v>
      </c>
      <c r="H2593" s="28" t="n">
        <v>45950</v>
      </c>
      <c r="I2593" s="18" t="s">
        <v>937</v>
      </c>
      <c r="J2593" s="26" t="s">
        <v>363</v>
      </c>
      <c r="K2593" s="18" t="s">
        <v>365</v>
      </c>
      <c r="L2593" s="27" t="n">
        <v>0.5</v>
      </c>
      <c r="M2593" s="29" t="s">
        <v>366</v>
      </c>
      <c r="N2593" s="18" t="s">
        <v>923</v>
      </c>
      <c r="O2593" s="27" t="n">
        <v>1</v>
      </c>
      <c r="P2593" s="15" t="n">
        <f aca="false">IF(A2593="","",IF(O2593&lt;&gt;"",O2593,IF(L2593&lt;&gt;"",L2593,F2593)))</f>
        <v>1</v>
      </c>
    </row>
    <row r="2594" customFormat="false" ht="15" hidden="false" customHeight="true" outlineLevel="0" collapsed="false">
      <c r="A2594" s="30" t="s">
        <v>306</v>
      </c>
      <c r="B2594" s="30" t="s">
        <v>307</v>
      </c>
      <c r="C2594" s="21" t="n">
        <f aca="false">IF(A2594="","",IFERROR(VLOOKUP(A2594,'Recert Status'!$A$8:$C$400,3,FALSE()),""))</f>
        <v>46752</v>
      </c>
      <c r="D2594" s="31" t="s">
        <v>884</v>
      </c>
      <c r="E2594" s="30" t="s">
        <v>426</v>
      </c>
      <c r="F2594" s="32" t="n">
        <v>2</v>
      </c>
      <c r="G2594" s="33" t="n">
        <v>45929</v>
      </c>
      <c r="H2594" s="33" t="n">
        <v>45929</v>
      </c>
      <c r="I2594" s="31" t="s">
        <v>885</v>
      </c>
      <c r="J2594" s="30" t="s">
        <v>426</v>
      </c>
      <c r="K2594" s="31" t="s">
        <v>428</v>
      </c>
      <c r="L2594" s="32" t="n">
        <v>2</v>
      </c>
      <c r="M2594" s="41" t="s">
        <v>429</v>
      </c>
      <c r="N2594" s="31" t="s">
        <v>430</v>
      </c>
      <c r="O2594" s="32" t="n">
        <v>2</v>
      </c>
      <c r="P2594" s="15" t="n">
        <f aca="false">IF(A2594="","",IF(O2594&lt;&gt;"",O2594,IF(L2594&lt;&gt;"",L2594,F2594)))</f>
        <v>2</v>
      </c>
    </row>
    <row r="2595" customFormat="false" ht="15" hidden="false" customHeight="true" outlineLevel="0" collapsed="false">
      <c r="A2595" s="26" t="s">
        <v>306</v>
      </c>
      <c r="B2595" s="26" t="s">
        <v>307</v>
      </c>
      <c r="C2595" s="14" t="n">
        <f aca="false">IF(A2595="","",IFERROR(VLOOKUP(A2595,'Recert Status'!$A$8:$C$400,3,FALSE()),""))</f>
        <v>46752</v>
      </c>
      <c r="D2595" s="18" t="s">
        <v>1231</v>
      </c>
      <c r="E2595" s="26" t="n">
        <v>29740</v>
      </c>
      <c r="F2595" s="27" t="n">
        <v>0.75</v>
      </c>
      <c r="G2595" s="28" t="n">
        <v>45698</v>
      </c>
      <c r="H2595" s="28" t="n">
        <v>45698</v>
      </c>
      <c r="I2595" s="18" t="s">
        <v>1232</v>
      </c>
      <c r="J2595" s="26" t="s">
        <v>394</v>
      </c>
      <c r="K2595" s="18" t="s">
        <v>509</v>
      </c>
      <c r="L2595" s="27" t="n">
        <v>0.75</v>
      </c>
      <c r="M2595" s="35" t="s">
        <v>386</v>
      </c>
      <c r="N2595" s="18" t="s">
        <v>387</v>
      </c>
      <c r="O2595" s="27" t="n">
        <v>0.75</v>
      </c>
      <c r="P2595" s="15" t="n">
        <f aca="false">IF(A2595="","",IF(O2595&lt;&gt;"",O2595,IF(L2595&lt;&gt;"",L2595,F2595)))</f>
        <v>0.75</v>
      </c>
    </row>
    <row r="2596" customFormat="false" ht="15" hidden="false" customHeight="true" outlineLevel="0" collapsed="false">
      <c r="A2596" s="30" t="s">
        <v>306</v>
      </c>
      <c r="B2596" s="30" t="s">
        <v>307</v>
      </c>
      <c r="C2596" s="21" t="n">
        <f aca="false">IF(A2596="","",IFERROR(VLOOKUP(A2596,'Recert Status'!$A$8:$C$400,3,FALSE()),""))</f>
        <v>46752</v>
      </c>
      <c r="D2596" s="31" t="s">
        <v>942</v>
      </c>
      <c r="E2596" s="30" t="s">
        <v>389</v>
      </c>
      <c r="F2596" s="32" t="n">
        <v>1</v>
      </c>
      <c r="G2596" s="33" t="n">
        <v>45731</v>
      </c>
      <c r="H2596" s="33" t="n">
        <v>45731</v>
      </c>
      <c r="I2596" s="31" t="s">
        <v>943</v>
      </c>
      <c r="J2596" s="30" t="s">
        <v>389</v>
      </c>
      <c r="K2596" s="31" t="s">
        <v>365</v>
      </c>
      <c r="L2596" s="32" t="n">
        <v>1</v>
      </c>
      <c r="M2596" s="35" t="s">
        <v>386</v>
      </c>
      <c r="N2596" s="31" t="s">
        <v>387</v>
      </c>
      <c r="O2596" s="32" t="n">
        <v>1</v>
      </c>
      <c r="P2596" s="15" t="n">
        <f aca="false">IF(A2596="","",IF(O2596&lt;&gt;"",O2596,IF(L2596&lt;&gt;"",L2596,F2596)))</f>
        <v>1</v>
      </c>
    </row>
    <row r="2597" customFormat="false" ht="15" hidden="false" customHeight="true" outlineLevel="0" collapsed="false">
      <c r="A2597" s="26" t="s">
        <v>306</v>
      </c>
      <c r="B2597" s="26" t="s">
        <v>307</v>
      </c>
      <c r="C2597" s="14" t="n">
        <f aca="false">IF(A2597="","",IFERROR(VLOOKUP(A2597,'Recert Status'!$A$8:$C$400,3,FALSE()),""))</f>
        <v>46752</v>
      </c>
      <c r="D2597" s="18" t="s">
        <v>437</v>
      </c>
      <c r="E2597" s="26" t="n">
        <v>29743</v>
      </c>
      <c r="F2597" s="27" t="n">
        <v>1</v>
      </c>
      <c r="G2597" s="28" t="n">
        <v>45833</v>
      </c>
      <c r="H2597" s="28" t="n">
        <v>45833</v>
      </c>
      <c r="I2597" s="18" t="s">
        <v>438</v>
      </c>
      <c r="J2597" s="26" t="s">
        <v>439</v>
      </c>
      <c r="K2597" s="18" t="s">
        <v>440</v>
      </c>
      <c r="L2597" s="27" t="n">
        <v>1</v>
      </c>
      <c r="M2597" s="35" t="s">
        <v>386</v>
      </c>
      <c r="N2597" s="18" t="s">
        <v>387</v>
      </c>
      <c r="O2597" s="27" t="n">
        <v>1</v>
      </c>
      <c r="P2597" s="15" t="n">
        <f aca="false">IF(A2597="","",IF(O2597&lt;&gt;"",O2597,IF(L2597&lt;&gt;"",L2597,F2597)))</f>
        <v>1</v>
      </c>
    </row>
    <row r="2598" customFormat="false" ht="15" hidden="false" customHeight="true" outlineLevel="0" collapsed="false">
      <c r="A2598" s="30" t="s">
        <v>306</v>
      </c>
      <c r="B2598" s="30" t="s">
        <v>307</v>
      </c>
      <c r="C2598" s="21" t="n">
        <f aca="false">IF(A2598="","",IFERROR(VLOOKUP(A2598,'Recert Status'!$A$8:$C$400,3,FALSE()),""))</f>
        <v>46752</v>
      </c>
      <c r="D2598" s="31" t="s">
        <v>441</v>
      </c>
      <c r="E2598" s="30" t="n">
        <v>29743</v>
      </c>
      <c r="F2598" s="32" t="n">
        <v>1</v>
      </c>
      <c r="G2598" s="33" t="n">
        <v>45833</v>
      </c>
      <c r="H2598" s="33" t="n">
        <v>45833</v>
      </c>
      <c r="I2598" s="31" t="s">
        <v>442</v>
      </c>
      <c r="J2598" s="30" t="s">
        <v>439</v>
      </c>
      <c r="K2598" s="31" t="s">
        <v>443</v>
      </c>
      <c r="L2598" s="32" t="n">
        <v>1</v>
      </c>
      <c r="M2598" s="35" t="s">
        <v>386</v>
      </c>
      <c r="N2598" s="31" t="s">
        <v>387</v>
      </c>
      <c r="O2598" s="32" t="n">
        <v>1</v>
      </c>
      <c r="P2598" s="15" t="n">
        <f aca="false">IF(A2598="","",IF(O2598&lt;&gt;"",O2598,IF(L2598&lt;&gt;"",L2598,F2598)))</f>
        <v>1</v>
      </c>
    </row>
    <row r="2599" customFormat="false" ht="15" hidden="false" customHeight="true" outlineLevel="0" collapsed="false">
      <c r="A2599" s="26" t="s">
        <v>306</v>
      </c>
      <c r="B2599" s="26" t="s">
        <v>307</v>
      </c>
      <c r="C2599" s="14" t="n">
        <f aca="false">IF(A2599="","",IFERROR(VLOOKUP(A2599,'Recert Status'!$A$8:$C$400,3,FALSE()),""))</f>
        <v>46752</v>
      </c>
      <c r="D2599" s="18" t="s">
        <v>615</v>
      </c>
      <c r="E2599" s="26" t="n">
        <v>29740</v>
      </c>
      <c r="F2599" s="27" t="n">
        <v>2</v>
      </c>
      <c r="G2599" s="28" t="n">
        <v>45884</v>
      </c>
      <c r="H2599" s="28" t="n">
        <v>45884</v>
      </c>
      <c r="I2599" s="18" t="s">
        <v>616</v>
      </c>
      <c r="J2599" s="26" t="s">
        <v>394</v>
      </c>
      <c r="K2599" s="18" t="s">
        <v>385</v>
      </c>
      <c r="L2599" s="27" t="n">
        <v>2</v>
      </c>
      <c r="M2599" s="35" t="s">
        <v>386</v>
      </c>
      <c r="N2599" s="18" t="s">
        <v>397</v>
      </c>
      <c r="O2599" s="27" t="n">
        <v>2</v>
      </c>
      <c r="P2599" s="15" t="n">
        <f aca="false">IF(A2599="","",IF(O2599&lt;&gt;"",O2599,IF(L2599&lt;&gt;"",L2599,F2599)))</f>
        <v>2</v>
      </c>
    </row>
    <row r="2600" customFormat="false" ht="15" hidden="false" customHeight="true" outlineLevel="0" collapsed="false">
      <c r="A2600" s="30" t="s">
        <v>306</v>
      </c>
      <c r="B2600" s="30" t="s">
        <v>307</v>
      </c>
      <c r="C2600" s="21" t="n">
        <f aca="false">IF(A2600="","",IFERROR(VLOOKUP(A2600,'Recert Status'!$A$8:$C$400,3,FALSE()),""))</f>
        <v>46752</v>
      </c>
      <c r="D2600" s="31" t="s">
        <v>789</v>
      </c>
      <c r="E2600" s="30" t="n">
        <v>29743</v>
      </c>
      <c r="F2600" s="32" t="n">
        <v>1</v>
      </c>
      <c r="G2600" s="33" t="n">
        <v>45911</v>
      </c>
      <c r="H2600" s="33" t="n">
        <v>45911</v>
      </c>
      <c r="I2600" s="31" t="s">
        <v>790</v>
      </c>
      <c r="J2600" s="30" t="s">
        <v>439</v>
      </c>
      <c r="K2600" s="31" t="s">
        <v>791</v>
      </c>
      <c r="L2600" s="32" t="n">
        <v>1</v>
      </c>
      <c r="M2600" s="35" t="s">
        <v>386</v>
      </c>
      <c r="N2600" s="31" t="s">
        <v>387</v>
      </c>
      <c r="O2600" s="32" t="n">
        <v>1</v>
      </c>
      <c r="P2600" s="15" t="n">
        <f aca="false">IF(A2600="","",IF(O2600&lt;&gt;"",O2600,IF(L2600&lt;&gt;"",L2600,F2600)))</f>
        <v>1</v>
      </c>
    </row>
    <row r="2601" customFormat="false" ht="15" hidden="false" customHeight="true" outlineLevel="0" collapsed="false">
      <c r="A2601" s="26" t="s">
        <v>306</v>
      </c>
      <c r="B2601" s="26" t="s">
        <v>307</v>
      </c>
      <c r="C2601" s="14" t="n">
        <f aca="false">IF(A2601="","",IFERROR(VLOOKUP(A2601,'Recert Status'!$A$8:$C$400,3,FALSE()),""))</f>
        <v>46752</v>
      </c>
      <c r="D2601" s="18" t="s">
        <v>792</v>
      </c>
      <c r="E2601" s="26" t="n">
        <v>29743</v>
      </c>
      <c r="F2601" s="27" t="n">
        <v>1</v>
      </c>
      <c r="G2601" s="28" t="n">
        <v>45911</v>
      </c>
      <c r="H2601" s="28" t="n">
        <v>45911</v>
      </c>
      <c r="I2601" s="18" t="s">
        <v>790</v>
      </c>
      <c r="J2601" s="26" t="s">
        <v>439</v>
      </c>
      <c r="K2601" s="18" t="s">
        <v>791</v>
      </c>
      <c r="L2601" s="27" t="n">
        <v>1</v>
      </c>
      <c r="M2601" s="35" t="s">
        <v>386</v>
      </c>
      <c r="N2601" s="18" t="s">
        <v>387</v>
      </c>
      <c r="O2601" s="27" t="n">
        <v>1</v>
      </c>
      <c r="P2601" s="15" t="n">
        <f aca="false">IF(A2601="","",IF(O2601&lt;&gt;"",O2601,IF(L2601&lt;&gt;"",L2601,F2601)))</f>
        <v>1</v>
      </c>
    </row>
    <row r="2602" customFormat="false" ht="15" hidden="false" customHeight="true" outlineLevel="0" collapsed="false">
      <c r="A2602" s="30" t="s">
        <v>306</v>
      </c>
      <c r="B2602" s="30" t="s">
        <v>307</v>
      </c>
      <c r="C2602" s="21" t="n">
        <f aca="false">IF(A2602="","",IFERROR(VLOOKUP(A2602,'Recert Status'!$A$8:$C$400,3,FALSE()),""))</f>
        <v>46752</v>
      </c>
      <c r="D2602" s="31" t="s">
        <v>1698</v>
      </c>
      <c r="E2602" s="30" t="s">
        <v>452</v>
      </c>
      <c r="F2602" s="32" t="n">
        <v>1</v>
      </c>
      <c r="G2602" s="33" t="n">
        <v>46112</v>
      </c>
      <c r="H2602" s="33" t="n">
        <v>46112</v>
      </c>
      <c r="I2602" s="31" t="s">
        <v>1698</v>
      </c>
      <c r="J2602" s="30" t="s">
        <v>452</v>
      </c>
      <c r="K2602" s="31" t="s">
        <v>385</v>
      </c>
      <c r="L2602" s="32" t="n">
        <v>1</v>
      </c>
      <c r="M2602" s="36" t="s">
        <v>396</v>
      </c>
      <c r="N2602" s="31" t="s">
        <v>397</v>
      </c>
      <c r="O2602" s="32" t="n">
        <v>1</v>
      </c>
      <c r="P2602" s="15" t="n">
        <f aca="false">IF(A2602="","",IF(O2602&lt;&gt;"",O2602,IF(L2602&lt;&gt;"",L2602,F2602)))</f>
        <v>1</v>
      </c>
    </row>
    <row r="2603" customFormat="false" ht="15" hidden="false" customHeight="true" outlineLevel="0" collapsed="false">
      <c r="A2603" s="26" t="s">
        <v>306</v>
      </c>
      <c r="B2603" s="26" t="s">
        <v>307</v>
      </c>
      <c r="C2603" s="14" t="n">
        <f aca="false">IF(A2603="","",IFERROR(VLOOKUP(A2603,'Recert Status'!$A$8:$C$400,3,FALSE()),""))</f>
        <v>46752</v>
      </c>
      <c r="D2603" s="18" t="s">
        <v>457</v>
      </c>
      <c r="E2603" s="26" t="s">
        <v>416</v>
      </c>
      <c r="F2603" s="27" t="n">
        <v>2</v>
      </c>
      <c r="G2603" s="28" t="n">
        <v>45860</v>
      </c>
      <c r="H2603" s="28" t="n">
        <v>45860</v>
      </c>
      <c r="I2603" s="18" t="s">
        <v>458</v>
      </c>
      <c r="J2603" s="26" t="s">
        <v>416</v>
      </c>
      <c r="K2603" s="18" t="s">
        <v>459</v>
      </c>
      <c r="L2603" s="27" t="n">
        <v>2</v>
      </c>
      <c r="M2603" s="39" t="s">
        <v>413</v>
      </c>
      <c r="N2603" s="18" t="s">
        <v>414</v>
      </c>
      <c r="O2603" s="27" t="n">
        <v>2</v>
      </c>
      <c r="P2603" s="15" t="n">
        <f aca="false">IF(A2603="","",IF(O2603&lt;&gt;"",O2603,IF(L2603&lt;&gt;"",L2603,F2603)))</f>
        <v>2</v>
      </c>
    </row>
    <row r="2604" customFormat="false" ht="15" hidden="false" customHeight="true" outlineLevel="0" collapsed="false">
      <c r="A2604" s="30" t="s">
        <v>306</v>
      </c>
      <c r="B2604" s="30" t="s">
        <v>307</v>
      </c>
      <c r="C2604" s="21" t="n">
        <f aca="false">IF(A2604="","",IFERROR(VLOOKUP(A2604,'Recert Status'!$A$8:$C$400,3,FALSE()),""))</f>
        <v>46752</v>
      </c>
      <c r="D2604" s="31" t="s">
        <v>414</v>
      </c>
      <c r="E2604" s="30" t="s">
        <v>416</v>
      </c>
      <c r="F2604" s="32" t="n">
        <v>2</v>
      </c>
      <c r="G2604" s="33" t="n">
        <v>46217</v>
      </c>
      <c r="H2604" s="33" t="n">
        <v>46217</v>
      </c>
      <c r="I2604" s="31" t="s">
        <v>460</v>
      </c>
      <c r="J2604" s="30" t="s">
        <v>416</v>
      </c>
      <c r="K2604" s="31" t="s">
        <v>418</v>
      </c>
      <c r="L2604" s="32" t="n">
        <v>2</v>
      </c>
      <c r="M2604" s="39" t="s">
        <v>413</v>
      </c>
      <c r="N2604" s="31" t="s">
        <v>414</v>
      </c>
      <c r="O2604" s="32" t="n">
        <v>2</v>
      </c>
      <c r="P2604" s="15" t="n">
        <f aca="false">IF(A2604="","",IF(O2604&lt;&gt;"",O2604,IF(L2604&lt;&gt;"",L2604,F2604)))</f>
        <v>2</v>
      </c>
    </row>
    <row r="2605" customFormat="false" ht="15" hidden="false" customHeight="true" outlineLevel="0" collapsed="false">
      <c r="A2605" s="26" t="s">
        <v>308</v>
      </c>
      <c r="B2605" s="26" t="s">
        <v>309</v>
      </c>
      <c r="C2605" s="14" t="n">
        <f aca="false">IF(A2605="","",IFERROR(VLOOKUP(A2605,'Recert Status'!$A$8:$C$400,3,FALSE()),""))</f>
        <v>46752</v>
      </c>
      <c r="D2605" s="18" t="s">
        <v>1357</v>
      </c>
      <c r="E2605" s="26" t="s">
        <v>363</v>
      </c>
      <c r="F2605" s="27" t="n">
        <v>1</v>
      </c>
      <c r="G2605" s="28" t="n">
        <v>45869</v>
      </c>
      <c r="H2605" s="28" t="n">
        <v>45869</v>
      </c>
      <c r="I2605" s="18" t="s">
        <v>1358</v>
      </c>
      <c r="J2605" s="26" t="s">
        <v>363</v>
      </c>
      <c r="K2605" s="18" t="s">
        <v>365</v>
      </c>
      <c r="L2605" s="27" t="n">
        <v>1</v>
      </c>
      <c r="M2605" s="29" t="s">
        <v>366</v>
      </c>
      <c r="N2605" s="18" t="s">
        <v>367</v>
      </c>
      <c r="O2605" s="27" t="n">
        <v>1</v>
      </c>
      <c r="P2605" s="15" t="n">
        <f aca="false">IF(A2605="","",IF(O2605&lt;&gt;"",O2605,IF(L2605&lt;&gt;"",L2605,F2605)))</f>
        <v>1</v>
      </c>
    </row>
    <row r="2606" customFormat="false" ht="15" hidden="false" customHeight="true" outlineLevel="0" collapsed="false">
      <c r="A2606" s="30" t="s">
        <v>308</v>
      </c>
      <c r="B2606" s="30" t="s">
        <v>309</v>
      </c>
      <c r="C2606" s="21" t="n">
        <f aca="false">IF(A2606="","",IFERROR(VLOOKUP(A2606,'Recert Status'!$A$8:$C$400,3,FALSE()),""))</f>
        <v>46752</v>
      </c>
      <c r="D2606" s="31" t="s">
        <v>880</v>
      </c>
      <c r="E2606" s="30" t="s">
        <v>363</v>
      </c>
      <c r="F2606" s="32" t="n">
        <v>0.5</v>
      </c>
      <c r="G2606" s="33" t="n">
        <v>45971</v>
      </c>
      <c r="H2606" s="33" t="n">
        <v>45971</v>
      </c>
      <c r="I2606" s="31" t="s">
        <v>1582</v>
      </c>
      <c r="J2606" s="30" t="s">
        <v>363</v>
      </c>
      <c r="K2606" s="31" t="s">
        <v>370</v>
      </c>
      <c r="L2606" s="32" t="n">
        <v>0.5</v>
      </c>
      <c r="M2606" s="29" t="s">
        <v>366</v>
      </c>
      <c r="N2606" s="31" t="s">
        <v>367</v>
      </c>
      <c r="O2606" s="32" t="n">
        <v>0.5</v>
      </c>
      <c r="P2606" s="15" t="n">
        <f aca="false">IF(A2606="","",IF(O2606&lt;&gt;"",O2606,IF(L2606&lt;&gt;"",L2606,F2606)))</f>
        <v>0.5</v>
      </c>
    </row>
    <row r="2607" customFormat="false" ht="15" hidden="false" customHeight="true" outlineLevel="0" collapsed="false">
      <c r="A2607" s="26" t="s">
        <v>308</v>
      </c>
      <c r="B2607" s="26" t="s">
        <v>309</v>
      </c>
      <c r="C2607" s="14" t="n">
        <f aca="false">IF(A2607="","",IFERROR(VLOOKUP(A2607,'Recert Status'!$A$8:$C$400,3,FALSE()),""))</f>
        <v>46752</v>
      </c>
      <c r="D2607" s="18" t="s">
        <v>425</v>
      </c>
      <c r="E2607" s="26" t="s">
        <v>426</v>
      </c>
      <c r="F2607" s="27" t="n">
        <v>2</v>
      </c>
      <c r="G2607" s="28" t="n">
        <v>45929</v>
      </c>
      <c r="H2607" s="28" t="n">
        <v>45929</v>
      </c>
      <c r="I2607" s="18" t="s">
        <v>427</v>
      </c>
      <c r="J2607" s="26" t="s">
        <v>426</v>
      </c>
      <c r="K2607" s="18" t="s">
        <v>428</v>
      </c>
      <c r="L2607" s="27" t="n">
        <v>2</v>
      </c>
      <c r="M2607" s="41" t="s">
        <v>429</v>
      </c>
      <c r="N2607" s="18" t="s">
        <v>430</v>
      </c>
      <c r="O2607" s="27" t="n">
        <v>2</v>
      </c>
      <c r="P2607" s="15" t="n">
        <f aca="false">IF(A2607="","",IF(O2607&lt;&gt;"",O2607,IF(L2607&lt;&gt;"",L2607,F2607)))</f>
        <v>2</v>
      </c>
    </row>
    <row r="2608" customFormat="false" ht="15" hidden="false" customHeight="true" outlineLevel="0" collapsed="false">
      <c r="A2608" s="30" t="s">
        <v>308</v>
      </c>
      <c r="B2608" s="30" t="s">
        <v>309</v>
      </c>
      <c r="C2608" s="21" t="n">
        <f aca="false">IF(A2608="","",IFERROR(VLOOKUP(A2608,'Recert Status'!$A$8:$C$400,3,FALSE()),""))</f>
        <v>46752</v>
      </c>
      <c r="D2608" s="31" t="s">
        <v>371</v>
      </c>
      <c r="E2608" s="30" t="s">
        <v>372</v>
      </c>
      <c r="F2608" s="32" t="n">
        <v>1</v>
      </c>
      <c r="G2608" s="33" t="n">
        <v>45782</v>
      </c>
      <c r="H2608" s="33" t="n">
        <v>45782</v>
      </c>
      <c r="I2608" s="31" t="s">
        <v>1699</v>
      </c>
      <c r="J2608" s="30" t="s">
        <v>372</v>
      </c>
      <c r="K2608" s="31" t="s">
        <v>374</v>
      </c>
      <c r="L2608" s="32" t="n">
        <v>1</v>
      </c>
      <c r="M2608" s="34" t="s">
        <v>375</v>
      </c>
      <c r="N2608" s="31" t="s">
        <v>376</v>
      </c>
      <c r="O2608" s="32" t="n">
        <v>1</v>
      </c>
      <c r="P2608" s="15" t="n">
        <f aca="false">IF(A2608="","",IF(O2608&lt;&gt;"",O2608,IF(L2608&lt;&gt;"",L2608,F2608)))</f>
        <v>1</v>
      </c>
    </row>
    <row r="2609" customFormat="false" ht="15" hidden="false" customHeight="true" outlineLevel="0" collapsed="false">
      <c r="A2609" s="26" t="s">
        <v>308</v>
      </c>
      <c r="B2609" s="26" t="s">
        <v>309</v>
      </c>
      <c r="C2609" s="14" t="n">
        <f aca="false">IF(A2609="","",IFERROR(VLOOKUP(A2609,'Recert Status'!$A$8:$C$400,3,FALSE()),""))</f>
        <v>46752</v>
      </c>
      <c r="D2609" s="18" t="s">
        <v>449</v>
      </c>
      <c r="E2609" s="26" t="n">
        <v>29784</v>
      </c>
      <c r="F2609" s="27" t="n">
        <v>1</v>
      </c>
      <c r="G2609" s="28" t="n">
        <v>45722</v>
      </c>
      <c r="H2609" s="28" t="n">
        <v>45722</v>
      </c>
      <c r="I2609" s="18" t="s">
        <v>1436</v>
      </c>
      <c r="J2609" s="26" t="s">
        <v>435</v>
      </c>
      <c r="K2609" s="18" t="s">
        <v>468</v>
      </c>
      <c r="L2609" s="27" t="n">
        <v>1</v>
      </c>
      <c r="M2609" s="35" t="s">
        <v>386</v>
      </c>
      <c r="N2609" s="18" t="s">
        <v>387</v>
      </c>
      <c r="O2609" s="27" t="n">
        <v>1</v>
      </c>
      <c r="P2609" s="15" t="n">
        <f aca="false">IF(A2609="","",IF(O2609&lt;&gt;"",O2609,IF(L2609&lt;&gt;"",L2609,F2609)))</f>
        <v>1</v>
      </c>
    </row>
    <row r="2610" customFormat="false" ht="15" hidden="false" customHeight="true" outlineLevel="0" collapsed="false">
      <c r="A2610" s="30" t="s">
        <v>308</v>
      </c>
      <c r="B2610" s="30" t="s">
        <v>309</v>
      </c>
      <c r="C2610" s="21" t="n">
        <f aca="false">IF(A2610="","",IFERROR(VLOOKUP(A2610,'Recert Status'!$A$8:$C$400,3,FALSE()),""))</f>
        <v>46752</v>
      </c>
      <c r="D2610" s="31" t="s">
        <v>437</v>
      </c>
      <c r="E2610" s="30" t="n">
        <v>29743</v>
      </c>
      <c r="F2610" s="32" t="n">
        <v>1</v>
      </c>
      <c r="G2610" s="33" t="n">
        <v>45833</v>
      </c>
      <c r="H2610" s="33" t="n">
        <v>45833</v>
      </c>
      <c r="I2610" s="31" t="s">
        <v>438</v>
      </c>
      <c r="J2610" s="30" t="s">
        <v>439</v>
      </c>
      <c r="K2610" s="31" t="s">
        <v>440</v>
      </c>
      <c r="L2610" s="32" t="n">
        <v>1</v>
      </c>
      <c r="M2610" s="35" t="s">
        <v>386</v>
      </c>
      <c r="N2610" s="31" t="s">
        <v>387</v>
      </c>
      <c r="O2610" s="32" t="n">
        <v>1</v>
      </c>
      <c r="P2610" s="15" t="n">
        <f aca="false">IF(A2610="","",IF(O2610&lt;&gt;"",O2610,IF(L2610&lt;&gt;"",L2610,F2610)))</f>
        <v>1</v>
      </c>
    </row>
    <row r="2611" customFormat="false" ht="15" hidden="false" customHeight="true" outlineLevel="0" collapsed="false">
      <c r="A2611" s="26" t="s">
        <v>308</v>
      </c>
      <c r="B2611" s="26" t="s">
        <v>309</v>
      </c>
      <c r="C2611" s="14" t="n">
        <f aca="false">IF(A2611="","",IFERROR(VLOOKUP(A2611,'Recert Status'!$A$8:$C$400,3,FALSE()),""))</f>
        <v>46752</v>
      </c>
      <c r="D2611" s="18" t="s">
        <v>441</v>
      </c>
      <c r="E2611" s="26" t="n">
        <v>29743</v>
      </c>
      <c r="F2611" s="27" t="n">
        <v>1</v>
      </c>
      <c r="G2611" s="28" t="n">
        <v>45833</v>
      </c>
      <c r="H2611" s="28" t="n">
        <v>45833</v>
      </c>
      <c r="I2611" s="18" t="s">
        <v>442</v>
      </c>
      <c r="J2611" s="26" t="s">
        <v>439</v>
      </c>
      <c r="K2611" s="18" t="s">
        <v>443</v>
      </c>
      <c r="L2611" s="27" t="n">
        <v>1</v>
      </c>
      <c r="M2611" s="35" t="s">
        <v>386</v>
      </c>
      <c r="N2611" s="18" t="s">
        <v>387</v>
      </c>
      <c r="O2611" s="27" t="n">
        <v>1</v>
      </c>
      <c r="P2611" s="15" t="n">
        <f aca="false">IF(A2611="","",IF(O2611&lt;&gt;"",O2611,IF(L2611&lt;&gt;"",L2611,F2611)))</f>
        <v>1</v>
      </c>
    </row>
    <row r="2612" customFormat="false" ht="15" hidden="false" customHeight="true" outlineLevel="0" collapsed="false">
      <c r="A2612" s="30" t="s">
        <v>308</v>
      </c>
      <c r="B2612" s="30" t="s">
        <v>309</v>
      </c>
      <c r="C2612" s="21" t="n">
        <f aca="false">IF(A2612="","",IFERROR(VLOOKUP(A2612,'Recert Status'!$A$8:$C$400,3,FALSE()),""))</f>
        <v>46752</v>
      </c>
      <c r="D2612" s="31" t="s">
        <v>1114</v>
      </c>
      <c r="E2612" s="30" t="n">
        <v>29743</v>
      </c>
      <c r="F2612" s="32" t="n">
        <v>2</v>
      </c>
      <c r="G2612" s="33" t="n">
        <v>45911</v>
      </c>
      <c r="H2612" s="33" t="n">
        <v>45911</v>
      </c>
      <c r="I2612" s="31" t="s">
        <v>1115</v>
      </c>
      <c r="J2612" s="30" t="s">
        <v>439</v>
      </c>
      <c r="K2612" s="31" t="s">
        <v>1116</v>
      </c>
      <c r="L2612" s="32" t="n">
        <v>2</v>
      </c>
      <c r="M2612" s="35" t="s">
        <v>386</v>
      </c>
      <c r="N2612" s="31" t="s">
        <v>514</v>
      </c>
      <c r="O2612" s="32" t="n">
        <v>2</v>
      </c>
      <c r="P2612" s="15" t="n">
        <f aca="false">IF(A2612="","",IF(O2612&lt;&gt;"",O2612,IF(L2612&lt;&gt;"",L2612,F2612)))</f>
        <v>2</v>
      </c>
    </row>
    <row r="2613" customFormat="false" ht="15" hidden="false" customHeight="true" outlineLevel="0" collapsed="false">
      <c r="A2613" s="26" t="s">
        <v>308</v>
      </c>
      <c r="B2613" s="26" t="s">
        <v>309</v>
      </c>
      <c r="C2613" s="14" t="n">
        <f aca="false">IF(A2613="","",IFERROR(VLOOKUP(A2613,'Recert Status'!$A$8:$C$400,3,FALSE()),""))</f>
        <v>46752</v>
      </c>
      <c r="D2613" s="18" t="s">
        <v>1289</v>
      </c>
      <c r="E2613" s="26" t="n">
        <v>29675</v>
      </c>
      <c r="F2613" s="27" t="n">
        <v>4</v>
      </c>
      <c r="G2613" s="28" t="n">
        <v>45986</v>
      </c>
      <c r="H2613" s="28" t="n">
        <v>45986</v>
      </c>
      <c r="I2613" s="18" t="s">
        <v>1074</v>
      </c>
      <c r="J2613" s="26" t="s">
        <v>406</v>
      </c>
      <c r="K2613" s="18" t="s">
        <v>446</v>
      </c>
      <c r="L2613" s="27" t="n">
        <v>1</v>
      </c>
      <c r="M2613" s="35" t="s">
        <v>386</v>
      </c>
      <c r="N2613" s="18" t="s">
        <v>387</v>
      </c>
      <c r="O2613" s="27" t="n">
        <v>1</v>
      </c>
      <c r="P2613" s="15" t="n">
        <f aca="false">IF(A2613="","",IF(O2613&lt;&gt;"",O2613,IF(L2613&lt;&gt;"",L2613,F2613)))</f>
        <v>1</v>
      </c>
    </row>
    <row r="2614" customFormat="false" ht="15" hidden="false" customHeight="true" outlineLevel="0" collapsed="false">
      <c r="A2614" s="30" t="s">
        <v>308</v>
      </c>
      <c r="B2614" s="30" t="s">
        <v>309</v>
      </c>
      <c r="C2614" s="21" t="n">
        <f aca="false">IF(A2614="","",IFERROR(VLOOKUP(A2614,'Recert Status'!$A$8:$C$400,3,FALSE()),""))</f>
        <v>46752</v>
      </c>
      <c r="D2614" s="31" t="s">
        <v>1088</v>
      </c>
      <c r="E2614" s="30" t="n">
        <v>29740</v>
      </c>
      <c r="F2614" s="32" t="n">
        <v>1</v>
      </c>
      <c r="G2614" s="33" t="n">
        <v>45987</v>
      </c>
      <c r="H2614" s="33" t="n">
        <v>45987</v>
      </c>
      <c r="I2614" s="31" t="s">
        <v>1089</v>
      </c>
      <c r="J2614" s="30" t="s">
        <v>394</v>
      </c>
      <c r="K2614" s="31" t="s">
        <v>468</v>
      </c>
      <c r="L2614" s="32" t="n">
        <v>1</v>
      </c>
      <c r="M2614" s="35" t="s">
        <v>386</v>
      </c>
      <c r="N2614" s="31" t="s">
        <v>387</v>
      </c>
      <c r="O2614" s="32" t="n">
        <v>1</v>
      </c>
      <c r="P2614" s="15" t="n">
        <f aca="false">IF(A2614="","",IF(O2614&lt;&gt;"",O2614,IF(L2614&lt;&gt;"",L2614,F2614)))</f>
        <v>1</v>
      </c>
    </row>
    <row r="2615" customFormat="false" ht="15" hidden="false" customHeight="true" outlineLevel="0" collapsed="false">
      <c r="A2615" s="26" t="s">
        <v>308</v>
      </c>
      <c r="B2615" s="26" t="s">
        <v>309</v>
      </c>
      <c r="C2615" s="14" t="n">
        <f aca="false">IF(A2615="","",IFERROR(VLOOKUP(A2615,'Recert Status'!$A$8:$C$400,3,FALSE()),""))</f>
        <v>46752</v>
      </c>
      <c r="D2615" s="18" t="s">
        <v>682</v>
      </c>
      <c r="E2615" s="26" t="n">
        <v>57435</v>
      </c>
      <c r="F2615" s="27" t="n">
        <v>0.5</v>
      </c>
      <c r="G2615" s="28" t="n">
        <v>45996</v>
      </c>
      <c r="H2615" s="28" t="n">
        <v>45996</v>
      </c>
      <c r="I2615" s="18" t="s">
        <v>684</v>
      </c>
      <c r="J2615" s="26" t="s">
        <v>593</v>
      </c>
      <c r="K2615" s="18" t="s">
        <v>446</v>
      </c>
      <c r="L2615" s="27" t="n">
        <v>0.5</v>
      </c>
      <c r="M2615" s="35" t="s">
        <v>386</v>
      </c>
      <c r="N2615" s="18" t="s">
        <v>387</v>
      </c>
      <c r="O2615" s="27" t="n">
        <v>0.5</v>
      </c>
      <c r="P2615" s="15" t="n">
        <f aca="false">IF(A2615="","",IF(O2615&lt;&gt;"",O2615,IF(L2615&lt;&gt;"",L2615,F2615)))</f>
        <v>0.5</v>
      </c>
    </row>
    <row r="2616" customFormat="false" ht="15" hidden="false" customHeight="true" outlineLevel="0" collapsed="false">
      <c r="A2616" s="30" t="s">
        <v>308</v>
      </c>
      <c r="B2616" s="30" t="s">
        <v>309</v>
      </c>
      <c r="C2616" s="21" t="n">
        <f aca="false">IF(A2616="","",IFERROR(VLOOKUP(A2616,'Recert Status'!$A$8:$C$400,3,FALSE()),""))</f>
        <v>46752</v>
      </c>
      <c r="D2616" s="31" t="s">
        <v>387</v>
      </c>
      <c r="E2616" s="30" t="s">
        <v>389</v>
      </c>
      <c r="F2616" s="32" t="n">
        <v>1</v>
      </c>
      <c r="G2616" s="33" t="n">
        <v>46235</v>
      </c>
      <c r="H2616" s="33" t="n">
        <v>46235</v>
      </c>
      <c r="I2616" s="31" t="s">
        <v>1064</v>
      </c>
      <c r="J2616" s="30" t="s">
        <v>389</v>
      </c>
      <c r="K2616" s="31" t="s">
        <v>451</v>
      </c>
      <c r="L2616" s="32" t="n">
        <v>1</v>
      </c>
      <c r="M2616" s="35" t="s">
        <v>386</v>
      </c>
      <c r="N2616" s="31" t="s">
        <v>387</v>
      </c>
      <c r="O2616" s="32" t="n">
        <v>1</v>
      </c>
      <c r="P2616" s="15" t="n">
        <f aca="false">IF(A2616="","",IF(O2616&lt;&gt;"",O2616,IF(L2616&lt;&gt;"",L2616,F2616)))</f>
        <v>1</v>
      </c>
    </row>
    <row r="2617" customFormat="false" ht="15" hidden="false" customHeight="true" outlineLevel="0" collapsed="false">
      <c r="A2617" s="26" t="s">
        <v>308</v>
      </c>
      <c r="B2617" s="26" t="s">
        <v>309</v>
      </c>
      <c r="C2617" s="14" t="n">
        <f aca="false">IF(A2617="","",IFERROR(VLOOKUP(A2617,'Recert Status'!$A$8:$C$400,3,FALSE()),""))</f>
        <v>46752</v>
      </c>
      <c r="D2617" s="18" t="s">
        <v>1584</v>
      </c>
      <c r="E2617" s="26" t="n">
        <v>29769</v>
      </c>
      <c r="F2617" s="27" t="n">
        <v>1</v>
      </c>
      <c r="G2617" s="28" t="n">
        <v>45749</v>
      </c>
      <c r="H2617" s="28" t="n">
        <v>45749</v>
      </c>
      <c r="I2617" s="18" t="s">
        <v>1585</v>
      </c>
      <c r="J2617" s="26" t="s">
        <v>517</v>
      </c>
      <c r="K2617" s="18" t="s">
        <v>412</v>
      </c>
      <c r="L2617" s="27" t="n">
        <v>1</v>
      </c>
      <c r="M2617" s="36" t="s">
        <v>396</v>
      </c>
      <c r="N2617" s="18" t="s">
        <v>397</v>
      </c>
      <c r="O2617" s="27" t="n">
        <v>1</v>
      </c>
      <c r="P2617" s="15" t="n">
        <f aca="false">IF(A2617="","",IF(O2617&lt;&gt;"",O2617,IF(L2617&lt;&gt;"",L2617,F2617)))</f>
        <v>1</v>
      </c>
    </row>
    <row r="2618" customFormat="false" ht="15" hidden="false" customHeight="true" outlineLevel="0" collapsed="false">
      <c r="A2618" s="30" t="s">
        <v>308</v>
      </c>
      <c r="B2618" s="30" t="s">
        <v>309</v>
      </c>
      <c r="C2618" s="21" t="n">
        <f aca="false">IF(A2618="","",IFERROR(VLOOKUP(A2618,'Recert Status'!$A$8:$C$400,3,FALSE()),""))</f>
        <v>46752</v>
      </c>
      <c r="D2618" s="31" t="s">
        <v>397</v>
      </c>
      <c r="E2618" s="30" t="s">
        <v>452</v>
      </c>
      <c r="F2618" s="32" t="n">
        <v>1</v>
      </c>
      <c r="G2618" s="33" t="n">
        <v>46244</v>
      </c>
      <c r="H2618" s="33" t="n">
        <v>46244</v>
      </c>
      <c r="I2618" s="31" t="s">
        <v>453</v>
      </c>
      <c r="J2618" s="30" t="s">
        <v>452</v>
      </c>
      <c r="K2618" s="31" t="s">
        <v>385</v>
      </c>
      <c r="L2618" s="32" t="n">
        <v>1</v>
      </c>
      <c r="M2618" s="36" t="s">
        <v>396</v>
      </c>
      <c r="N2618" s="31" t="s">
        <v>397</v>
      </c>
      <c r="O2618" s="32" t="n">
        <v>1</v>
      </c>
      <c r="P2618" s="15" t="n">
        <f aca="false">IF(A2618="","",IF(O2618&lt;&gt;"",O2618,IF(L2618&lt;&gt;"",L2618,F2618)))</f>
        <v>1</v>
      </c>
    </row>
    <row r="2619" customFormat="false" ht="15" hidden="false" customHeight="true" outlineLevel="0" collapsed="false">
      <c r="A2619" s="26" t="s">
        <v>308</v>
      </c>
      <c r="B2619" s="26" t="s">
        <v>309</v>
      </c>
      <c r="C2619" s="14" t="n">
        <f aca="false">IF(A2619="","",IFERROR(VLOOKUP(A2619,'Recert Status'!$A$8:$C$400,3,FALSE()),""))</f>
        <v>46752</v>
      </c>
      <c r="D2619" s="18" t="s">
        <v>870</v>
      </c>
      <c r="E2619" s="26" t="s">
        <v>399</v>
      </c>
      <c r="F2619" s="27" t="n">
        <v>1.25</v>
      </c>
      <c r="G2619" s="28" t="n">
        <v>46085</v>
      </c>
      <c r="H2619" s="28" t="n">
        <v>46085</v>
      </c>
      <c r="I2619" s="18" t="s">
        <v>1120</v>
      </c>
      <c r="J2619" s="26" t="s">
        <v>399</v>
      </c>
      <c r="K2619" s="18" t="s">
        <v>401</v>
      </c>
      <c r="L2619" s="27" t="n">
        <v>1.25</v>
      </c>
      <c r="M2619" s="37" t="s">
        <v>402</v>
      </c>
      <c r="N2619" s="18" t="s">
        <v>403</v>
      </c>
      <c r="O2619" s="27" t="n">
        <v>1.25</v>
      </c>
      <c r="P2619" s="15" t="n">
        <f aca="false">IF(A2619="","",IF(O2619&lt;&gt;"",O2619,IF(L2619&lt;&gt;"",L2619,F2619)))</f>
        <v>1.25</v>
      </c>
    </row>
    <row r="2620" customFormat="false" ht="15" hidden="false" customHeight="true" outlineLevel="0" collapsed="false">
      <c r="A2620" s="30" t="s">
        <v>308</v>
      </c>
      <c r="B2620" s="30" t="s">
        <v>309</v>
      </c>
      <c r="C2620" s="21" t="n">
        <f aca="false">IF(A2620="","",IFERROR(VLOOKUP(A2620,'Recert Status'!$A$8:$C$400,3,FALSE()),""))</f>
        <v>46752</v>
      </c>
      <c r="D2620" s="31" t="s">
        <v>415</v>
      </c>
      <c r="E2620" s="30" t="s">
        <v>416</v>
      </c>
      <c r="F2620" s="32" t="n">
        <v>1</v>
      </c>
      <c r="G2620" s="33" t="n">
        <v>45824</v>
      </c>
      <c r="H2620" s="33" t="n">
        <v>45824</v>
      </c>
      <c r="I2620" s="31" t="s">
        <v>1124</v>
      </c>
      <c r="J2620" s="30" t="s">
        <v>416</v>
      </c>
      <c r="K2620" s="31" t="s">
        <v>418</v>
      </c>
      <c r="L2620" s="32" t="n">
        <v>1</v>
      </c>
      <c r="M2620" s="39" t="s">
        <v>413</v>
      </c>
      <c r="N2620" s="31" t="s">
        <v>414</v>
      </c>
      <c r="O2620" s="32" t="n">
        <v>1</v>
      </c>
      <c r="P2620" s="15" t="n">
        <f aca="false">IF(A2620="","",IF(O2620&lt;&gt;"",O2620,IF(L2620&lt;&gt;"",L2620,F2620)))</f>
        <v>1</v>
      </c>
    </row>
    <row r="2621" customFormat="false" ht="15" hidden="false" customHeight="true" outlineLevel="0" collapsed="false">
      <c r="A2621" s="26" t="s">
        <v>308</v>
      </c>
      <c r="B2621" s="26" t="s">
        <v>309</v>
      </c>
      <c r="C2621" s="14" t="n">
        <f aca="false">IF(A2621="","",IFERROR(VLOOKUP(A2621,'Recert Status'!$A$8:$C$400,3,FALSE()),""))</f>
        <v>46752</v>
      </c>
      <c r="D2621" s="18" t="s">
        <v>457</v>
      </c>
      <c r="E2621" s="26" t="s">
        <v>416</v>
      </c>
      <c r="F2621" s="27" t="n">
        <v>2</v>
      </c>
      <c r="G2621" s="28" t="n">
        <v>45860</v>
      </c>
      <c r="H2621" s="28" t="n">
        <v>45860</v>
      </c>
      <c r="I2621" s="18" t="s">
        <v>458</v>
      </c>
      <c r="J2621" s="26" t="s">
        <v>416</v>
      </c>
      <c r="K2621" s="18" t="s">
        <v>459</v>
      </c>
      <c r="L2621" s="27" t="n">
        <v>2</v>
      </c>
      <c r="M2621" s="39" t="s">
        <v>413</v>
      </c>
      <c r="N2621" s="18" t="s">
        <v>414</v>
      </c>
      <c r="O2621" s="27" t="n">
        <v>2</v>
      </c>
      <c r="P2621" s="15" t="n">
        <f aca="false">IF(A2621="","",IF(O2621&lt;&gt;"",O2621,IF(L2621&lt;&gt;"",L2621,F2621)))</f>
        <v>2</v>
      </c>
    </row>
    <row r="2622" customFormat="false" ht="15" hidden="false" customHeight="true" outlineLevel="0" collapsed="false">
      <c r="A2622" s="30" t="s">
        <v>308</v>
      </c>
      <c r="B2622" s="30" t="s">
        <v>309</v>
      </c>
      <c r="C2622" s="21" t="n">
        <f aca="false">IF(A2622="","",IFERROR(VLOOKUP(A2622,'Recert Status'!$A$8:$C$400,3,FALSE()),""))</f>
        <v>46752</v>
      </c>
      <c r="D2622" s="31" t="s">
        <v>414</v>
      </c>
      <c r="E2622" s="30" t="s">
        <v>416</v>
      </c>
      <c r="F2622" s="32" t="n">
        <v>2</v>
      </c>
      <c r="G2622" s="33" t="n">
        <v>46217</v>
      </c>
      <c r="H2622" s="33" t="n">
        <v>46217</v>
      </c>
      <c r="I2622" s="31" t="s">
        <v>460</v>
      </c>
      <c r="J2622" s="30" t="s">
        <v>416</v>
      </c>
      <c r="K2622" s="31" t="s">
        <v>418</v>
      </c>
      <c r="L2622" s="32" t="n">
        <v>2</v>
      </c>
      <c r="M2622" s="39" t="s">
        <v>413</v>
      </c>
      <c r="N2622" s="31" t="s">
        <v>414</v>
      </c>
      <c r="O2622" s="32" t="n">
        <v>2</v>
      </c>
      <c r="P2622" s="15" t="n">
        <f aca="false">IF(A2622="","",IF(O2622&lt;&gt;"",O2622,IF(L2622&lt;&gt;"",L2622,F2622)))</f>
        <v>2</v>
      </c>
    </row>
    <row r="2623" customFormat="false" ht="15" hidden="false" customHeight="true" outlineLevel="0" collapsed="false">
      <c r="A2623" s="26" t="s">
        <v>310</v>
      </c>
      <c r="B2623" s="26" t="s">
        <v>311</v>
      </c>
      <c r="C2623" s="14" t="n">
        <f aca="false">IF(A2623="","",IFERROR(VLOOKUP(A2623,'Recert Status'!$A$8:$C$400,3,FALSE()),""))</f>
        <v>46752</v>
      </c>
      <c r="D2623" s="18" t="s">
        <v>496</v>
      </c>
      <c r="E2623" s="26" t="s">
        <v>542</v>
      </c>
      <c r="F2623" s="27" t="n">
        <v>4</v>
      </c>
      <c r="G2623" s="28" t="n">
        <v>45961</v>
      </c>
      <c r="H2623" s="28" t="n">
        <v>45961</v>
      </c>
      <c r="I2623" s="18" t="s">
        <v>587</v>
      </c>
      <c r="J2623" s="26" t="s">
        <v>542</v>
      </c>
      <c r="K2623" s="18" t="s">
        <v>422</v>
      </c>
      <c r="L2623" s="27" t="n">
        <v>4</v>
      </c>
      <c r="M2623" s="40" t="s">
        <v>423</v>
      </c>
      <c r="N2623" s="18" t="s">
        <v>424</v>
      </c>
      <c r="O2623" s="27" t="n">
        <v>4</v>
      </c>
      <c r="P2623" s="15" t="n">
        <f aca="false">IF(A2623="","",IF(O2623&lt;&gt;"",O2623,IF(L2623&lt;&gt;"",L2623,F2623)))</f>
        <v>4</v>
      </c>
    </row>
    <row r="2624" customFormat="false" ht="15" hidden="false" customHeight="true" outlineLevel="0" collapsed="false">
      <c r="A2624" s="30" t="s">
        <v>310</v>
      </c>
      <c r="B2624" s="30" t="s">
        <v>311</v>
      </c>
      <c r="C2624" s="21" t="n">
        <f aca="false">IF(A2624="","",IFERROR(VLOOKUP(A2624,'Recert Status'!$A$8:$C$400,3,FALSE()),""))</f>
        <v>46752</v>
      </c>
      <c r="D2624" s="31" t="s">
        <v>474</v>
      </c>
      <c r="E2624" s="30" t="s">
        <v>389</v>
      </c>
      <c r="F2624" s="32" t="n">
        <v>1</v>
      </c>
      <c r="G2624" s="33" t="n">
        <v>46204</v>
      </c>
      <c r="H2624" s="33" t="n">
        <v>46204</v>
      </c>
      <c r="I2624" s="31" t="s">
        <v>475</v>
      </c>
      <c r="J2624" s="30" t="s">
        <v>389</v>
      </c>
      <c r="K2624" s="31" t="s">
        <v>476</v>
      </c>
      <c r="L2624" s="32" t="n">
        <v>1</v>
      </c>
      <c r="M2624" s="35" t="s">
        <v>386</v>
      </c>
      <c r="N2624" s="31" t="s">
        <v>387</v>
      </c>
      <c r="O2624" s="32" t="n">
        <v>1</v>
      </c>
      <c r="P2624" s="15" t="n">
        <f aca="false">IF(A2624="","",IF(O2624&lt;&gt;"",O2624,IF(L2624&lt;&gt;"",L2624,F2624)))</f>
        <v>1</v>
      </c>
    </row>
    <row r="2625" customFormat="false" ht="15" hidden="false" customHeight="true" outlineLevel="0" collapsed="false">
      <c r="A2625" s="26" t="s">
        <v>310</v>
      </c>
      <c r="B2625" s="26" t="s">
        <v>311</v>
      </c>
      <c r="C2625" s="14" t="n">
        <f aca="false">IF(A2625="","",IFERROR(VLOOKUP(A2625,'Recert Status'!$A$8:$C$400,3,FALSE()),""))</f>
        <v>46752</v>
      </c>
      <c r="D2625" s="18" t="s">
        <v>387</v>
      </c>
      <c r="E2625" s="26" t="s">
        <v>389</v>
      </c>
      <c r="F2625" s="27" t="n">
        <v>1</v>
      </c>
      <c r="G2625" s="28" t="n">
        <v>46240</v>
      </c>
      <c r="H2625" s="28" t="n">
        <v>46240</v>
      </c>
      <c r="I2625" s="18" t="s">
        <v>1137</v>
      </c>
      <c r="J2625" s="26" t="s">
        <v>389</v>
      </c>
      <c r="K2625" s="18" t="s">
        <v>451</v>
      </c>
      <c r="L2625" s="27" t="n">
        <v>1</v>
      </c>
      <c r="M2625" s="35" t="s">
        <v>386</v>
      </c>
      <c r="N2625" s="18" t="s">
        <v>387</v>
      </c>
      <c r="O2625" s="27" t="n">
        <v>1</v>
      </c>
      <c r="P2625" s="15" t="n">
        <f aca="false">IF(A2625="","",IF(O2625&lt;&gt;"",O2625,IF(L2625&lt;&gt;"",L2625,F2625)))</f>
        <v>1</v>
      </c>
    </row>
    <row r="2626" customFormat="false" ht="15" hidden="false" customHeight="true" outlineLevel="0" collapsed="false">
      <c r="A2626" s="30" t="s">
        <v>310</v>
      </c>
      <c r="B2626" s="30" t="s">
        <v>311</v>
      </c>
      <c r="C2626" s="21" t="n">
        <f aca="false">IF(A2626="","",IFERROR(VLOOKUP(A2626,'Recert Status'!$A$8:$C$400,3,FALSE()),""))</f>
        <v>46752</v>
      </c>
      <c r="D2626" s="31" t="s">
        <v>597</v>
      </c>
      <c r="E2626" s="30" t="n">
        <v>29735</v>
      </c>
      <c r="F2626" s="32" t="n">
        <v>4</v>
      </c>
      <c r="G2626" s="33" t="n">
        <v>45961</v>
      </c>
      <c r="H2626" s="33" t="n">
        <v>45961</v>
      </c>
      <c r="I2626" s="31" t="s">
        <v>598</v>
      </c>
      <c r="J2626" s="30" t="s">
        <v>599</v>
      </c>
      <c r="K2626" s="31" t="s">
        <v>600</v>
      </c>
      <c r="L2626" s="32" t="n">
        <v>4</v>
      </c>
      <c r="M2626" s="36" t="s">
        <v>396</v>
      </c>
      <c r="N2626" s="31" t="s">
        <v>397</v>
      </c>
      <c r="O2626" s="32" t="n">
        <v>4</v>
      </c>
      <c r="P2626" s="15" t="n">
        <f aca="false">IF(A2626="","",IF(O2626&lt;&gt;"",O2626,IF(L2626&lt;&gt;"",L2626,F2626)))</f>
        <v>4</v>
      </c>
    </row>
    <row r="2627" customFormat="false" ht="15" hidden="false" customHeight="true" outlineLevel="0" collapsed="false">
      <c r="A2627" s="26" t="s">
        <v>310</v>
      </c>
      <c r="B2627" s="26" t="s">
        <v>311</v>
      </c>
      <c r="C2627" s="14" t="n">
        <f aca="false">IF(A2627="","",IFERROR(VLOOKUP(A2627,'Recert Status'!$A$8:$C$400,3,FALSE()),""))</f>
        <v>46752</v>
      </c>
      <c r="D2627" s="18" t="s">
        <v>560</v>
      </c>
      <c r="E2627" s="26" t="s">
        <v>452</v>
      </c>
      <c r="F2627" s="27" t="n">
        <v>1</v>
      </c>
      <c r="G2627" s="28" t="n">
        <v>46144</v>
      </c>
      <c r="H2627" s="28" t="n">
        <v>46144</v>
      </c>
      <c r="I2627" s="18" t="s">
        <v>1700</v>
      </c>
      <c r="J2627" s="26" t="s">
        <v>452</v>
      </c>
      <c r="K2627" s="18" t="s">
        <v>385</v>
      </c>
      <c r="L2627" s="27" t="n">
        <v>1</v>
      </c>
      <c r="M2627" s="36" t="s">
        <v>396</v>
      </c>
      <c r="N2627" s="18" t="s">
        <v>397</v>
      </c>
      <c r="O2627" s="27" t="n">
        <v>1</v>
      </c>
      <c r="P2627" s="15" t="n">
        <f aca="false">IF(A2627="","",IF(O2627&lt;&gt;"",O2627,IF(L2627&lt;&gt;"",L2627,F2627)))</f>
        <v>1</v>
      </c>
    </row>
    <row r="2628" customFormat="false" ht="15" hidden="false" customHeight="true" outlineLevel="0" collapsed="false">
      <c r="A2628" s="30" t="s">
        <v>310</v>
      </c>
      <c r="B2628" s="30" t="s">
        <v>311</v>
      </c>
      <c r="C2628" s="21" t="n">
        <f aca="false">IF(A2628="","",IFERROR(VLOOKUP(A2628,'Recert Status'!$A$8:$C$400,3,FALSE()),""))</f>
        <v>46752</v>
      </c>
      <c r="D2628" s="31" t="s">
        <v>397</v>
      </c>
      <c r="E2628" s="30" t="s">
        <v>452</v>
      </c>
      <c r="F2628" s="32" t="n">
        <v>1</v>
      </c>
      <c r="G2628" s="33" t="n">
        <v>46246</v>
      </c>
      <c r="H2628" s="33" t="n">
        <v>46246</v>
      </c>
      <c r="I2628" s="31" t="s">
        <v>478</v>
      </c>
      <c r="J2628" s="30" t="s">
        <v>452</v>
      </c>
      <c r="K2628" s="31" t="s">
        <v>385</v>
      </c>
      <c r="L2628" s="32" t="n">
        <v>1</v>
      </c>
      <c r="M2628" s="36" t="s">
        <v>396</v>
      </c>
      <c r="N2628" s="31" t="s">
        <v>397</v>
      </c>
      <c r="O2628" s="32" t="n">
        <v>1</v>
      </c>
      <c r="P2628" s="15" t="n">
        <f aca="false">IF(A2628="","",IF(O2628&lt;&gt;"",O2628,IF(L2628&lt;&gt;"",L2628,F2628)))</f>
        <v>1</v>
      </c>
    </row>
    <row r="2629" customFormat="false" ht="15" hidden="false" customHeight="true" outlineLevel="0" collapsed="false">
      <c r="A2629" s="26" t="s">
        <v>312</v>
      </c>
      <c r="B2629" s="26"/>
      <c r="C2629" s="14" t="n">
        <f aca="false">IF(A2629="","",IFERROR(VLOOKUP(A2629,'Recert Status'!$A$8:$C$400,3,FALSE()),""))</f>
        <v>0</v>
      </c>
      <c r="D2629" s="18" t="s">
        <v>368</v>
      </c>
      <c r="E2629" s="26" t="s">
        <v>363</v>
      </c>
      <c r="F2629" s="27" t="n">
        <v>1.5</v>
      </c>
      <c r="G2629" s="28" t="n">
        <v>45820</v>
      </c>
      <c r="H2629" s="28" t="n">
        <v>45820</v>
      </c>
      <c r="I2629" s="18" t="s">
        <v>369</v>
      </c>
      <c r="J2629" s="26" t="s">
        <v>363</v>
      </c>
      <c r="K2629" s="18" t="s">
        <v>370</v>
      </c>
      <c r="L2629" s="27" t="n">
        <v>1.5</v>
      </c>
      <c r="M2629" s="29" t="s">
        <v>366</v>
      </c>
      <c r="N2629" s="18" t="s">
        <v>367</v>
      </c>
      <c r="O2629" s="27" t="n">
        <v>1.5</v>
      </c>
      <c r="P2629" s="15" t="n">
        <f aca="false">IF(A2629="","",IF(O2629&lt;&gt;"",O2629,IF(L2629&lt;&gt;"",L2629,F2629)))</f>
        <v>1.5</v>
      </c>
    </row>
    <row r="2630" customFormat="false" ht="15" hidden="false" customHeight="true" outlineLevel="0" collapsed="false">
      <c r="A2630" s="30" t="s">
        <v>312</v>
      </c>
      <c r="B2630" s="30"/>
      <c r="C2630" s="21" t="n">
        <f aca="false">IF(A2630="","",IFERROR(VLOOKUP(A2630,'Recert Status'!$A$8:$C$400,3,FALSE()),""))</f>
        <v>0</v>
      </c>
      <c r="D2630" s="31" t="s">
        <v>880</v>
      </c>
      <c r="E2630" s="30" t="n">
        <v>29740</v>
      </c>
      <c r="F2630" s="32" t="n">
        <v>1</v>
      </c>
      <c r="G2630" s="33" t="n">
        <v>45899</v>
      </c>
      <c r="H2630" s="33" t="n">
        <v>45899</v>
      </c>
      <c r="I2630" s="31" t="s">
        <v>881</v>
      </c>
      <c r="J2630" s="30" t="s">
        <v>394</v>
      </c>
      <c r="K2630" s="31" t="s">
        <v>882</v>
      </c>
      <c r="L2630" s="32" t="n">
        <v>1</v>
      </c>
      <c r="M2630" s="29" t="s">
        <v>366</v>
      </c>
      <c r="N2630" s="31" t="s">
        <v>367</v>
      </c>
      <c r="O2630" s="32" t="n">
        <v>1</v>
      </c>
      <c r="P2630" s="15" t="n">
        <f aca="false">IF(A2630="","",IF(O2630&lt;&gt;"",O2630,IF(L2630&lt;&gt;"",L2630,F2630)))</f>
        <v>1</v>
      </c>
    </row>
    <row r="2631" customFormat="false" ht="15" hidden="false" customHeight="true" outlineLevel="0" collapsed="false">
      <c r="A2631" s="26" t="s">
        <v>312</v>
      </c>
      <c r="B2631" s="26"/>
      <c r="C2631" s="14" t="n">
        <f aca="false">IF(A2631="","",IFERROR(VLOOKUP(A2631,'Recert Status'!$A$8:$C$400,3,FALSE()),""))</f>
        <v>0</v>
      </c>
      <c r="D2631" s="18" t="s">
        <v>1022</v>
      </c>
      <c r="E2631" s="26" t="s">
        <v>426</v>
      </c>
      <c r="F2631" s="27" t="n">
        <v>0.5</v>
      </c>
      <c r="G2631" s="28" t="n">
        <v>45810</v>
      </c>
      <c r="H2631" s="28" t="n">
        <v>45810</v>
      </c>
      <c r="I2631" s="18" t="s">
        <v>1023</v>
      </c>
      <c r="J2631" s="26" t="s">
        <v>426</v>
      </c>
      <c r="K2631" s="18" t="s">
        <v>428</v>
      </c>
      <c r="L2631" s="27" t="n">
        <v>0.5</v>
      </c>
      <c r="M2631" s="41" t="s">
        <v>429</v>
      </c>
      <c r="N2631" s="18" t="s">
        <v>430</v>
      </c>
      <c r="O2631" s="27" t="n">
        <v>0.5</v>
      </c>
      <c r="P2631" s="15" t="n">
        <f aca="false">IF(A2631="","",IF(O2631&lt;&gt;"",O2631,IF(L2631&lt;&gt;"",L2631,F2631)))</f>
        <v>0.5</v>
      </c>
    </row>
    <row r="2632" customFormat="false" ht="15" hidden="false" customHeight="true" outlineLevel="0" collapsed="false">
      <c r="A2632" s="30" t="s">
        <v>312</v>
      </c>
      <c r="B2632" s="30"/>
      <c r="C2632" s="21" t="n">
        <f aca="false">IF(A2632="","",IFERROR(VLOOKUP(A2632,'Recert Status'!$A$8:$C$400,3,FALSE()),""))</f>
        <v>0</v>
      </c>
      <c r="D2632" s="31" t="s">
        <v>524</v>
      </c>
      <c r="E2632" s="30" t="s">
        <v>426</v>
      </c>
      <c r="F2632" s="32" t="n">
        <v>0.5</v>
      </c>
      <c r="G2632" s="33" t="n">
        <v>45881</v>
      </c>
      <c r="H2632" s="33" t="n">
        <v>45881</v>
      </c>
      <c r="I2632" s="31" t="s">
        <v>525</v>
      </c>
      <c r="J2632" s="30" t="s">
        <v>426</v>
      </c>
      <c r="K2632" s="31" t="s">
        <v>526</v>
      </c>
      <c r="L2632" s="32" t="n">
        <v>0.5</v>
      </c>
      <c r="M2632" s="41" t="s">
        <v>429</v>
      </c>
      <c r="N2632" s="31" t="s">
        <v>430</v>
      </c>
      <c r="O2632" s="32" t="n">
        <v>0.5</v>
      </c>
      <c r="P2632" s="15" t="n">
        <f aca="false">IF(A2632="","",IF(O2632&lt;&gt;"",O2632,IF(L2632&lt;&gt;"",L2632,F2632)))</f>
        <v>0.5</v>
      </c>
    </row>
    <row r="2633" customFormat="false" ht="15" hidden="false" customHeight="true" outlineLevel="0" collapsed="false">
      <c r="A2633" s="26" t="s">
        <v>312</v>
      </c>
      <c r="B2633" s="26"/>
      <c r="C2633" s="14" t="n">
        <f aca="false">IF(A2633="","",IFERROR(VLOOKUP(A2633,'Recert Status'!$A$8:$C$400,3,FALSE()),""))</f>
        <v>0</v>
      </c>
      <c r="D2633" s="18" t="s">
        <v>884</v>
      </c>
      <c r="E2633" s="26" t="s">
        <v>426</v>
      </c>
      <c r="F2633" s="27" t="n">
        <v>2</v>
      </c>
      <c r="G2633" s="28" t="n">
        <v>45929</v>
      </c>
      <c r="H2633" s="28" t="n">
        <v>45929</v>
      </c>
      <c r="I2633" s="18" t="s">
        <v>885</v>
      </c>
      <c r="J2633" s="26" t="s">
        <v>426</v>
      </c>
      <c r="K2633" s="18" t="s">
        <v>428</v>
      </c>
      <c r="L2633" s="27" t="n">
        <v>2</v>
      </c>
      <c r="M2633" s="41" t="s">
        <v>429</v>
      </c>
      <c r="N2633" s="18" t="s">
        <v>430</v>
      </c>
      <c r="O2633" s="27" t="n">
        <v>2</v>
      </c>
      <c r="P2633" s="15" t="n">
        <f aca="false">IF(A2633="","",IF(O2633&lt;&gt;"",O2633,IF(L2633&lt;&gt;"",L2633,F2633)))</f>
        <v>2</v>
      </c>
    </row>
    <row r="2634" customFormat="false" ht="15" hidden="false" customHeight="true" outlineLevel="0" collapsed="false">
      <c r="A2634" s="30" t="s">
        <v>312</v>
      </c>
      <c r="B2634" s="30"/>
      <c r="C2634" s="21" t="n">
        <f aca="false">IF(A2634="","",IFERROR(VLOOKUP(A2634,'Recert Status'!$A$8:$C$400,3,FALSE()),""))</f>
        <v>0</v>
      </c>
      <c r="D2634" s="31" t="s">
        <v>886</v>
      </c>
      <c r="E2634" s="30" t="s">
        <v>426</v>
      </c>
      <c r="F2634" s="32" t="n">
        <v>2</v>
      </c>
      <c r="G2634" s="33" t="n">
        <v>45971</v>
      </c>
      <c r="H2634" s="33" t="n">
        <v>45971</v>
      </c>
      <c r="I2634" s="31" t="s">
        <v>887</v>
      </c>
      <c r="J2634" s="30" t="s">
        <v>426</v>
      </c>
      <c r="K2634" s="31" t="s">
        <v>428</v>
      </c>
      <c r="L2634" s="32" t="n">
        <v>2</v>
      </c>
      <c r="M2634" s="41" t="s">
        <v>429</v>
      </c>
      <c r="N2634" s="31" t="s">
        <v>430</v>
      </c>
      <c r="O2634" s="32" t="n">
        <v>2</v>
      </c>
      <c r="P2634" s="15" t="n">
        <f aca="false">IF(A2634="","",IF(O2634&lt;&gt;"",O2634,IF(L2634&lt;&gt;"",L2634,F2634)))</f>
        <v>2</v>
      </c>
    </row>
    <row r="2635" customFormat="false" ht="15" hidden="false" customHeight="true" outlineLevel="0" collapsed="false">
      <c r="A2635" s="26" t="s">
        <v>312</v>
      </c>
      <c r="B2635" s="26"/>
      <c r="C2635" s="14" t="n">
        <f aca="false">IF(A2635="","",IFERROR(VLOOKUP(A2635,'Recert Status'!$A$8:$C$400,3,FALSE()),""))</f>
        <v>0</v>
      </c>
      <c r="D2635" s="18" t="s">
        <v>888</v>
      </c>
      <c r="E2635" s="26" t="s">
        <v>426</v>
      </c>
      <c r="F2635" s="27" t="n">
        <v>1</v>
      </c>
      <c r="G2635" s="28" t="n">
        <v>46001</v>
      </c>
      <c r="H2635" s="28" t="n">
        <v>46001</v>
      </c>
      <c r="I2635" s="18" t="s">
        <v>889</v>
      </c>
      <c r="J2635" s="26" t="s">
        <v>426</v>
      </c>
      <c r="K2635" s="18" t="s">
        <v>428</v>
      </c>
      <c r="L2635" s="27" t="n">
        <v>1</v>
      </c>
      <c r="M2635" s="41" t="s">
        <v>429</v>
      </c>
      <c r="N2635" s="18" t="s">
        <v>430</v>
      </c>
      <c r="O2635" s="27" t="n">
        <v>1</v>
      </c>
      <c r="P2635" s="15" t="n">
        <f aca="false">IF(A2635="","",IF(O2635&lt;&gt;"",O2635,IF(L2635&lt;&gt;"",L2635,F2635)))</f>
        <v>1</v>
      </c>
    </row>
    <row r="2636" customFormat="false" ht="15" hidden="false" customHeight="true" outlineLevel="0" collapsed="false">
      <c r="A2636" s="30" t="s">
        <v>312</v>
      </c>
      <c r="B2636" s="30"/>
      <c r="C2636" s="21" t="n">
        <f aca="false">IF(A2636="","",IFERROR(VLOOKUP(A2636,'Recert Status'!$A$8:$C$400,3,FALSE()),""))</f>
        <v>0</v>
      </c>
      <c r="D2636" s="31" t="s">
        <v>433</v>
      </c>
      <c r="E2636" s="30" t="n">
        <v>29784</v>
      </c>
      <c r="F2636" s="32" t="n">
        <v>1</v>
      </c>
      <c r="G2636" s="33" t="n">
        <v>45722</v>
      </c>
      <c r="H2636" s="33" t="n">
        <v>45722</v>
      </c>
      <c r="I2636" s="31" t="s">
        <v>434</v>
      </c>
      <c r="J2636" s="30" t="s">
        <v>435</v>
      </c>
      <c r="K2636" s="31" t="s">
        <v>436</v>
      </c>
      <c r="L2636" s="32" t="n">
        <v>1</v>
      </c>
      <c r="M2636" s="35" t="s">
        <v>386</v>
      </c>
      <c r="N2636" s="31" t="s">
        <v>387</v>
      </c>
      <c r="O2636" s="32" t="n">
        <v>1</v>
      </c>
      <c r="P2636" s="15" t="n">
        <f aca="false">IF(A2636="","",IF(O2636&lt;&gt;"",O2636,IF(L2636&lt;&gt;"",L2636,F2636)))</f>
        <v>1</v>
      </c>
    </row>
    <row r="2637" customFormat="false" ht="15" hidden="false" customHeight="true" outlineLevel="0" collapsed="false">
      <c r="A2637" s="26" t="s">
        <v>312</v>
      </c>
      <c r="B2637" s="26"/>
      <c r="C2637" s="14" t="n">
        <f aca="false">IF(A2637="","",IFERROR(VLOOKUP(A2637,'Recert Status'!$A$8:$C$400,3,FALSE()),""))</f>
        <v>0</v>
      </c>
      <c r="D2637" s="18" t="s">
        <v>449</v>
      </c>
      <c r="E2637" s="26" t="s">
        <v>389</v>
      </c>
      <c r="F2637" s="27" t="n">
        <v>3</v>
      </c>
      <c r="G2637" s="28" t="n">
        <v>45740</v>
      </c>
      <c r="H2637" s="28" t="n">
        <v>45740</v>
      </c>
      <c r="I2637" s="18" t="s">
        <v>891</v>
      </c>
      <c r="J2637" s="26" t="s">
        <v>389</v>
      </c>
      <c r="K2637" s="18" t="s">
        <v>892</v>
      </c>
      <c r="L2637" s="27" t="n">
        <v>3</v>
      </c>
      <c r="M2637" s="35" t="s">
        <v>386</v>
      </c>
      <c r="N2637" s="18" t="s">
        <v>387</v>
      </c>
      <c r="O2637" s="27" t="n">
        <v>3</v>
      </c>
      <c r="P2637" s="15" t="n">
        <f aca="false">IF(A2637="","",IF(O2637&lt;&gt;"",O2637,IF(L2637&lt;&gt;"",L2637,F2637)))</f>
        <v>3</v>
      </c>
    </row>
    <row r="2638" customFormat="false" ht="15" hidden="false" customHeight="true" outlineLevel="0" collapsed="false">
      <c r="A2638" s="30" t="s">
        <v>312</v>
      </c>
      <c r="B2638" s="30"/>
      <c r="C2638" s="21" t="n">
        <f aca="false">IF(A2638="","",IFERROR(VLOOKUP(A2638,'Recert Status'!$A$8:$C$400,3,FALSE()),""))</f>
        <v>0</v>
      </c>
      <c r="D2638" s="31" t="s">
        <v>437</v>
      </c>
      <c r="E2638" s="30" t="n">
        <v>29743</v>
      </c>
      <c r="F2638" s="32" t="n">
        <v>1</v>
      </c>
      <c r="G2638" s="33" t="n">
        <v>45833</v>
      </c>
      <c r="H2638" s="33" t="n">
        <v>45833</v>
      </c>
      <c r="I2638" s="31" t="s">
        <v>438</v>
      </c>
      <c r="J2638" s="30" t="s">
        <v>439</v>
      </c>
      <c r="K2638" s="31" t="s">
        <v>440</v>
      </c>
      <c r="L2638" s="32" t="n">
        <v>1</v>
      </c>
      <c r="M2638" s="35" t="s">
        <v>386</v>
      </c>
      <c r="N2638" s="31" t="s">
        <v>387</v>
      </c>
      <c r="O2638" s="32" t="n">
        <v>1</v>
      </c>
      <c r="P2638" s="15" t="n">
        <f aca="false">IF(A2638="","",IF(O2638&lt;&gt;"",O2638,IF(L2638&lt;&gt;"",L2638,F2638)))</f>
        <v>1</v>
      </c>
    </row>
    <row r="2639" customFormat="false" ht="15" hidden="false" customHeight="true" outlineLevel="0" collapsed="false">
      <c r="A2639" s="26" t="s">
        <v>312</v>
      </c>
      <c r="B2639" s="26"/>
      <c r="C2639" s="14" t="n">
        <f aca="false">IF(A2639="","",IFERROR(VLOOKUP(A2639,'Recert Status'!$A$8:$C$400,3,FALSE()),""))</f>
        <v>0</v>
      </c>
      <c r="D2639" s="18" t="s">
        <v>441</v>
      </c>
      <c r="E2639" s="26" t="n">
        <v>29743</v>
      </c>
      <c r="F2639" s="27" t="n">
        <v>1</v>
      </c>
      <c r="G2639" s="28" t="n">
        <v>45833</v>
      </c>
      <c r="H2639" s="28" t="n">
        <v>45833</v>
      </c>
      <c r="I2639" s="18" t="s">
        <v>442</v>
      </c>
      <c r="J2639" s="26" t="s">
        <v>439</v>
      </c>
      <c r="K2639" s="18" t="s">
        <v>443</v>
      </c>
      <c r="L2639" s="27" t="n">
        <v>1</v>
      </c>
      <c r="M2639" s="35" t="s">
        <v>386</v>
      </c>
      <c r="N2639" s="18" t="s">
        <v>387</v>
      </c>
      <c r="O2639" s="27" t="n">
        <v>1</v>
      </c>
      <c r="P2639" s="15" t="n">
        <f aca="false">IF(A2639="","",IF(O2639&lt;&gt;"",O2639,IF(L2639&lt;&gt;"",L2639,F2639)))</f>
        <v>1</v>
      </c>
    </row>
    <row r="2640" customFormat="false" ht="15" hidden="false" customHeight="true" outlineLevel="0" collapsed="false">
      <c r="A2640" s="30" t="s">
        <v>312</v>
      </c>
      <c r="B2640" s="30"/>
      <c r="C2640" s="21" t="n">
        <f aca="false">IF(A2640="","",IFERROR(VLOOKUP(A2640,'Recert Status'!$A$8:$C$400,3,FALSE()),""))</f>
        <v>0</v>
      </c>
      <c r="D2640" s="31" t="s">
        <v>736</v>
      </c>
      <c r="E2640" s="30" t="n">
        <v>35513</v>
      </c>
      <c r="F2640" s="32" t="n">
        <v>2</v>
      </c>
      <c r="G2640" s="33" t="n">
        <v>45884</v>
      </c>
      <c r="H2640" s="33" t="n">
        <v>45884</v>
      </c>
      <c r="I2640" s="31" t="s">
        <v>737</v>
      </c>
      <c r="J2640" s="30" t="s">
        <v>384</v>
      </c>
      <c r="K2640" s="31" t="s">
        <v>385</v>
      </c>
      <c r="L2640" s="32" t="n">
        <v>2</v>
      </c>
      <c r="M2640" s="35" t="s">
        <v>386</v>
      </c>
      <c r="N2640" s="31" t="s">
        <v>387</v>
      </c>
      <c r="O2640" s="32" t="n">
        <v>2</v>
      </c>
      <c r="P2640" s="15" t="n">
        <f aca="false">IF(A2640="","",IF(O2640&lt;&gt;"",O2640,IF(L2640&lt;&gt;"",L2640,F2640)))</f>
        <v>2</v>
      </c>
    </row>
    <row r="2641" customFormat="false" ht="15" hidden="false" customHeight="true" outlineLevel="0" collapsed="false">
      <c r="A2641" s="26" t="s">
        <v>312</v>
      </c>
      <c r="B2641" s="26"/>
      <c r="C2641" s="14" t="n">
        <f aca="false">IF(A2641="","",IFERROR(VLOOKUP(A2641,'Recert Status'!$A$8:$C$400,3,FALSE()),""))</f>
        <v>0</v>
      </c>
      <c r="D2641" s="18" t="s">
        <v>894</v>
      </c>
      <c r="E2641" s="26" t="s">
        <v>389</v>
      </c>
      <c r="F2641" s="27" t="n">
        <v>1</v>
      </c>
      <c r="G2641" s="28" t="n">
        <v>45971</v>
      </c>
      <c r="H2641" s="28" t="n">
        <v>45971</v>
      </c>
      <c r="I2641" s="18" t="s">
        <v>895</v>
      </c>
      <c r="J2641" s="26" t="s">
        <v>389</v>
      </c>
      <c r="K2641" s="18" t="s">
        <v>446</v>
      </c>
      <c r="L2641" s="27" t="n">
        <v>1</v>
      </c>
      <c r="M2641" s="35" t="s">
        <v>386</v>
      </c>
      <c r="N2641" s="18" t="s">
        <v>387</v>
      </c>
      <c r="O2641" s="27" t="n">
        <v>1</v>
      </c>
      <c r="P2641" s="15" t="n">
        <f aca="false">IF(A2641="","",IF(O2641&lt;&gt;"",O2641,IF(L2641&lt;&gt;"",L2641,F2641)))</f>
        <v>1</v>
      </c>
    </row>
    <row r="2642" customFormat="false" ht="15" hidden="false" customHeight="true" outlineLevel="0" collapsed="false">
      <c r="A2642" s="30" t="s">
        <v>312</v>
      </c>
      <c r="B2642" s="30"/>
      <c r="C2642" s="21" t="n">
        <f aca="false">IF(A2642="","",IFERROR(VLOOKUP(A2642,'Recert Status'!$A$8:$C$400,3,FALSE()),""))</f>
        <v>0</v>
      </c>
      <c r="D2642" s="31" t="s">
        <v>896</v>
      </c>
      <c r="E2642" s="30" t="s">
        <v>389</v>
      </c>
      <c r="F2642" s="32" t="n">
        <v>2</v>
      </c>
      <c r="G2642" s="33" t="n">
        <v>45971</v>
      </c>
      <c r="H2642" s="33" t="n">
        <v>45971</v>
      </c>
      <c r="I2642" s="31" t="s">
        <v>897</v>
      </c>
      <c r="J2642" s="30" t="s">
        <v>389</v>
      </c>
      <c r="K2642" s="31" t="s">
        <v>898</v>
      </c>
      <c r="L2642" s="32" t="n">
        <v>2</v>
      </c>
      <c r="M2642" s="35" t="s">
        <v>386</v>
      </c>
      <c r="N2642" s="31" t="s">
        <v>387</v>
      </c>
      <c r="O2642" s="32" t="n">
        <v>2</v>
      </c>
      <c r="P2642" s="15" t="n">
        <f aca="false">IF(A2642="","",IF(O2642&lt;&gt;"",O2642,IF(L2642&lt;&gt;"",L2642,F2642)))</f>
        <v>2</v>
      </c>
    </row>
    <row r="2643" customFormat="false" ht="15" hidden="false" customHeight="true" outlineLevel="0" collapsed="false">
      <c r="A2643" s="26" t="s">
        <v>312</v>
      </c>
      <c r="B2643" s="26"/>
      <c r="C2643" s="14" t="n">
        <f aca="false">IF(A2643="","",IFERROR(VLOOKUP(A2643,'Recert Status'!$A$8:$C$400,3,FALSE()),""))</f>
        <v>0</v>
      </c>
      <c r="D2643" s="18" t="s">
        <v>899</v>
      </c>
      <c r="E2643" s="26" t="n">
        <v>29668</v>
      </c>
      <c r="F2643" s="27" t="n">
        <v>1</v>
      </c>
      <c r="G2643" s="28" t="n">
        <v>45974</v>
      </c>
      <c r="H2643" s="28" t="n">
        <v>45974</v>
      </c>
      <c r="I2643" s="18" t="s">
        <v>900</v>
      </c>
      <c r="J2643" s="26" t="s">
        <v>511</v>
      </c>
      <c r="K2643" s="18" t="s">
        <v>509</v>
      </c>
      <c r="L2643" s="27" t="n">
        <v>1</v>
      </c>
      <c r="M2643" s="35" t="s">
        <v>386</v>
      </c>
      <c r="N2643" s="18" t="s">
        <v>514</v>
      </c>
      <c r="O2643" s="27" t="n">
        <v>1</v>
      </c>
      <c r="P2643" s="15" t="n">
        <f aca="false">IF(A2643="","",IF(O2643&lt;&gt;"",O2643,IF(L2643&lt;&gt;"",L2643,F2643)))</f>
        <v>1</v>
      </c>
    </row>
    <row r="2644" customFormat="false" ht="15" hidden="false" customHeight="true" outlineLevel="0" collapsed="false">
      <c r="A2644" s="30" t="s">
        <v>312</v>
      </c>
      <c r="B2644" s="30"/>
      <c r="C2644" s="21" t="n">
        <f aca="false">IF(A2644="","",IFERROR(VLOOKUP(A2644,'Recert Status'!$A$8:$C$400,3,FALSE()),""))</f>
        <v>0</v>
      </c>
      <c r="D2644" s="31" t="s">
        <v>449</v>
      </c>
      <c r="E2644" s="30" t="n">
        <v>29675</v>
      </c>
      <c r="F2644" s="32" t="n">
        <v>0.5</v>
      </c>
      <c r="G2644" s="33" t="n">
        <v>45995</v>
      </c>
      <c r="H2644" s="33" t="n">
        <v>45995</v>
      </c>
      <c r="I2644" s="31" t="s">
        <v>450</v>
      </c>
      <c r="J2644" s="30" t="s">
        <v>406</v>
      </c>
      <c r="K2644" s="31" t="s">
        <v>451</v>
      </c>
      <c r="L2644" s="32" t="n">
        <v>0.5</v>
      </c>
      <c r="M2644" s="35" t="s">
        <v>386</v>
      </c>
      <c r="N2644" s="31" t="s">
        <v>387</v>
      </c>
      <c r="O2644" s="32" t="n">
        <v>0.5</v>
      </c>
      <c r="P2644" s="15" t="n">
        <f aca="false">IF(A2644="","",IF(O2644&lt;&gt;"",O2644,IF(L2644&lt;&gt;"",L2644,F2644)))</f>
        <v>0.5</v>
      </c>
    </row>
    <row r="2645" customFormat="false" ht="15" hidden="false" customHeight="true" outlineLevel="0" collapsed="false">
      <c r="A2645" s="26" t="s">
        <v>312</v>
      </c>
      <c r="B2645" s="26"/>
      <c r="C2645" s="14" t="n">
        <f aca="false">IF(A2645="","",IFERROR(VLOOKUP(A2645,'Recert Status'!$A$8:$C$400,3,FALSE()),""))</f>
        <v>0</v>
      </c>
      <c r="D2645" s="18" t="s">
        <v>682</v>
      </c>
      <c r="E2645" s="26" t="n">
        <v>57435</v>
      </c>
      <c r="F2645" s="27" t="n">
        <v>0.5</v>
      </c>
      <c r="G2645" s="28" t="n">
        <v>45996</v>
      </c>
      <c r="H2645" s="28" t="n">
        <v>45996</v>
      </c>
      <c r="I2645" s="18" t="s">
        <v>684</v>
      </c>
      <c r="J2645" s="26" t="s">
        <v>593</v>
      </c>
      <c r="K2645" s="18" t="s">
        <v>446</v>
      </c>
      <c r="L2645" s="27" t="n">
        <v>0.5</v>
      </c>
      <c r="M2645" s="35" t="s">
        <v>386</v>
      </c>
      <c r="N2645" s="18" t="s">
        <v>387</v>
      </c>
      <c r="O2645" s="27" t="n">
        <v>0.5</v>
      </c>
      <c r="P2645" s="15" t="n">
        <f aca="false">IF(A2645="","",IF(O2645&lt;&gt;"",O2645,IF(L2645&lt;&gt;"",L2645,F2645)))</f>
        <v>0.5</v>
      </c>
    </row>
    <row r="2646" customFormat="false" ht="15" hidden="false" customHeight="true" outlineLevel="0" collapsed="false">
      <c r="A2646" s="30" t="s">
        <v>312</v>
      </c>
      <c r="B2646" s="30"/>
      <c r="C2646" s="21" t="n">
        <f aca="false">IF(A2646="","",IFERROR(VLOOKUP(A2646,'Recert Status'!$A$8:$C$400,3,FALSE()),""))</f>
        <v>0</v>
      </c>
      <c r="D2646" s="31" t="s">
        <v>901</v>
      </c>
      <c r="E2646" s="30" t="s">
        <v>389</v>
      </c>
      <c r="F2646" s="32" t="n">
        <v>1</v>
      </c>
      <c r="G2646" s="33" t="n">
        <v>46019</v>
      </c>
      <c r="H2646" s="33" t="n">
        <v>46019</v>
      </c>
      <c r="I2646" s="31" t="s">
        <v>902</v>
      </c>
      <c r="J2646" s="30" t="s">
        <v>389</v>
      </c>
      <c r="K2646" s="31" t="s">
        <v>451</v>
      </c>
      <c r="L2646" s="32" t="n">
        <v>1</v>
      </c>
      <c r="M2646" s="35" t="s">
        <v>386</v>
      </c>
      <c r="N2646" s="31" t="s">
        <v>387</v>
      </c>
      <c r="O2646" s="32" t="n">
        <v>1</v>
      </c>
      <c r="P2646" s="15" t="n">
        <f aca="false">IF(A2646="","",IF(O2646&lt;&gt;"",O2646,IF(L2646&lt;&gt;"",L2646,F2646)))</f>
        <v>1</v>
      </c>
    </row>
    <row r="2647" customFormat="false" ht="15" hidden="false" customHeight="true" outlineLevel="0" collapsed="false">
      <c r="A2647" s="26" t="s">
        <v>312</v>
      </c>
      <c r="B2647" s="26"/>
      <c r="C2647" s="14" t="n">
        <f aca="false">IF(A2647="","",IFERROR(VLOOKUP(A2647,'Recert Status'!$A$8:$C$400,3,FALSE()),""))</f>
        <v>0</v>
      </c>
      <c r="D2647" s="18" t="s">
        <v>415</v>
      </c>
      <c r="E2647" s="26" t="s">
        <v>416</v>
      </c>
      <c r="F2647" s="27" t="n">
        <v>2</v>
      </c>
      <c r="G2647" s="28" t="n">
        <v>45860</v>
      </c>
      <c r="H2647" s="28" t="n">
        <v>45860</v>
      </c>
      <c r="I2647" s="18" t="s">
        <v>721</v>
      </c>
      <c r="J2647" s="26" t="s">
        <v>416</v>
      </c>
      <c r="K2647" s="18" t="s">
        <v>418</v>
      </c>
      <c r="L2647" s="27" t="n">
        <v>2</v>
      </c>
      <c r="M2647" s="39" t="s">
        <v>413</v>
      </c>
      <c r="N2647" s="18" t="s">
        <v>414</v>
      </c>
      <c r="O2647" s="27" t="n">
        <v>2</v>
      </c>
      <c r="P2647" s="15" t="n">
        <f aca="false">IF(A2647="","",IF(O2647&lt;&gt;"",O2647,IF(L2647&lt;&gt;"",L2647,F2647)))</f>
        <v>2</v>
      </c>
    </row>
    <row r="2648" customFormat="false" ht="15" hidden="false" customHeight="true" outlineLevel="0" collapsed="false">
      <c r="A2648" s="30" t="s">
        <v>312</v>
      </c>
      <c r="B2648" s="30"/>
      <c r="C2648" s="21" t="n">
        <f aca="false">IF(A2648="","",IFERROR(VLOOKUP(A2648,'Recert Status'!$A$8:$C$400,3,FALSE()),""))</f>
        <v>0</v>
      </c>
      <c r="D2648" s="31" t="s">
        <v>705</v>
      </c>
      <c r="E2648" s="30" t="s">
        <v>416</v>
      </c>
      <c r="F2648" s="32" t="n">
        <v>1.5</v>
      </c>
      <c r="G2648" s="33" t="n">
        <v>45896</v>
      </c>
      <c r="H2648" s="33" t="n">
        <v>45896</v>
      </c>
      <c r="I2648" s="31" t="s">
        <v>722</v>
      </c>
      <c r="J2648" s="30" t="s">
        <v>416</v>
      </c>
      <c r="K2648" s="31" t="s">
        <v>723</v>
      </c>
      <c r="L2648" s="32" t="n">
        <v>1.5</v>
      </c>
      <c r="M2648" s="39" t="s">
        <v>413</v>
      </c>
      <c r="N2648" s="31" t="s">
        <v>414</v>
      </c>
      <c r="O2648" s="32" t="n">
        <v>1.5</v>
      </c>
      <c r="P2648" s="15" t="n">
        <f aca="false">IF(A2648="","",IF(O2648&lt;&gt;"",O2648,IF(L2648&lt;&gt;"",L2648,F2648)))</f>
        <v>1.5</v>
      </c>
    </row>
    <row r="2649" customFormat="false" ht="15" hidden="false" customHeight="true" outlineLevel="0" collapsed="false">
      <c r="A2649" s="26" t="s">
        <v>312</v>
      </c>
      <c r="B2649" s="26"/>
      <c r="C2649" s="14" t="n">
        <f aca="false">IF(A2649="","",IFERROR(VLOOKUP(A2649,'Recert Status'!$A$8:$C$400,3,FALSE()),""))</f>
        <v>0</v>
      </c>
      <c r="D2649" s="18" t="s">
        <v>750</v>
      </c>
      <c r="E2649" s="26" t="s">
        <v>416</v>
      </c>
      <c r="F2649" s="27" t="n">
        <v>3</v>
      </c>
      <c r="G2649" s="28" t="n">
        <v>46001</v>
      </c>
      <c r="H2649" s="28" t="n">
        <v>46001</v>
      </c>
      <c r="I2649" s="18" t="s">
        <v>751</v>
      </c>
      <c r="J2649" s="26" t="s">
        <v>416</v>
      </c>
      <c r="K2649" s="18" t="s">
        <v>456</v>
      </c>
      <c r="L2649" s="27" t="n">
        <v>3</v>
      </c>
      <c r="M2649" s="39" t="s">
        <v>413</v>
      </c>
      <c r="N2649" s="18" t="s">
        <v>414</v>
      </c>
      <c r="O2649" s="27" t="n">
        <v>3</v>
      </c>
      <c r="P2649" s="15" t="n">
        <f aca="false">IF(A2649="","",IF(O2649&lt;&gt;"",O2649,IF(L2649&lt;&gt;"",L2649,F2649)))</f>
        <v>3</v>
      </c>
    </row>
    <row r="2650" customFormat="false" ht="15" hidden="false" customHeight="true" outlineLevel="0" collapsed="false">
      <c r="A2650" s="30" t="s">
        <v>312</v>
      </c>
      <c r="B2650" s="30"/>
      <c r="C2650" s="21" t="n">
        <f aca="false">IF(A2650="","",IFERROR(VLOOKUP(A2650,'Recert Status'!$A$8:$C$400,3,FALSE()),""))</f>
        <v>0</v>
      </c>
      <c r="D2650" s="31" t="s">
        <v>488</v>
      </c>
      <c r="E2650" s="30" t="s">
        <v>416</v>
      </c>
      <c r="F2650" s="32" t="n">
        <v>1</v>
      </c>
      <c r="G2650" s="33" t="n">
        <v>46139</v>
      </c>
      <c r="H2650" s="33" t="n">
        <v>46139</v>
      </c>
      <c r="I2650" s="31" t="s">
        <v>610</v>
      </c>
      <c r="J2650" s="30" t="s">
        <v>416</v>
      </c>
      <c r="K2650" s="31" t="s">
        <v>490</v>
      </c>
      <c r="L2650" s="32" t="n">
        <v>1</v>
      </c>
      <c r="M2650" s="39" t="s">
        <v>413</v>
      </c>
      <c r="N2650" s="31" t="s">
        <v>414</v>
      </c>
      <c r="O2650" s="32" t="n">
        <v>1</v>
      </c>
      <c r="P2650" s="15" t="n">
        <f aca="false">IF(A2650="","",IF(O2650&lt;&gt;"",O2650,IF(L2650&lt;&gt;"",L2650,F2650)))</f>
        <v>1</v>
      </c>
    </row>
    <row r="2651" customFormat="false" ht="15" hidden="false" customHeight="true" outlineLevel="0" collapsed="false">
      <c r="A2651" s="26" t="s">
        <v>313</v>
      </c>
      <c r="B2651" s="26"/>
      <c r="C2651" s="14" t="n">
        <f aca="false">IF(A2651="","",IFERROR(VLOOKUP(A2651,'Recert Status'!$A$8:$C$400,3,FALSE()),""))</f>
        <v>0</v>
      </c>
      <c r="D2651" s="18" t="s">
        <v>946</v>
      </c>
      <c r="E2651" s="26" t="s">
        <v>363</v>
      </c>
      <c r="F2651" s="27" t="n">
        <v>1</v>
      </c>
      <c r="G2651" s="28" t="n">
        <v>45867</v>
      </c>
      <c r="H2651" s="28" t="n">
        <v>45867</v>
      </c>
      <c r="I2651" s="18" t="s">
        <v>947</v>
      </c>
      <c r="J2651" s="26" t="s">
        <v>363</v>
      </c>
      <c r="K2651" s="18" t="s">
        <v>370</v>
      </c>
      <c r="L2651" s="27" t="n">
        <v>1</v>
      </c>
      <c r="M2651" s="29" t="s">
        <v>366</v>
      </c>
      <c r="N2651" s="18" t="s">
        <v>367</v>
      </c>
      <c r="O2651" s="27" t="n">
        <v>1</v>
      </c>
      <c r="P2651" s="15" t="n">
        <f aca="false">IF(A2651="","",IF(O2651&lt;&gt;"",O2651,IF(L2651&lt;&gt;"",L2651,F2651)))</f>
        <v>1</v>
      </c>
    </row>
    <row r="2652" customFormat="false" ht="15" hidden="false" customHeight="true" outlineLevel="0" collapsed="false">
      <c r="A2652" s="30" t="s">
        <v>313</v>
      </c>
      <c r="B2652" s="30"/>
      <c r="C2652" s="21" t="n">
        <f aca="false">IF(A2652="","",IFERROR(VLOOKUP(A2652,'Recert Status'!$A$8:$C$400,3,FALSE()),""))</f>
        <v>0</v>
      </c>
      <c r="D2652" s="31" t="s">
        <v>362</v>
      </c>
      <c r="E2652" s="30" t="n">
        <v>57404</v>
      </c>
      <c r="F2652" s="32" t="n">
        <v>2</v>
      </c>
      <c r="G2652" s="33" t="n">
        <v>45966</v>
      </c>
      <c r="H2652" s="33" t="n">
        <v>45966</v>
      </c>
      <c r="I2652" s="31" t="s">
        <v>948</v>
      </c>
      <c r="J2652" s="30" t="s">
        <v>728</v>
      </c>
      <c r="K2652" s="31" t="s">
        <v>365</v>
      </c>
      <c r="L2652" s="32" t="n">
        <v>1</v>
      </c>
      <c r="M2652" s="29" t="s">
        <v>366</v>
      </c>
      <c r="N2652" s="31" t="s">
        <v>367</v>
      </c>
      <c r="O2652" s="32" t="n">
        <v>1</v>
      </c>
      <c r="P2652" s="15" t="n">
        <f aca="false">IF(A2652="","",IF(O2652&lt;&gt;"",O2652,IF(L2652&lt;&gt;"",L2652,F2652)))</f>
        <v>1</v>
      </c>
    </row>
    <row r="2653" customFormat="false" ht="15" hidden="false" customHeight="true" outlineLevel="0" collapsed="false">
      <c r="A2653" s="26" t="s">
        <v>313</v>
      </c>
      <c r="B2653" s="26"/>
      <c r="C2653" s="14" t="n">
        <f aca="false">IF(A2653="","",IFERROR(VLOOKUP(A2653,'Recert Status'!$A$8:$C$400,3,FALSE()),""))</f>
        <v>0</v>
      </c>
      <c r="D2653" s="18" t="s">
        <v>1294</v>
      </c>
      <c r="E2653" s="26" t="s">
        <v>363</v>
      </c>
      <c r="F2653" s="27" t="n">
        <v>0.5</v>
      </c>
      <c r="G2653" s="28" t="n">
        <v>46017</v>
      </c>
      <c r="H2653" s="28" t="n">
        <v>46017</v>
      </c>
      <c r="I2653" s="18" t="s">
        <v>1295</v>
      </c>
      <c r="J2653" s="26" t="s">
        <v>363</v>
      </c>
      <c r="K2653" s="18" t="s">
        <v>365</v>
      </c>
      <c r="L2653" s="27" t="n">
        <v>0.5</v>
      </c>
      <c r="M2653" s="29" t="s">
        <v>366</v>
      </c>
      <c r="N2653" s="18" t="s">
        <v>367</v>
      </c>
      <c r="O2653" s="27" t="n">
        <v>0.5</v>
      </c>
      <c r="P2653" s="15" t="n">
        <f aca="false">IF(A2653="","",IF(O2653&lt;&gt;"",O2653,IF(L2653&lt;&gt;"",L2653,F2653)))</f>
        <v>0.5</v>
      </c>
    </row>
    <row r="2654" customFormat="false" ht="15" hidden="false" customHeight="true" outlineLevel="0" collapsed="false">
      <c r="A2654" s="30" t="s">
        <v>313</v>
      </c>
      <c r="B2654" s="30"/>
      <c r="C2654" s="21" t="n">
        <f aca="false">IF(A2654="","",IFERROR(VLOOKUP(A2654,'Recert Status'!$A$8:$C$400,3,FALSE()),""))</f>
        <v>0</v>
      </c>
      <c r="D2654" s="31" t="s">
        <v>569</v>
      </c>
      <c r="E2654" s="30" t="n">
        <v>57433</v>
      </c>
      <c r="F2654" s="32" t="n">
        <v>1</v>
      </c>
      <c r="G2654" s="33" t="n">
        <v>46017</v>
      </c>
      <c r="H2654" s="33" t="n">
        <v>46017</v>
      </c>
      <c r="I2654" s="31" t="s">
        <v>570</v>
      </c>
      <c r="J2654" s="30" t="s">
        <v>421</v>
      </c>
      <c r="K2654" s="31" t="s">
        <v>428</v>
      </c>
      <c r="L2654" s="32" t="n">
        <v>1</v>
      </c>
      <c r="M2654" s="40" t="s">
        <v>423</v>
      </c>
      <c r="N2654" s="31" t="s">
        <v>514</v>
      </c>
      <c r="O2654" s="32" t="n">
        <v>1</v>
      </c>
      <c r="P2654" s="15" t="n">
        <f aca="false">IF(A2654="","",IF(O2654&lt;&gt;"",O2654,IF(L2654&lt;&gt;"",L2654,F2654)))</f>
        <v>1</v>
      </c>
    </row>
    <row r="2655" customFormat="false" ht="15" hidden="false" customHeight="true" outlineLevel="0" collapsed="false">
      <c r="A2655" s="26" t="s">
        <v>313</v>
      </c>
      <c r="B2655" s="26"/>
      <c r="C2655" s="14" t="n">
        <f aca="false">IF(A2655="","",IFERROR(VLOOKUP(A2655,'Recert Status'!$A$8:$C$400,3,FALSE()),""))</f>
        <v>0</v>
      </c>
      <c r="D2655" s="18" t="s">
        <v>865</v>
      </c>
      <c r="E2655" s="26" t="s">
        <v>542</v>
      </c>
      <c r="F2655" s="27" t="n">
        <v>1</v>
      </c>
      <c r="G2655" s="28" t="n">
        <v>46056</v>
      </c>
      <c r="H2655" s="28" t="n">
        <v>46056</v>
      </c>
      <c r="I2655" s="18" t="s">
        <v>866</v>
      </c>
      <c r="J2655" s="26" t="s">
        <v>542</v>
      </c>
      <c r="K2655" s="18" t="s">
        <v>422</v>
      </c>
      <c r="L2655" s="27" t="n">
        <v>1</v>
      </c>
      <c r="M2655" s="40" t="s">
        <v>423</v>
      </c>
      <c r="N2655" s="18" t="s">
        <v>424</v>
      </c>
      <c r="O2655" s="27" t="n">
        <v>1</v>
      </c>
      <c r="P2655" s="15" t="n">
        <f aca="false">IF(A2655="","",IF(O2655&lt;&gt;"",O2655,IF(L2655&lt;&gt;"",L2655,F2655)))</f>
        <v>1</v>
      </c>
    </row>
    <row r="2656" customFormat="false" ht="15" hidden="false" customHeight="true" outlineLevel="0" collapsed="false">
      <c r="A2656" s="30" t="s">
        <v>313</v>
      </c>
      <c r="B2656" s="30"/>
      <c r="C2656" s="21" t="n">
        <f aca="false">IF(A2656="","",IFERROR(VLOOKUP(A2656,'Recert Status'!$A$8:$C$400,3,FALSE()),""))</f>
        <v>0</v>
      </c>
      <c r="D2656" s="31" t="s">
        <v>951</v>
      </c>
      <c r="E2656" s="30" t="s">
        <v>426</v>
      </c>
      <c r="F2656" s="32" t="n">
        <v>1</v>
      </c>
      <c r="G2656" s="33" t="n">
        <v>45912</v>
      </c>
      <c r="H2656" s="33" t="n">
        <v>45912</v>
      </c>
      <c r="I2656" s="31" t="s">
        <v>952</v>
      </c>
      <c r="J2656" s="30" t="s">
        <v>426</v>
      </c>
      <c r="K2656" s="31" t="s">
        <v>428</v>
      </c>
      <c r="L2656" s="32" t="n">
        <v>1</v>
      </c>
      <c r="M2656" s="41" t="s">
        <v>429</v>
      </c>
      <c r="N2656" s="31" t="s">
        <v>430</v>
      </c>
      <c r="O2656" s="32" t="n">
        <v>1</v>
      </c>
      <c r="P2656" s="15" t="n">
        <f aca="false">IF(A2656="","",IF(O2656&lt;&gt;"",O2656,IF(L2656&lt;&gt;"",L2656,F2656)))</f>
        <v>1</v>
      </c>
    </row>
    <row r="2657" customFormat="false" ht="15" hidden="false" customHeight="true" outlineLevel="0" collapsed="false">
      <c r="A2657" s="26" t="s">
        <v>313</v>
      </c>
      <c r="B2657" s="26"/>
      <c r="C2657" s="14" t="n">
        <f aca="false">IF(A2657="","",IFERROR(VLOOKUP(A2657,'Recert Status'!$A$8:$C$400,3,FALSE()),""))</f>
        <v>0</v>
      </c>
      <c r="D2657" s="18" t="s">
        <v>1066</v>
      </c>
      <c r="E2657" s="26" t="n">
        <v>57408</v>
      </c>
      <c r="F2657" s="27" t="n">
        <v>1.5</v>
      </c>
      <c r="G2657" s="28" t="n">
        <v>45979</v>
      </c>
      <c r="H2657" s="28" t="n">
        <v>45979</v>
      </c>
      <c r="I2657" s="18" t="s">
        <v>1067</v>
      </c>
      <c r="J2657" s="26" t="s">
        <v>1068</v>
      </c>
      <c r="K2657" s="18" t="s">
        <v>428</v>
      </c>
      <c r="L2657" s="27" t="n">
        <v>1.5</v>
      </c>
      <c r="M2657" s="41" t="s">
        <v>429</v>
      </c>
      <c r="N2657" s="18" t="s">
        <v>430</v>
      </c>
      <c r="O2657" s="27" t="n">
        <v>1.5</v>
      </c>
      <c r="P2657" s="15" t="n">
        <f aca="false">IF(A2657="","",IF(O2657&lt;&gt;"",O2657,IF(L2657&lt;&gt;"",L2657,F2657)))</f>
        <v>1.5</v>
      </c>
    </row>
    <row r="2658" customFormat="false" ht="15" hidden="false" customHeight="true" outlineLevel="0" collapsed="false">
      <c r="A2658" s="30" t="s">
        <v>313</v>
      </c>
      <c r="B2658" s="30"/>
      <c r="C2658" s="21" t="n">
        <f aca="false">IF(A2658="","",IFERROR(VLOOKUP(A2658,'Recert Status'!$A$8:$C$400,3,FALSE()),""))</f>
        <v>0</v>
      </c>
      <c r="D2658" s="31" t="s">
        <v>1012</v>
      </c>
      <c r="E2658" s="30" t="s">
        <v>372</v>
      </c>
      <c r="F2658" s="32" t="n">
        <v>0.5</v>
      </c>
      <c r="G2658" s="33" t="n">
        <v>45762</v>
      </c>
      <c r="H2658" s="33" t="n">
        <v>45762</v>
      </c>
      <c r="I2658" s="31" t="s">
        <v>1701</v>
      </c>
      <c r="J2658" s="30" t="s">
        <v>372</v>
      </c>
      <c r="K2658" s="31" t="s">
        <v>374</v>
      </c>
      <c r="L2658" s="32" t="n">
        <v>0.5</v>
      </c>
      <c r="M2658" s="34" t="s">
        <v>375</v>
      </c>
      <c r="N2658" s="31" t="s">
        <v>376</v>
      </c>
      <c r="O2658" s="32" t="n">
        <v>0.5</v>
      </c>
      <c r="P2658" s="15" t="n">
        <f aca="false">IF(A2658="","",IF(O2658&lt;&gt;"",O2658,IF(L2658&lt;&gt;"",L2658,F2658)))</f>
        <v>0.5</v>
      </c>
    </row>
    <row r="2659" customFormat="false" ht="15" hidden="false" customHeight="true" outlineLevel="0" collapsed="false">
      <c r="A2659" s="26" t="s">
        <v>313</v>
      </c>
      <c r="B2659" s="26"/>
      <c r="C2659" s="14" t="n">
        <f aca="false">IF(A2659="","",IFERROR(VLOOKUP(A2659,'Recert Status'!$A$8:$C$400,3,FALSE()),""))</f>
        <v>0</v>
      </c>
      <c r="D2659" s="18" t="s">
        <v>953</v>
      </c>
      <c r="E2659" s="26" t="n">
        <v>29668</v>
      </c>
      <c r="F2659" s="27" t="n">
        <v>1</v>
      </c>
      <c r="G2659" s="28" t="n">
        <v>45867</v>
      </c>
      <c r="H2659" s="28" t="n">
        <v>45867</v>
      </c>
      <c r="I2659" s="18" t="s">
        <v>954</v>
      </c>
      <c r="J2659" s="26" t="s">
        <v>511</v>
      </c>
      <c r="K2659" s="18" t="s">
        <v>509</v>
      </c>
      <c r="L2659" s="27" t="n">
        <v>1</v>
      </c>
      <c r="M2659" s="35" t="s">
        <v>386</v>
      </c>
      <c r="N2659" s="18" t="s">
        <v>387</v>
      </c>
      <c r="O2659" s="27" t="n">
        <v>1</v>
      </c>
      <c r="P2659" s="15" t="n">
        <f aca="false">IF(A2659="","",IF(O2659&lt;&gt;"",O2659,IF(L2659&lt;&gt;"",L2659,F2659)))</f>
        <v>1</v>
      </c>
    </row>
    <row r="2660" customFormat="false" ht="15" hidden="false" customHeight="true" outlineLevel="0" collapsed="false">
      <c r="A2660" s="30" t="s">
        <v>313</v>
      </c>
      <c r="B2660" s="30"/>
      <c r="C2660" s="21" t="n">
        <f aca="false">IF(A2660="","",IFERROR(VLOOKUP(A2660,'Recert Status'!$A$8:$C$400,3,FALSE()),""))</f>
        <v>0</v>
      </c>
      <c r="D2660" s="31" t="s">
        <v>1088</v>
      </c>
      <c r="E2660" s="30" t="n">
        <v>29740</v>
      </c>
      <c r="F2660" s="32" t="n">
        <v>1</v>
      </c>
      <c r="G2660" s="33" t="n">
        <v>45987</v>
      </c>
      <c r="H2660" s="33" t="n">
        <v>45987</v>
      </c>
      <c r="I2660" s="31" t="s">
        <v>1089</v>
      </c>
      <c r="J2660" s="30" t="s">
        <v>394</v>
      </c>
      <c r="K2660" s="31" t="s">
        <v>468</v>
      </c>
      <c r="L2660" s="32" t="n">
        <v>1</v>
      </c>
      <c r="M2660" s="35" t="s">
        <v>386</v>
      </c>
      <c r="N2660" s="31" t="s">
        <v>387</v>
      </c>
      <c r="O2660" s="32" t="n">
        <v>1</v>
      </c>
      <c r="P2660" s="15" t="n">
        <f aca="false">IF(A2660="","",IF(O2660&lt;&gt;"",O2660,IF(L2660&lt;&gt;"",L2660,F2660)))</f>
        <v>1</v>
      </c>
    </row>
    <row r="2661" customFormat="false" ht="15" hidden="false" customHeight="true" outlineLevel="0" collapsed="false">
      <c r="A2661" s="26" t="s">
        <v>313</v>
      </c>
      <c r="B2661" s="26"/>
      <c r="C2661" s="14" t="n">
        <f aca="false">IF(A2661="","",IFERROR(VLOOKUP(A2661,'Recert Status'!$A$8:$C$400,3,FALSE()),""))</f>
        <v>0</v>
      </c>
      <c r="D2661" s="18" t="s">
        <v>1297</v>
      </c>
      <c r="E2661" s="26" t="s">
        <v>389</v>
      </c>
      <c r="F2661" s="27" t="n">
        <v>1.5</v>
      </c>
      <c r="G2661" s="28" t="n">
        <v>46011</v>
      </c>
      <c r="H2661" s="28" t="n">
        <v>46011</v>
      </c>
      <c r="I2661" s="18" t="s">
        <v>1298</v>
      </c>
      <c r="J2661" s="26" t="s">
        <v>389</v>
      </c>
      <c r="K2661" s="18" t="s">
        <v>451</v>
      </c>
      <c r="L2661" s="27" t="n">
        <v>1.5</v>
      </c>
      <c r="M2661" s="35" t="s">
        <v>386</v>
      </c>
      <c r="N2661" s="18" t="s">
        <v>387</v>
      </c>
      <c r="O2661" s="27" t="n">
        <v>1.5</v>
      </c>
      <c r="P2661" s="15" t="n">
        <f aca="false">IF(A2661="","",IF(O2661&lt;&gt;"",O2661,IF(L2661&lt;&gt;"",L2661,F2661)))</f>
        <v>1.5</v>
      </c>
    </row>
    <row r="2662" customFormat="false" ht="15" hidden="false" customHeight="true" outlineLevel="0" collapsed="false">
      <c r="A2662" s="30" t="s">
        <v>313</v>
      </c>
      <c r="B2662" s="30"/>
      <c r="C2662" s="21" t="n">
        <f aca="false">IF(A2662="","",IFERROR(VLOOKUP(A2662,'Recert Status'!$A$8:$C$400,3,FALSE()),""))</f>
        <v>0</v>
      </c>
      <c r="D2662" s="31" t="s">
        <v>787</v>
      </c>
      <c r="E2662" s="30" t="n">
        <v>29784</v>
      </c>
      <c r="F2662" s="32" t="n">
        <v>1.5</v>
      </c>
      <c r="G2662" s="33" t="n">
        <v>46011</v>
      </c>
      <c r="H2662" s="33" t="n">
        <v>46011</v>
      </c>
      <c r="I2662" s="31" t="s">
        <v>1299</v>
      </c>
      <c r="J2662" s="30" t="s">
        <v>435</v>
      </c>
      <c r="K2662" s="31" t="s">
        <v>468</v>
      </c>
      <c r="L2662" s="32" t="n">
        <v>1.5</v>
      </c>
      <c r="M2662" s="35" t="s">
        <v>386</v>
      </c>
      <c r="N2662" s="31" t="s">
        <v>387</v>
      </c>
      <c r="O2662" s="32" t="n">
        <v>1.5</v>
      </c>
      <c r="P2662" s="15" t="n">
        <f aca="false">IF(A2662="","",IF(O2662&lt;&gt;"",O2662,IF(L2662&lt;&gt;"",L2662,F2662)))</f>
        <v>1.5</v>
      </c>
    </row>
    <row r="2663" customFormat="false" ht="15" hidden="false" customHeight="true" outlineLevel="0" collapsed="false">
      <c r="A2663" s="26" t="s">
        <v>313</v>
      </c>
      <c r="B2663" s="26"/>
      <c r="C2663" s="14" t="n">
        <f aca="false">IF(A2663="","",IFERROR(VLOOKUP(A2663,'Recert Status'!$A$8:$C$400,3,FALSE()),""))</f>
        <v>0</v>
      </c>
      <c r="D2663" s="18" t="s">
        <v>1437</v>
      </c>
      <c r="E2663" s="26" t="n">
        <v>29740</v>
      </c>
      <c r="F2663" s="27" t="n">
        <v>2</v>
      </c>
      <c r="G2663" s="28" t="n">
        <v>46016</v>
      </c>
      <c r="H2663" s="28" t="n">
        <v>46016</v>
      </c>
      <c r="I2663" s="18" t="s">
        <v>1438</v>
      </c>
      <c r="J2663" s="26" t="s">
        <v>394</v>
      </c>
      <c r="K2663" s="18" t="s">
        <v>504</v>
      </c>
      <c r="L2663" s="27" t="n">
        <v>2</v>
      </c>
      <c r="M2663" s="35" t="s">
        <v>386</v>
      </c>
      <c r="N2663" s="18" t="s">
        <v>387</v>
      </c>
      <c r="O2663" s="27" t="n">
        <v>2</v>
      </c>
      <c r="P2663" s="15" t="n">
        <f aca="false">IF(A2663="","",IF(O2663&lt;&gt;"",O2663,IF(L2663&lt;&gt;"",L2663,F2663)))</f>
        <v>2</v>
      </c>
    </row>
    <row r="2664" customFormat="false" ht="15" hidden="false" customHeight="true" outlineLevel="0" collapsed="false">
      <c r="A2664" s="30" t="s">
        <v>313</v>
      </c>
      <c r="B2664" s="30"/>
      <c r="C2664" s="21" t="n">
        <f aca="false">IF(A2664="","",IFERROR(VLOOKUP(A2664,'Recert Status'!$A$8:$C$400,3,FALSE()),""))</f>
        <v>0</v>
      </c>
      <c r="D2664" s="31" t="s">
        <v>732</v>
      </c>
      <c r="E2664" s="30" t="n">
        <v>29740</v>
      </c>
      <c r="F2664" s="32" t="n">
        <v>1</v>
      </c>
      <c r="G2664" s="33" t="n">
        <v>46140</v>
      </c>
      <c r="H2664" s="33" t="n">
        <v>46140</v>
      </c>
      <c r="I2664" s="31" t="s">
        <v>868</v>
      </c>
      <c r="J2664" s="30" t="s">
        <v>394</v>
      </c>
      <c r="K2664" s="31" t="s">
        <v>869</v>
      </c>
      <c r="L2664" s="32" t="n">
        <v>1</v>
      </c>
      <c r="M2664" s="35" t="s">
        <v>386</v>
      </c>
      <c r="N2664" s="31" t="s">
        <v>387</v>
      </c>
      <c r="O2664" s="32" t="n">
        <v>1</v>
      </c>
      <c r="P2664" s="15" t="n">
        <f aca="false">IF(A2664="","",IF(O2664&lt;&gt;"",O2664,IF(L2664&lt;&gt;"",L2664,F2664)))</f>
        <v>1</v>
      </c>
    </row>
    <row r="2665" customFormat="false" ht="15" hidden="false" customHeight="true" outlineLevel="0" collapsed="false">
      <c r="A2665" s="26" t="s">
        <v>313</v>
      </c>
      <c r="B2665" s="26"/>
      <c r="C2665" s="14" t="n">
        <f aca="false">IF(A2665="","",IFERROR(VLOOKUP(A2665,'Recert Status'!$A$8:$C$400,3,FALSE()),""))</f>
        <v>0</v>
      </c>
      <c r="D2665" s="18" t="s">
        <v>1300</v>
      </c>
      <c r="E2665" s="26" t="s">
        <v>452</v>
      </c>
      <c r="F2665" s="27" t="n">
        <v>1.5</v>
      </c>
      <c r="G2665" s="28" t="n">
        <v>46011</v>
      </c>
      <c r="H2665" s="28" t="n">
        <v>46011</v>
      </c>
      <c r="I2665" s="18" t="s">
        <v>1301</v>
      </c>
      <c r="J2665" s="26" t="s">
        <v>452</v>
      </c>
      <c r="K2665" s="18" t="s">
        <v>385</v>
      </c>
      <c r="L2665" s="27" t="n">
        <v>1.5</v>
      </c>
      <c r="M2665" s="36" t="s">
        <v>396</v>
      </c>
      <c r="N2665" s="18" t="s">
        <v>397</v>
      </c>
      <c r="O2665" s="27" t="n">
        <v>1.5</v>
      </c>
      <c r="P2665" s="15" t="n">
        <f aca="false">IF(A2665="","",IF(O2665&lt;&gt;"",O2665,IF(L2665&lt;&gt;"",L2665,F2665)))</f>
        <v>1.5</v>
      </c>
    </row>
    <row r="2666" customFormat="false" ht="15" hidden="false" customHeight="true" outlineLevel="0" collapsed="false">
      <c r="A2666" s="30" t="s">
        <v>313</v>
      </c>
      <c r="B2666" s="30"/>
      <c r="C2666" s="21" t="n">
        <f aca="false">IF(A2666="","",IFERROR(VLOOKUP(A2666,'Recert Status'!$A$8:$C$400,3,FALSE()),""))</f>
        <v>0</v>
      </c>
      <c r="D2666" s="31" t="s">
        <v>1302</v>
      </c>
      <c r="E2666" s="30" t="s">
        <v>452</v>
      </c>
      <c r="F2666" s="32" t="n">
        <v>1</v>
      </c>
      <c r="G2666" s="33" t="n">
        <v>46017</v>
      </c>
      <c r="H2666" s="33" t="n">
        <v>46017</v>
      </c>
      <c r="I2666" s="31" t="s">
        <v>1303</v>
      </c>
      <c r="J2666" s="30" t="s">
        <v>452</v>
      </c>
      <c r="K2666" s="31" t="s">
        <v>385</v>
      </c>
      <c r="L2666" s="32" t="n">
        <v>1</v>
      </c>
      <c r="M2666" s="36" t="s">
        <v>396</v>
      </c>
      <c r="N2666" s="31" t="s">
        <v>397</v>
      </c>
      <c r="O2666" s="32" t="n">
        <v>1</v>
      </c>
      <c r="P2666" s="15" t="n">
        <f aca="false">IF(A2666="","",IF(O2666&lt;&gt;"",O2666,IF(L2666&lt;&gt;"",L2666,F2666)))</f>
        <v>1</v>
      </c>
    </row>
    <row r="2667" customFormat="false" ht="15" hidden="false" customHeight="true" outlineLevel="0" collapsed="false">
      <c r="A2667" s="26" t="s">
        <v>313</v>
      </c>
      <c r="B2667" s="26"/>
      <c r="C2667" s="14" t="n">
        <f aca="false">IF(A2667="","",IFERROR(VLOOKUP(A2667,'Recert Status'!$A$8:$C$400,3,FALSE()),""))</f>
        <v>0</v>
      </c>
      <c r="D2667" s="18" t="s">
        <v>578</v>
      </c>
      <c r="E2667" s="26" t="s">
        <v>416</v>
      </c>
      <c r="F2667" s="27" t="n">
        <v>5</v>
      </c>
      <c r="G2667" s="28" t="n">
        <v>45825</v>
      </c>
      <c r="H2667" s="28" t="n">
        <v>45825</v>
      </c>
      <c r="I2667" s="18" t="s">
        <v>579</v>
      </c>
      <c r="J2667" s="26" t="s">
        <v>416</v>
      </c>
      <c r="K2667" s="18" t="s">
        <v>418</v>
      </c>
      <c r="L2667" s="27" t="n">
        <v>5</v>
      </c>
      <c r="M2667" s="39" t="s">
        <v>413</v>
      </c>
      <c r="N2667" s="18" t="s">
        <v>414</v>
      </c>
      <c r="O2667" s="27" t="n">
        <v>5</v>
      </c>
      <c r="P2667" s="15" t="n">
        <f aca="false">IF(A2667="","",IF(O2667&lt;&gt;"",O2667,IF(L2667&lt;&gt;"",L2667,F2667)))</f>
        <v>5</v>
      </c>
    </row>
    <row r="2668" customFormat="false" ht="15" hidden="false" customHeight="true" outlineLevel="0" collapsed="false">
      <c r="A2668" s="30" t="s">
        <v>313</v>
      </c>
      <c r="B2668" s="30"/>
      <c r="C2668" s="21" t="n">
        <f aca="false">IF(A2668="","",IFERROR(VLOOKUP(A2668,'Recert Status'!$A$8:$C$400,3,FALSE()),""))</f>
        <v>0</v>
      </c>
      <c r="D2668" s="31" t="s">
        <v>957</v>
      </c>
      <c r="E2668" s="30" t="s">
        <v>416</v>
      </c>
      <c r="F2668" s="32" t="n">
        <v>1</v>
      </c>
      <c r="G2668" s="33" t="n">
        <v>45843</v>
      </c>
      <c r="H2668" s="33" t="n">
        <v>45843</v>
      </c>
      <c r="I2668" s="31" t="s">
        <v>958</v>
      </c>
      <c r="J2668" s="30" t="s">
        <v>416</v>
      </c>
      <c r="K2668" s="31" t="s">
        <v>674</v>
      </c>
      <c r="L2668" s="32" t="n">
        <v>1</v>
      </c>
      <c r="M2668" s="39" t="s">
        <v>413</v>
      </c>
      <c r="N2668" s="31" t="s">
        <v>414</v>
      </c>
      <c r="O2668" s="32" t="n">
        <v>1</v>
      </c>
      <c r="P2668" s="15" t="n">
        <f aca="false">IF(A2668="","",IF(O2668&lt;&gt;"",O2668,IF(L2668&lt;&gt;"",L2668,F2668)))</f>
        <v>1</v>
      </c>
    </row>
    <row r="2669" customFormat="false" ht="15" hidden="false" customHeight="true" outlineLevel="0" collapsed="false">
      <c r="A2669" s="26" t="s">
        <v>313</v>
      </c>
      <c r="B2669" s="26"/>
      <c r="C2669" s="14" t="n">
        <f aca="false">IF(A2669="","",IFERROR(VLOOKUP(A2669,'Recert Status'!$A$8:$C$400,3,FALSE()),""))</f>
        <v>0</v>
      </c>
      <c r="D2669" s="18" t="s">
        <v>582</v>
      </c>
      <c r="E2669" s="26" t="s">
        <v>416</v>
      </c>
      <c r="F2669" s="27" t="n">
        <v>2</v>
      </c>
      <c r="G2669" s="28" t="n">
        <v>45861</v>
      </c>
      <c r="H2669" s="28" t="n">
        <v>45861</v>
      </c>
      <c r="I2669" s="18" t="s">
        <v>583</v>
      </c>
      <c r="J2669" s="26" t="s">
        <v>416</v>
      </c>
      <c r="K2669" s="18" t="s">
        <v>418</v>
      </c>
      <c r="L2669" s="27" t="n">
        <v>2</v>
      </c>
      <c r="M2669" s="39" t="s">
        <v>413</v>
      </c>
      <c r="N2669" s="18" t="s">
        <v>414</v>
      </c>
      <c r="O2669" s="27" t="n">
        <v>2</v>
      </c>
      <c r="P2669" s="15" t="n">
        <f aca="false">IF(A2669="","",IF(O2669&lt;&gt;"",O2669,IF(L2669&lt;&gt;"",L2669,F2669)))</f>
        <v>2</v>
      </c>
    </row>
    <row r="2670" customFormat="false" ht="15" hidden="false" customHeight="true" outlineLevel="0" collapsed="false">
      <c r="A2670" s="30" t="s">
        <v>314</v>
      </c>
      <c r="B2670" s="30" t="s">
        <v>315</v>
      </c>
      <c r="C2670" s="21" t="n">
        <f aca="false">IF(A2670="","",IFERROR(VLOOKUP(A2670,'Recert Status'!$A$8:$C$400,3,FALSE()),""))</f>
        <v>46752</v>
      </c>
      <c r="D2670" s="31" t="s">
        <v>1702</v>
      </c>
      <c r="E2670" s="30" t="s">
        <v>363</v>
      </c>
      <c r="F2670" s="32" t="n">
        <v>1</v>
      </c>
      <c r="G2670" s="33" t="n">
        <v>45675</v>
      </c>
      <c r="H2670" s="33" t="n">
        <v>45675</v>
      </c>
      <c r="I2670" s="31" t="s">
        <v>1703</v>
      </c>
      <c r="J2670" s="30" t="s">
        <v>363</v>
      </c>
      <c r="K2670" s="31" t="s">
        <v>365</v>
      </c>
      <c r="L2670" s="32" t="n">
        <v>1</v>
      </c>
      <c r="M2670" s="29" t="s">
        <v>366</v>
      </c>
      <c r="N2670" s="31" t="s">
        <v>367</v>
      </c>
      <c r="O2670" s="32" t="n">
        <v>1</v>
      </c>
      <c r="P2670" s="15" t="n">
        <f aca="false">IF(A2670="","",IF(O2670&lt;&gt;"",O2670,IF(L2670&lt;&gt;"",L2670,F2670)))</f>
        <v>1</v>
      </c>
    </row>
    <row r="2671" customFormat="false" ht="15" hidden="false" customHeight="true" outlineLevel="0" collapsed="false">
      <c r="A2671" s="26" t="s">
        <v>314</v>
      </c>
      <c r="B2671" s="26" t="s">
        <v>315</v>
      </c>
      <c r="C2671" s="14" t="n">
        <f aca="false">IF(A2671="","",IFERROR(VLOOKUP(A2671,'Recert Status'!$A$8:$C$400,3,FALSE()),""))</f>
        <v>46752</v>
      </c>
      <c r="D2671" s="18" t="s">
        <v>811</v>
      </c>
      <c r="E2671" s="26" t="s">
        <v>363</v>
      </c>
      <c r="F2671" s="27" t="n">
        <v>1</v>
      </c>
      <c r="G2671" s="28" t="n">
        <v>45783</v>
      </c>
      <c r="H2671" s="28" t="n">
        <v>45783</v>
      </c>
      <c r="I2671" s="18" t="s">
        <v>812</v>
      </c>
      <c r="J2671" s="26" t="s">
        <v>363</v>
      </c>
      <c r="K2671" s="18" t="s">
        <v>813</v>
      </c>
      <c r="L2671" s="27" t="n">
        <v>1</v>
      </c>
      <c r="M2671" s="29" t="s">
        <v>366</v>
      </c>
      <c r="N2671" s="18" t="s">
        <v>367</v>
      </c>
      <c r="O2671" s="27" t="n">
        <v>1</v>
      </c>
      <c r="P2671" s="15" t="n">
        <f aca="false">IF(A2671="","",IF(O2671&lt;&gt;"",O2671,IF(L2671&lt;&gt;"",L2671,F2671)))</f>
        <v>1</v>
      </c>
    </row>
    <row r="2672" customFormat="false" ht="15" hidden="false" customHeight="true" outlineLevel="0" collapsed="false">
      <c r="A2672" s="30" t="s">
        <v>314</v>
      </c>
      <c r="B2672" s="30" t="s">
        <v>315</v>
      </c>
      <c r="C2672" s="21" t="n">
        <f aca="false">IF(A2672="","",IFERROR(VLOOKUP(A2672,'Recert Status'!$A$8:$C$400,3,FALSE()),""))</f>
        <v>46752</v>
      </c>
      <c r="D2672" s="31" t="s">
        <v>1281</v>
      </c>
      <c r="E2672" s="30" t="s">
        <v>363</v>
      </c>
      <c r="F2672" s="32" t="n">
        <v>1</v>
      </c>
      <c r="G2672" s="33" t="n">
        <v>45912</v>
      </c>
      <c r="H2672" s="33" t="n">
        <v>45912</v>
      </c>
      <c r="I2672" s="31" t="s">
        <v>1282</v>
      </c>
      <c r="J2672" s="30" t="s">
        <v>363</v>
      </c>
      <c r="K2672" s="31" t="s">
        <v>813</v>
      </c>
      <c r="L2672" s="32" t="n">
        <v>1</v>
      </c>
      <c r="M2672" s="29" t="s">
        <v>366</v>
      </c>
      <c r="N2672" s="31" t="s">
        <v>367</v>
      </c>
      <c r="O2672" s="32" t="n">
        <v>1</v>
      </c>
      <c r="P2672" s="15" t="n">
        <f aca="false">IF(A2672="","",IF(O2672&lt;&gt;"",O2672,IF(L2672&lt;&gt;"",L2672,F2672)))</f>
        <v>1</v>
      </c>
    </row>
    <row r="2673" customFormat="false" ht="15" hidden="false" customHeight="true" outlineLevel="0" collapsed="false">
      <c r="A2673" s="26" t="s">
        <v>314</v>
      </c>
      <c r="B2673" s="26" t="s">
        <v>315</v>
      </c>
      <c r="C2673" s="14" t="n">
        <f aca="false">IF(A2673="","",IFERROR(VLOOKUP(A2673,'Recert Status'!$A$8:$C$400,3,FALSE()),""))</f>
        <v>46752</v>
      </c>
      <c r="D2673" s="18" t="s">
        <v>1174</v>
      </c>
      <c r="E2673" s="26" t="s">
        <v>542</v>
      </c>
      <c r="F2673" s="27" t="n">
        <v>1</v>
      </c>
      <c r="G2673" s="28" t="n">
        <v>45783</v>
      </c>
      <c r="H2673" s="28" t="n">
        <v>45783</v>
      </c>
      <c r="I2673" s="18" t="s">
        <v>1175</v>
      </c>
      <c r="J2673" s="26" t="s">
        <v>542</v>
      </c>
      <c r="K2673" s="18" t="s">
        <v>422</v>
      </c>
      <c r="L2673" s="27" t="n">
        <v>1</v>
      </c>
      <c r="M2673" s="40" t="s">
        <v>423</v>
      </c>
      <c r="N2673" s="18" t="s">
        <v>424</v>
      </c>
      <c r="O2673" s="27" t="n">
        <v>1</v>
      </c>
      <c r="P2673" s="15" t="n">
        <f aca="false">IF(A2673="","",IF(O2673&lt;&gt;"",O2673,IF(L2673&lt;&gt;"",L2673,F2673)))</f>
        <v>1</v>
      </c>
    </row>
    <row r="2674" customFormat="false" ht="15" hidden="false" customHeight="true" outlineLevel="0" collapsed="false">
      <c r="A2674" s="30" t="s">
        <v>314</v>
      </c>
      <c r="B2674" s="30" t="s">
        <v>315</v>
      </c>
      <c r="C2674" s="21" t="n">
        <f aca="false">IF(A2674="","",IFERROR(VLOOKUP(A2674,'Recert Status'!$A$8:$C$400,3,FALSE()),""))</f>
        <v>46752</v>
      </c>
      <c r="D2674" s="31" t="s">
        <v>949</v>
      </c>
      <c r="E2674" s="30" t="s">
        <v>542</v>
      </c>
      <c r="F2674" s="32" t="n">
        <v>1</v>
      </c>
      <c r="G2674" s="33" t="n">
        <v>46056</v>
      </c>
      <c r="H2674" s="33" t="n">
        <v>46056</v>
      </c>
      <c r="I2674" s="31" t="s">
        <v>950</v>
      </c>
      <c r="J2674" s="30" t="s">
        <v>542</v>
      </c>
      <c r="K2674" s="31" t="s">
        <v>422</v>
      </c>
      <c r="L2674" s="32" t="n">
        <v>1</v>
      </c>
      <c r="M2674" s="40" t="s">
        <v>423</v>
      </c>
      <c r="N2674" s="31" t="s">
        <v>424</v>
      </c>
      <c r="O2674" s="32" t="n">
        <v>1</v>
      </c>
      <c r="P2674" s="15" t="n">
        <f aca="false">IF(A2674="","",IF(O2674&lt;&gt;"",O2674,IF(L2674&lt;&gt;"",L2674,F2674)))</f>
        <v>1</v>
      </c>
    </row>
    <row r="2675" customFormat="false" ht="15" hidden="false" customHeight="true" outlineLevel="0" collapsed="false">
      <c r="A2675" s="26" t="s">
        <v>314</v>
      </c>
      <c r="B2675" s="26" t="s">
        <v>315</v>
      </c>
      <c r="C2675" s="14" t="n">
        <f aca="false">IF(A2675="","",IFERROR(VLOOKUP(A2675,'Recert Status'!$A$8:$C$400,3,FALSE()),""))</f>
        <v>46752</v>
      </c>
      <c r="D2675" s="18" t="s">
        <v>1283</v>
      </c>
      <c r="E2675" s="26" t="s">
        <v>426</v>
      </c>
      <c r="F2675" s="27" t="n">
        <v>1</v>
      </c>
      <c r="G2675" s="28" t="n">
        <v>45912</v>
      </c>
      <c r="H2675" s="28" t="n">
        <v>45912</v>
      </c>
      <c r="I2675" s="18" t="s">
        <v>1284</v>
      </c>
      <c r="J2675" s="26" t="s">
        <v>426</v>
      </c>
      <c r="K2675" s="18" t="s">
        <v>526</v>
      </c>
      <c r="L2675" s="27" t="n">
        <v>1</v>
      </c>
      <c r="M2675" s="41" t="s">
        <v>429</v>
      </c>
      <c r="N2675" s="18" t="s">
        <v>430</v>
      </c>
      <c r="O2675" s="27" t="n">
        <v>1</v>
      </c>
      <c r="P2675" s="15" t="n">
        <f aca="false">IF(A2675="","",IF(O2675&lt;&gt;"",O2675,IF(L2675&lt;&gt;"",L2675,F2675)))</f>
        <v>1</v>
      </c>
    </row>
    <row r="2676" customFormat="false" ht="15" hidden="false" customHeight="true" outlineLevel="0" collapsed="false">
      <c r="A2676" s="30" t="s">
        <v>314</v>
      </c>
      <c r="B2676" s="30" t="s">
        <v>315</v>
      </c>
      <c r="C2676" s="21" t="n">
        <f aca="false">IF(A2676="","",IFERROR(VLOOKUP(A2676,'Recert Status'!$A$8:$C$400,3,FALSE()),""))</f>
        <v>46752</v>
      </c>
      <c r="D2676" s="31" t="s">
        <v>1704</v>
      </c>
      <c r="E2676" s="30" t="n">
        <v>29784</v>
      </c>
      <c r="F2676" s="32" t="n">
        <v>4</v>
      </c>
      <c r="G2676" s="33" t="n">
        <v>45687</v>
      </c>
      <c r="H2676" s="33" t="n">
        <v>45687</v>
      </c>
      <c r="I2676" s="31" t="s">
        <v>1705</v>
      </c>
      <c r="J2676" s="30" t="s">
        <v>435</v>
      </c>
      <c r="K2676" s="31" t="s">
        <v>529</v>
      </c>
      <c r="L2676" s="32" t="n">
        <v>2</v>
      </c>
      <c r="M2676" s="35" t="s">
        <v>386</v>
      </c>
      <c r="N2676" s="31" t="s">
        <v>1706</v>
      </c>
      <c r="O2676" s="32" t="n">
        <v>4</v>
      </c>
      <c r="P2676" s="15" t="n">
        <f aca="false">IF(A2676="","",IF(O2676&lt;&gt;"",O2676,IF(L2676&lt;&gt;"",L2676,F2676)))</f>
        <v>4</v>
      </c>
    </row>
    <row r="2677" customFormat="false" ht="15" hidden="false" customHeight="true" outlineLevel="0" collapsed="false">
      <c r="A2677" s="26" t="s">
        <v>314</v>
      </c>
      <c r="B2677" s="26" t="s">
        <v>315</v>
      </c>
      <c r="C2677" s="14" t="n">
        <f aca="false">IF(A2677="","",IFERROR(VLOOKUP(A2677,'Recert Status'!$A$8:$C$400,3,FALSE()),""))</f>
        <v>46752</v>
      </c>
      <c r="D2677" s="18" t="s">
        <v>1180</v>
      </c>
      <c r="E2677" s="26" t="n">
        <v>29735</v>
      </c>
      <c r="F2677" s="27" t="n">
        <v>0.5</v>
      </c>
      <c r="G2677" s="28" t="n">
        <v>45720</v>
      </c>
      <c r="H2677" s="28" t="n">
        <v>45720</v>
      </c>
      <c r="I2677" s="18" t="s">
        <v>1181</v>
      </c>
      <c r="J2677" s="26" t="s">
        <v>599</v>
      </c>
      <c r="K2677" s="18" t="s">
        <v>600</v>
      </c>
      <c r="L2677" s="27" t="n">
        <v>0.5</v>
      </c>
      <c r="M2677" s="35" t="s">
        <v>386</v>
      </c>
      <c r="N2677" s="18" t="s">
        <v>387</v>
      </c>
      <c r="O2677" s="27" t="n">
        <v>0.5</v>
      </c>
      <c r="P2677" s="15" t="n">
        <f aca="false">IF(A2677="","",IF(O2677&lt;&gt;"",O2677,IF(L2677&lt;&gt;"",L2677,F2677)))</f>
        <v>0.5</v>
      </c>
    </row>
    <row r="2678" customFormat="false" ht="15" hidden="false" customHeight="true" outlineLevel="0" collapsed="false">
      <c r="A2678" s="30" t="s">
        <v>314</v>
      </c>
      <c r="B2678" s="30" t="s">
        <v>315</v>
      </c>
      <c r="C2678" s="21" t="n">
        <f aca="false">IF(A2678="","",IFERROR(VLOOKUP(A2678,'Recert Status'!$A$8:$C$400,3,FALSE()),""))</f>
        <v>46752</v>
      </c>
      <c r="D2678" s="31" t="s">
        <v>816</v>
      </c>
      <c r="E2678" s="30" t="s">
        <v>817</v>
      </c>
      <c r="F2678" s="32" t="n">
        <v>2</v>
      </c>
      <c r="G2678" s="33" t="n">
        <v>45882</v>
      </c>
      <c r="H2678" s="33" t="n">
        <v>45882</v>
      </c>
      <c r="I2678" s="31" t="s">
        <v>818</v>
      </c>
      <c r="J2678" s="30" t="s">
        <v>817</v>
      </c>
      <c r="K2678" s="31" t="s">
        <v>819</v>
      </c>
      <c r="L2678" s="32" t="n">
        <v>2</v>
      </c>
      <c r="M2678" s="35" t="s">
        <v>386</v>
      </c>
      <c r="N2678" s="31" t="s">
        <v>387</v>
      </c>
      <c r="O2678" s="32" t="n">
        <v>2</v>
      </c>
      <c r="P2678" s="15" t="n">
        <f aca="false">IF(A2678="","",IF(O2678&lt;&gt;"",O2678,IF(L2678&lt;&gt;"",L2678,F2678)))</f>
        <v>2</v>
      </c>
    </row>
    <row r="2679" customFormat="false" ht="15" hidden="false" customHeight="true" outlineLevel="0" collapsed="false">
      <c r="A2679" s="26" t="s">
        <v>314</v>
      </c>
      <c r="B2679" s="26" t="s">
        <v>315</v>
      </c>
      <c r="C2679" s="14" t="n">
        <f aca="false">IF(A2679="","",IFERROR(VLOOKUP(A2679,'Recert Status'!$A$8:$C$400,3,FALSE()),""))</f>
        <v>46752</v>
      </c>
      <c r="D2679" s="18" t="s">
        <v>682</v>
      </c>
      <c r="E2679" s="26" t="n">
        <v>57435</v>
      </c>
      <c r="F2679" s="27" t="n">
        <v>0.5</v>
      </c>
      <c r="G2679" s="28" t="n">
        <v>45996</v>
      </c>
      <c r="H2679" s="28" t="n">
        <v>45996</v>
      </c>
      <c r="I2679" s="18" t="s">
        <v>684</v>
      </c>
      <c r="J2679" s="26" t="s">
        <v>593</v>
      </c>
      <c r="K2679" s="18" t="s">
        <v>446</v>
      </c>
      <c r="L2679" s="27" t="n">
        <v>0.5</v>
      </c>
      <c r="M2679" s="35" t="s">
        <v>386</v>
      </c>
      <c r="N2679" s="18" t="s">
        <v>387</v>
      </c>
      <c r="O2679" s="27" t="n">
        <v>0.5</v>
      </c>
      <c r="P2679" s="15" t="n">
        <f aca="false">IF(A2679="","",IF(O2679&lt;&gt;"",O2679,IF(L2679&lt;&gt;"",L2679,F2679)))</f>
        <v>0.5</v>
      </c>
    </row>
    <row r="2680" customFormat="false" ht="15" hidden="false" customHeight="true" outlineLevel="0" collapsed="false">
      <c r="A2680" s="30" t="s">
        <v>314</v>
      </c>
      <c r="B2680" s="30" t="s">
        <v>315</v>
      </c>
      <c r="C2680" s="21" t="n">
        <f aca="false">IF(A2680="","",IFERROR(VLOOKUP(A2680,'Recert Status'!$A$8:$C$400,3,FALSE()),""))</f>
        <v>46752</v>
      </c>
      <c r="D2680" s="31" t="s">
        <v>474</v>
      </c>
      <c r="E2680" s="30" t="n">
        <v>29675</v>
      </c>
      <c r="F2680" s="32" t="n">
        <v>3</v>
      </c>
      <c r="G2680" s="33" t="n">
        <v>46083</v>
      </c>
      <c r="H2680" s="33" t="n">
        <v>46083</v>
      </c>
      <c r="I2680" s="31" t="s">
        <v>1209</v>
      </c>
      <c r="J2680" s="30" t="s">
        <v>406</v>
      </c>
      <c r="K2680" s="31" t="s">
        <v>391</v>
      </c>
      <c r="L2680" s="32" t="n">
        <v>3</v>
      </c>
      <c r="M2680" s="35" t="s">
        <v>386</v>
      </c>
      <c r="N2680" s="31" t="s">
        <v>387</v>
      </c>
      <c r="O2680" s="32" t="n">
        <v>3</v>
      </c>
      <c r="P2680" s="15" t="n">
        <f aca="false">IF(A2680="","",IF(O2680&lt;&gt;"",O2680,IF(L2680&lt;&gt;"",L2680,F2680)))</f>
        <v>3</v>
      </c>
    </row>
    <row r="2681" customFormat="false" ht="15" hidden="false" customHeight="true" outlineLevel="0" collapsed="false">
      <c r="A2681" s="26" t="s">
        <v>314</v>
      </c>
      <c r="B2681" s="26" t="s">
        <v>315</v>
      </c>
      <c r="C2681" s="14" t="n">
        <f aca="false">IF(A2681="","",IFERROR(VLOOKUP(A2681,'Recert Status'!$A$8:$C$400,3,FALSE()),""))</f>
        <v>46752</v>
      </c>
      <c r="D2681" s="18" t="s">
        <v>1707</v>
      </c>
      <c r="E2681" s="26" t="n">
        <v>29740</v>
      </c>
      <c r="F2681" s="27" t="n">
        <v>1</v>
      </c>
      <c r="G2681" s="28" t="n">
        <v>46173</v>
      </c>
      <c r="H2681" s="28" t="n">
        <v>46173</v>
      </c>
      <c r="I2681" s="18" t="s">
        <v>1708</v>
      </c>
      <c r="J2681" s="26" t="s">
        <v>394</v>
      </c>
      <c r="K2681" s="18" t="s">
        <v>1709</v>
      </c>
      <c r="L2681" s="27" t="n">
        <v>1</v>
      </c>
      <c r="M2681" s="35" t="s">
        <v>386</v>
      </c>
      <c r="N2681" s="18" t="s">
        <v>387</v>
      </c>
      <c r="O2681" s="27" t="n">
        <v>1</v>
      </c>
      <c r="P2681" s="15" t="n">
        <f aca="false">IF(A2681="","",IF(O2681&lt;&gt;"",O2681,IF(L2681&lt;&gt;"",L2681,F2681)))</f>
        <v>1</v>
      </c>
    </row>
    <row r="2682" customFormat="false" ht="15" hidden="false" customHeight="true" outlineLevel="0" collapsed="false">
      <c r="A2682" s="30" t="s">
        <v>314</v>
      </c>
      <c r="B2682" s="30" t="s">
        <v>315</v>
      </c>
      <c r="C2682" s="21" t="n">
        <f aca="false">IF(A2682="","",IFERROR(VLOOKUP(A2682,'Recert Status'!$A$8:$C$400,3,FALSE()),""))</f>
        <v>46752</v>
      </c>
      <c r="D2682" s="31" t="s">
        <v>387</v>
      </c>
      <c r="E2682" s="30" t="s">
        <v>389</v>
      </c>
      <c r="F2682" s="32" t="n">
        <v>1</v>
      </c>
      <c r="G2682" s="33" t="n">
        <v>46233</v>
      </c>
      <c r="H2682" s="33" t="n">
        <v>46233</v>
      </c>
      <c r="I2682" s="31" t="s">
        <v>1032</v>
      </c>
      <c r="J2682" s="30" t="s">
        <v>389</v>
      </c>
      <c r="K2682" s="31" t="s">
        <v>468</v>
      </c>
      <c r="L2682" s="32" t="n">
        <v>1</v>
      </c>
      <c r="M2682" s="35" t="s">
        <v>386</v>
      </c>
      <c r="N2682" s="31" t="s">
        <v>387</v>
      </c>
      <c r="O2682" s="32" t="n">
        <v>1</v>
      </c>
      <c r="P2682" s="15" t="n">
        <f aca="false">IF(A2682="","",IF(O2682&lt;&gt;"",O2682,IF(L2682&lt;&gt;"",L2682,F2682)))</f>
        <v>1</v>
      </c>
    </row>
    <row r="2683" customFormat="false" ht="15" hidden="false" customHeight="true" outlineLevel="0" collapsed="false">
      <c r="A2683" s="26" t="s">
        <v>314</v>
      </c>
      <c r="B2683" s="26" t="s">
        <v>315</v>
      </c>
      <c r="C2683" s="14" t="n">
        <f aca="false">IF(A2683="","",IFERROR(VLOOKUP(A2683,'Recert Status'!$A$8:$C$400,3,FALSE()),""))</f>
        <v>46752</v>
      </c>
      <c r="D2683" s="18" t="s">
        <v>1710</v>
      </c>
      <c r="E2683" s="26" t="s">
        <v>452</v>
      </c>
      <c r="F2683" s="27" t="n">
        <v>1</v>
      </c>
      <c r="G2683" s="28" t="n">
        <v>46173</v>
      </c>
      <c r="H2683" s="28" t="n">
        <v>46173</v>
      </c>
      <c r="I2683" s="18" t="s">
        <v>1711</v>
      </c>
      <c r="J2683" s="26" t="s">
        <v>452</v>
      </c>
      <c r="K2683" s="18" t="s">
        <v>385</v>
      </c>
      <c r="L2683" s="27" t="n">
        <v>1</v>
      </c>
      <c r="M2683" s="36" t="s">
        <v>396</v>
      </c>
      <c r="N2683" s="18" t="s">
        <v>397</v>
      </c>
      <c r="O2683" s="27" t="n">
        <v>1</v>
      </c>
      <c r="P2683" s="15" t="n">
        <f aca="false">IF(A2683="","",IF(O2683&lt;&gt;"",O2683,IF(L2683&lt;&gt;"",L2683,F2683)))</f>
        <v>1</v>
      </c>
    </row>
    <row r="2684" customFormat="false" ht="15" hidden="false" customHeight="true" outlineLevel="0" collapsed="false">
      <c r="A2684" s="30" t="s">
        <v>314</v>
      </c>
      <c r="B2684" s="30" t="s">
        <v>315</v>
      </c>
      <c r="C2684" s="21" t="n">
        <f aca="false">IF(A2684="","",IFERROR(VLOOKUP(A2684,'Recert Status'!$A$8:$C$400,3,FALSE()),""))</f>
        <v>46752</v>
      </c>
      <c r="D2684" s="31" t="s">
        <v>397</v>
      </c>
      <c r="E2684" s="30" t="s">
        <v>452</v>
      </c>
      <c r="F2684" s="32" t="n">
        <v>1</v>
      </c>
      <c r="G2684" s="33" t="n">
        <v>46245</v>
      </c>
      <c r="H2684" s="33" t="n">
        <v>46245</v>
      </c>
      <c r="I2684" s="31" t="s">
        <v>605</v>
      </c>
      <c r="J2684" s="30" t="s">
        <v>452</v>
      </c>
      <c r="K2684" s="31" t="s">
        <v>385</v>
      </c>
      <c r="L2684" s="32" t="n">
        <v>1</v>
      </c>
      <c r="M2684" s="36" t="s">
        <v>396</v>
      </c>
      <c r="N2684" s="31" t="s">
        <v>397</v>
      </c>
      <c r="O2684" s="32" t="n">
        <v>1</v>
      </c>
      <c r="P2684" s="15" t="n">
        <f aca="false">IF(A2684="","",IF(O2684&lt;&gt;"",O2684,IF(L2684&lt;&gt;"",L2684,F2684)))</f>
        <v>1</v>
      </c>
    </row>
    <row r="2685" customFormat="false" ht="15" hidden="false" customHeight="true" outlineLevel="0" collapsed="false">
      <c r="A2685" s="26" t="s">
        <v>314</v>
      </c>
      <c r="B2685" s="26" t="s">
        <v>315</v>
      </c>
      <c r="C2685" s="14" t="n">
        <f aca="false">IF(A2685="","",IFERROR(VLOOKUP(A2685,'Recert Status'!$A$8:$C$400,3,FALSE()),""))</f>
        <v>46752</v>
      </c>
      <c r="D2685" s="18" t="s">
        <v>1704</v>
      </c>
      <c r="E2685" s="26" t="n">
        <v>29784</v>
      </c>
      <c r="F2685" s="27" t="n">
        <v>4</v>
      </c>
      <c r="G2685" s="28" t="n">
        <v>45687</v>
      </c>
      <c r="H2685" s="28" t="n">
        <v>45687</v>
      </c>
      <c r="I2685" s="18" t="s">
        <v>1705</v>
      </c>
      <c r="J2685" s="26" t="s">
        <v>435</v>
      </c>
      <c r="K2685" s="18" t="s">
        <v>529</v>
      </c>
      <c r="L2685" s="27" t="n">
        <v>2</v>
      </c>
      <c r="M2685" s="39" t="s">
        <v>413</v>
      </c>
      <c r="N2685" s="18" t="s">
        <v>1706</v>
      </c>
      <c r="O2685" s="27" t="n">
        <v>4</v>
      </c>
      <c r="P2685" s="15" t="n">
        <f aca="false">IF(A2685="","",IF(O2685&lt;&gt;"",O2685,IF(L2685&lt;&gt;"",L2685,F2685)))</f>
        <v>4</v>
      </c>
    </row>
    <row r="2686" customFormat="false" ht="15" hidden="false" customHeight="true" outlineLevel="0" collapsed="false">
      <c r="A2686" s="30" t="s">
        <v>314</v>
      </c>
      <c r="B2686" s="30" t="s">
        <v>315</v>
      </c>
      <c r="C2686" s="21" t="n">
        <f aca="false">IF(A2686="","",IFERROR(VLOOKUP(A2686,'Recert Status'!$A$8:$C$400,3,FALSE()),""))</f>
        <v>46752</v>
      </c>
      <c r="D2686" s="31" t="s">
        <v>1191</v>
      </c>
      <c r="E2686" s="30" t="s">
        <v>416</v>
      </c>
      <c r="F2686" s="32" t="n">
        <v>1</v>
      </c>
      <c r="G2686" s="33" t="n">
        <v>45825</v>
      </c>
      <c r="H2686" s="33" t="n">
        <v>45825</v>
      </c>
      <c r="I2686" s="31" t="s">
        <v>1192</v>
      </c>
      <c r="J2686" s="30" t="s">
        <v>416</v>
      </c>
      <c r="K2686" s="31" t="s">
        <v>456</v>
      </c>
      <c r="L2686" s="32" t="n">
        <v>1</v>
      </c>
      <c r="M2686" s="39" t="s">
        <v>413</v>
      </c>
      <c r="N2686" s="31" t="s">
        <v>414</v>
      </c>
      <c r="O2686" s="32" t="n">
        <v>1</v>
      </c>
      <c r="P2686" s="15" t="n">
        <f aca="false">IF(A2686="","",IF(O2686&lt;&gt;"",O2686,IF(L2686&lt;&gt;"",L2686,F2686)))</f>
        <v>1</v>
      </c>
    </row>
    <row r="2687" customFormat="false" ht="15" hidden="false" customHeight="true" outlineLevel="0" collapsed="false">
      <c r="A2687" s="26" t="s">
        <v>314</v>
      </c>
      <c r="B2687" s="26" t="s">
        <v>315</v>
      </c>
      <c r="C2687" s="14" t="n">
        <f aca="false">IF(A2687="","",IFERROR(VLOOKUP(A2687,'Recert Status'!$A$8:$C$400,3,FALSE()),""))</f>
        <v>46752</v>
      </c>
      <c r="D2687" s="18" t="s">
        <v>1333</v>
      </c>
      <c r="E2687" s="26" t="s">
        <v>416</v>
      </c>
      <c r="F2687" s="27" t="n">
        <v>0.5</v>
      </c>
      <c r="G2687" s="28" t="n">
        <v>45861</v>
      </c>
      <c r="H2687" s="28" t="n">
        <v>45861</v>
      </c>
      <c r="I2687" s="18" t="s">
        <v>1334</v>
      </c>
      <c r="J2687" s="26" t="s">
        <v>416</v>
      </c>
      <c r="K2687" s="18" t="s">
        <v>456</v>
      </c>
      <c r="L2687" s="27" t="n">
        <v>0.5</v>
      </c>
      <c r="M2687" s="39" t="s">
        <v>413</v>
      </c>
      <c r="N2687" s="18" t="s">
        <v>414</v>
      </c>
      <c r="O2687" s="27" t="n">
        <v>0.5</v>
      </c>
      <c r="P2687" s="15" t="n">
        <f aca="false">IF(A2687="","",IF(O2687&lt;&gt;"",O2687,IF(L2687&lt;&gt;"",L2687,F2687)))</f>
        <v>0.5</v>
      </c>
    </row>
    <row r="2688" customFormat="false" ht="15" hidden="false" customHeight="true" outlineLevel="0" collapsed="false">
      <c r="A2688" s="30" t="s">
        <v>314</v>
      </c>
      <c r="B2688" s="30" t="s">
        <v>315</v>
      </c>
      <c r="C2688" s="21" t="n">
        <f aca="false">IF(A2688="","",IFERROR(VLOOKUP(A2688,'Recert Status'!$A$8:$C$400,3,FALSE()),""))</f>
        <v>46752</v>
      </c>
      <c r="D2688" s="31" t="s">
        <v>457</v>
      </c>
      <c r="E2688" s="30" t="s">
        <v>416</v>
      </c>
      <c r="F2688" s="32" t="n">
        <v>2</v>
      </c>
      <c r="G2688" s="33" t="n">
        <v>45861</v>
      </c>
      <c r="H2688" s="33" t="n">
        <v>45861</v>
      </c>
      <c r="I2688" s="31" t="s">
        <v>921</v>
      </c>
      <c r="J2688" s="30" t="s">
        <v>416</v>
      </c>
      <c r="K2688" s="31" t="s">
        <v>418</v>
      </c>
      <c r="L2688" s="32" t="n">
        <v>2</v>
      </c>
      <c r="M2688" s="39" t="s">
        <v>413</v>
      </c>
      <c r="N2688" s="31" t="s">
        <v>414</v>
      </c>
      <c r="O2688" s="32" t="n">
        <v>2</v>
      </c>
      <c r="P2688" s="15" t="n">
        <f aca="false">IF(A2688="","",IF(O2688&lt;&gt;"",O2688,IF(L2688&lt;&gt;"",L2688,F2688)))</f>
        <v>2</v>
      </c>
    </row>
    <row r="2689" customFormat="false" ht="15" hidden="false" customHeight="true" outlineLevel="0" collapsed="false">
      <c r="A2689" s="26" t="s">
        <v>314</v>
      </c>
      <c r="B2689" s="26" t="s">
        <v>315</v>
      </c>
      <c r="C2689" s="14" t="n">
        <f aca="false">IF(A2689="","",IFERROR(VLOOKUP(A2689,'Recert Status'!$A$8:$C$400,3,FALSE()),""))</f>
        <v>46752</v>
      </c>
      <c r="D2689" s="18" t="s">
        <v>457</v>
      </c>
      <c r="E2689" s="26" t="s">
        <v>416</v>
      </c>
      <c r="F2689" s="27" t="n">
        <v>1</v>
      </c>
      <c r="G2689" s="28" t="n">
        <v>45897</v>
      </c>
      <c r="H2689" s="28" t="n">
        <v>45897</v>
      </c>
      <c r="I2689" s="18" t="s">
        <v>1193</v>
      </c>
      <c r="J2689" s="26" t="s">
        <v>416</v>
      </c>
      <c r="K2689" s="18" t="s">
        <v>485</v>
      </c>
      <c r="L2689" s="27" t="n">
        <v>1</v>
      </c>
      <c r="M2689" s="39" t="s">
        <v>413</v>
      </c>
      <c r="N2689" s="18" t="s">
        <v>414</v>
      </c>
      <c r="O2689" s="27" t="n">
        <v>1</v>
      </c>
      <c r="P2689" s="15" t="n">
        <f aca="false">IF(A2689="","",IF(O2689&lt;&gt;"",O2689,IF(L2689&lt;&gt;"",L2689,F2689)))</f>
        <v>1</v>
      </c>
    </row>
    <row r="2690" customFormat="false" ht="15" hidden="false" customHeight="true" outlineLevel="0" collapsed="false">
      <c r="A2690" s="30" t="s">
        <v>314</v>
      </c>
      <c r="B2690" s="30" t="s">
        <v>315</v>
      </c>
      <c r="C2690" s="21" t="n">
        <f aca="false">IF(A2690="","",IFERROR(VLOOKUP(A2690,'Recert Status'!$A$8:$C$400,3,FALSE()),""))</f>
        <v>46752</v>
      </c>
      <c r="D2690" s="31" t="s">
        <v>959</v>
      </c>
      <c r="E2690" s="30" t="s">
        <v>416</v>
      </c>
      <c r="F2690" s="32" t="n">
        <v>1</v>
      </c>
      <c r="G2690" s="33" t="n">
        <v>45927</v>
      </c>
      <c r="H2690" s="33" t="n">
        <v>45927</v>
      </c>
      <c r="I2690" s="31" t="s">
        <v>1194</v>
      </c>
      <c r="J2690" s="30" t="s">
        <v>416</v>
      </c>
      <c r="K2690" s="31" t="s">
        <v>456</v>
      </c>
      <c r="L2690" s="32" t="n">
        <v>1</v>
      </c>
      <c r="M2690" s="39" t="s">
        <v>413</v>
      </c>
      <c r="N2690" s="31" t="s">
        <v>414</v>
      </c>
      <c r="O2690" s="32" t="n">
        <v>1</v>
      </c>
      <c r="P2690" s="15" t="n">
        <f aca="false">IF(A2690="","",IF(O2690&lt;&gt;"",O2690,IF(L2690&lt;&gt;"",L2690,F2690)))</f>
        <v>1</v>
      </c>
    </row>
    <row r="2691" customFormat="false" ht="15" hidden="false" customHeight="true" outlineLevel="0" collapsed="false">
      <c r="A2691" s="26" t="s">
        <v>314</v>
      </c>
      <c r="B2691" s="26" t="s">
        <v>315</v>
      </c>
      <c r="C2691" s="14" t="n">
        <f aca="false">IF(A2691="","",IFERROR(VLOOKUP(A2691,'Recert Status'!$A$8:$C$400,3,FALSE()),""))</f>
        <v>46752</v>
      </c>
      <c r="D2691" s="18" t="s">
        <v>488</v>
      </c>
      <c r="E2691" s="26" t="s">
        <v>416</v>
      </c>
      <c r="F2691" s="27" t="n">
        <v>1</v>
      </c>
      <c r="G2691" s="28" t="n">
        <v>46125</v>
      </c>
      <c r="H2691" s="28" t="n">
        <v>46125</v>
      </c>
      <c r="I2691" s="18" t="s">
        <v>608</v>
      </c>
      <c r="J2691" s="26" t="s">
        <v>416</v>
      </c>
      <c r="K2691" s="18" t="s">
        <v>490</v>
      </c>
      <c r="L2691" s="27" t="n">
        <v>1</v>
      </c>
      <c r="M2691" s="39" t="s">
        <v>413</v>
      </c>
      <c r="N2691" s="18" t="s">
        <v>414</v>
      </c>
      <c r="O2691" s="27" t="n">
        <v>1</v>
      </c>
      <c r="P2691" s="15" t="n">
        <f aca="false">IF(A2691="","",IF(O2691&lt;&gt;"",O2691,IF(L2691&lt;&gt;"",L2691,F2691)))</f>
        <v>1</v>
      </c>
    </row>
    <row r="2692" customFormat="false" ht="15" hidden="false" customHeight="true" outlineLevel="0" collapsed="false">
      <c r="A2692" s="30" t="s">
        <v>316</v>
      </c>
      <c r="B2692" s="30" t="s">
        <v>317</v>
      </c>
      <c r="C2692" s="21" t="n">
        <f aca="false">IF(A2692="","",IFERROR(VLOOKUP(A2692,'Recert Status'!$A$8:$C$400,3,FALSE()),""))</f>
        <v>46752</v>
      </c>
      <c r="D2692" s="31" t="s">
        <v>362</v>
      </c>
      <c r="E2692" s="30" t="s">
        <v>363</v>
      </c>
      <c r="F2692" s="32" t="n">
        <v>0.5</v>
      </c>
      <c r="G2692" s="33" t="n">
        <v>45783</v>
      </c>
      <c r="H2692" s="33" t="n">
        <v>45783</v>
      </c>
      <c r="I2692" s="31" t="s">
        <v>364</v>
      </c>
      <c r="J2692" s="30" t="s">
        <v>363</v>
      </c>
      <c r="K2692" s="31" t="s">
        <v>365</v>
      </c>
      <c r="L2692" s="32" t="n">
        <v>0.5</v>
      </c>
      <c r="M2692" s="29" t="s">
        <v>366</v>
      </c>
      <c r="N2692" s="31" t="s">
        <v>367</v>
      </c>
      <c r="O2692" s="32" t="n">
        <v>0.5</v>
      </c>
      <c r="P2692" s="15" t="n">
        <f aca="false">IF(A2692="","",IF(O2692&lt;&gt;"",O2692,IF(L2692&lt;&gt;"",L2692,F2692)))</f>
        <v>0.5</v>
      </c>
    </row>
    <row r="2693" customFormat="false" ht="15" hidden="false" customHeight="true" outlineLevel="0" collapsed="false">
      <c r="A2693" s="26" t="s">
        <v>316</v>
      </c>
      <c r="B2693" s="26" t="s">
        <v>317</v>
      </c>
      <c r="C2693" s="14" t="n">
        <f aca="false">IF(A2693="","",IFERROR(VLOOKUP(A2693,'Recert Status'!$A$8:$C$400,3,FALSE()),""))</f>
        <v>46752</v>
      </c>
      <c r="D2693" s="18" t="s">
        <v>368</v>
      </c>
      <c r="E2693" s="26" t="s">
        <v>363</v>
      </c>
      <c r="F2693" s="27" t="n">
        <v>1.5</v>
      </c>
      <c r="G2693" s="28" t="n">
        <v>45820</v>
      </c>
      <c r="H2693" s="28" t="n">
        <v>45820</v>
      </c>
      <c r="I2693" s="18" t="s">
        <v>369</v>
      </c>
      <c r="J2693" s="26" t="s">
        <v>363</v>
      </c>
      <c r="K2693" s="18" t="s">
        <v>370</v>
      </c>
      <c r="L2693" s="27" t="n">
        <v>1.5</v>
      </c>
      <c r="M2693" s="29" t="s">
        <v>366</v>
      </c>
      <c r="N2693" s="18" t="s">
        <v>367</v>
      </c>
      <c r="O2693" s="27" t="n">
        <v>1.5</v>
      </c>
      <c r="P2693" s="15" t="n">
        <f aca="false">IF(A2693="","",IF(O2693&lt;&gt;"",O2693,IF(L2693&lt;&gt;"",L2693,F2693)))</f>
        <v>1.5</v>
      </c>
    </row>
    <row r="2694" customFormat="false" ht="15" hidden="false" customHeight="true" outlineLevel="0" collapsed="false">
      <c r="A2694" s="30" t="s">
        <v>316</v>
      </c>
      <c r="B2694" s="30" t="s">
        <v>317</v>
      </c>
      <c r="C2694" s="21" t="n">
        <f aca="false">IF(A2694="","",IFERROR(VLOOKUP(A2694,'Recert Status'!$A$8:$C$400,3,FALSE()),""))</f>
        <v>46752</v>
      </c>
      <c r="D2694" s="31" t="s">
        <v>946</v>
      </c>
      <c r="E2694" s="30" t="s">
        <v>363</v>
      </c>
      <c r="F2694" s="32" t="n">
        <v>1</v>
      </c>
      <c r="G2694" s="33" t="n">
        <v>45867</v>
      </c>
      <c r="H2694" s="33" t="n">
        <v>45867</v>
      </c>
      <c r="I2694" s="31" t="s">
        <v>947</v>
      </c>
      <c r="J2694" s="30" t="s">
        <v>363</v>
      </c>
      <c r="K2694" s="31" t="s">
        <v>370</v>
      </c>
      <c r="L2694" s="32" t="n">
        <v>1</v>
      </c>
      <c r="M2694" s="29" t="s">
        <v>366</v>
      </c>
      <c r="N2694" s="31" t="s">
        <v>367</v>
      </c>
      <c r="O2694" s="32" t="n">
        <v>1</v>
      </c>
      <c r="P2694" s="15" t="n">
        <f aca="false">IF(A2694="","",IF(O2694&lt;&gt;"",O2694,IF(L2694&lt;&gt;"",L2694,F2694)))</f>
        <v>1</v>
      </c>
    </row>
    <row r="2695" customFormat="false" ht="15" hidden="false" customHeight="true" outlineLevel="0" collapsed="false">
      <c r="A2695" s="26" t="s">
        <v>316</v>
      </c>
      <c r="B2695" s="26" t="s">
        <v>317</v>
      </c>
      <c r="C2695" s="14" t="n">
        <f aca="false">IF(A2695="","",IFERROR(VLOOKUP(A2695,'Recert Status'!$A$8:$C$400,3,FALSE()),""))</f>
        <v>46752</v>
      </c>
      <c r="D2695" s="18" t="s">
        <v>876</v>
      </c>
      <c r="E2695" s="26" t="s">
        <v>363</v>
      </c>
      <c r="F2695" s="27" t="n">
        <v>0.75</v>
      </c>
      <c r="G2695" s="28" t="n">
        <v>45929</v>
      </c>
      <c r="H2695" s="28" t="n">
        <v>45929</v>
      </c>
      <c r="I2695" s="18" t="s">
        <v>1254</v>
      </c>
      <c r="J2695" s="26" t="s">
        <v>363</v>
      </c>
      <c r="K2695" s="18" t="s">
        <v>370</v>
      </c>
      <c r="L2695" s="27" t="n">
        <v>0.75</v>
      </c>
      <c r="M2695" s="29" t="s">
        <v>366</v>
      </c>
      <c r="N2695" s="18" t="s">
        <v>367</v>
      </c>
      <c r="O2695" s="27" t="n">
        <v>0.75</v>
      </c>
      <c r="P2695" s="15" t="n">
        <f aca="false">IF(A2695="","",IF(O2695&lt;&gt;"",O2695,IF(L2695&lt;&gt;"",L2695,F2695)))</f>
        <v>0.75</v>
      </c>
    </row>
    <row r="2696" customFormat="false" ht="15" hidden="false" customHeight="true" outlineLevel="0" collapsed="false">
      <c r="A2696" s="30" t="s">
        <v>316</v>
      </c>
      <c r="B2696" s="30" t="s">
        <v>317</v>
      </c>
      <c r="C2696" s="21" t="n">
        <f aca="false">IF(A2696="","",IFERROR(VLOOKUP(A2696,'Recert Status'!$A$8:$C$400,3,FALSE()),""))</f>
        <v>46752</v>
      </c>
      <c r="D2696" s="31" t="s">
        <v>362</v>
      </c>
      <c r="E2696" s="30" t="n">
        <v>57394</v>
      </c>
      <c r="F2696" s="32" t="n">
        <v>3</v>
      </c>
      <c r="G2696" s="33" t="n">
        <v>45971</v>
      </c>
      <c r="H2696" s="33" t="n">
        <v>45971</v>
      </c>
      <c r="I2696" s="31" t="s">
        <v>922</v>
      </c>
      <c r="J2696" s="30" t="s">
        <v>503</v>
      </c>
      <c r="K2696" s="31" t="s">
        <v>365</v>
      </c>
      <c r="L2696" s="32" t="n">
        <v>1.5</v>
      </c>
      <c r="M2696" s="29" t="s">
        <v>366</v>
      </c>
      <c r="N2696" s="31" t="s">
        <v>923</v>
      </c>
      <c r="O2696" s="32" t="n">
        <v>3</v>
      </c>
      <c r="P2696" s="15" t="n">
        <f aca="false">IF(A2696="","",IF(O2696&lt;&gt;"",O2696,IF(L2696&lt;&gt;"",L2696,F2696)))</f>
        <v>3</v>
      </c>
    </row>
    <row r="2697" customFormat="false" ht="15" hidden="false" customHeight="true" outlineLevel="0" collapsed="false">
      <c r="A2697" s="26" t="s">
        <v>316</v>
      </c>
      <c r="B2697" s="26" t="s">
        <v>317</v>
      </c>
      <c r="C2697" s="14" t="n">
        <f aca="false">IF(A2697="","",IFERROR(VLOOKUP(A2697,'Recert Status'!$A$8:$C$400,3,FALSE()),""))</f>
        <v>46752</v>
      </c>
      <c r="D2697" s="18" t="s">
        <v>425</v>
      </c>
      <c r="E2697" s="26" t="s">
        <v>426</v>
      </c>
      <c r="F2697" s="27" t="n">
        <v>2</v>
      </c>
      <c r="G2697" s="28" t="n">
        <v>45929</v>
      </c>
      <c r="H2697" s="28" t="n">
        <v>45929</v>
      </c>
      <c r="I2697" s="18" t="s">
        <v>427</v>
      </c>
      <c r="J2697" s="26" t="s">
        <v>426</v>
      </c>
      <c r="K2697" s="18" t="s">
        <v>428</v>
      </c>
      <c r="L2697" s="27" t="n">
        <v>2</v>
      </c>
      <c r="M2697" s="41" t="s">
        <v>429</v>
      </c>
      <c r="N2697" s="18" t="s">
        <v>430</v>
      </c>
      <c r="O2697" s="27" t="n">
        <v>2</v>
      </c>
      <c r="P2697" s="15" t="n">
        <f aca="false">IF(A2697="","",IF(O2697&lt;&gt;"",O2697,IF(L2697&lt;&gt;"",L2697,F2697)))</f>
        <v>2</v>
      </c>
    </row>
    <row r="2698" customFormat="false" ht="15" hidden="false" customHeight="true" outlineLevel="0" collapsed="false">
      <c r="A2698" s="30" t="s">
        <v>316</v>
      </c>
      <c r="B2698" s="30" t="s">
        <v>317</v>
      </c>
      <c r="C2698" s="21" t="n">
        <f aca="false">IF(A2698="","",IFERROR(VLOOKUP(A2698,'Recert Status'!$A$8:$C$400,3,FALSE()),""))</f>
        <v>46752</v>
      </c>
      <c r="D2698" s="31" t="s">
        <v>362</v>
      </c>
      <c r="E2698" s="30" t="n">
        <v>57394</v>
      </c>
      <c r="F2698" s="32" t="n">
        <v>3</v>
      </c>
      <c r="G2698" s="33" t="n">
        <v>45971</v>
      </c>
      <c r="H2698" s="33" t="n">
        <v>45971</v>
      </c>
      <c r="I2698" s="31" t="s">
        <v>922</v>
      </c>
      <c r="J2698" s="30" t="s">
        <v>503</v>
      </c>
      <c r="K2698" s="31" t="s">
        <v>365</v>
      </c>
      <c r="L2698" s="32" t="n">
        <v>1.5</v>
      </c>
      <c r="M2698" s="41" t="s">
        <v>429</v>
      </c>
      <c r="N2698" s="31" t="s">
        <v>923</v>
      </c>
      <c r="O2698" s="32" t="n">
        <v>3</v>
      </c>
      <c r="P2698" s="15" t="n">
        <f aca="false">IF(A2698="","",IF(O2698&lt;&gt;"",O2698,IF(L2698&lt;&gt;"",L2698,F2698)))</f>
        <v>3</v>
      </c>
    </row>
    <row r="2699" customFormat="false" ht="15" hidden="false" customHeight="true" outlineLevel="0" collapsed="false">
      <c r="A2699" s="26" t="s">
        <v>316</v>
      </c>
      <c r="B2699" s="26" t="s">
        <v>317</v>
      </c>
      <c r="C2699" s="14" t="n">
        <f aca="false">IF(A2699="","",IFERROR(VLOOKUP(A2699,'Recert Status'!$A$8:$C$400,3,FALSE()),""))</f>
        <v>46752</v>
      </c>
      <c r="D2699" s="18" t="s">
        <v>876</v>
      </c>
      <c r="E2699" s="26" t="s">
        <v>426</v>
      </c>
      <c r="F2699" s="27" t="n">
        <v>1</v>
      </c>
      <c r="G2699" s="28" t="n">
        <v>46001</v>
      </c>
      <c r="H2699" s="28" t="n">
        <v>46001</v>
      </c>
      <c r="I2699" s="18" t="s">
        <v>1617</v>
      </c>
      <c r="J2699" s="26" t="s">
        <v>426</v>
      </c>
      <c r="K2699" s="18" t="s">
        <v>428</v>
      </c>
      <c r="L2699" s="27" t="n">
        <v>1</v>
      </c>
      <c r="M2699" s="41" t="s">
        <v>429</v>
      </c>
      <c r="N2699" s="18" t="s">
        <v>430</v>
      </c>
      <c r="O2699" s="27" t="n">
        <v>1</v>
      </c>
      <c r="P2699" s="15" t="n">
        <f aca="false">IF(A2699="","",IF(O2699&lt;&gt;"",O2699,IF(L2699&lt;&gt;"",L2699,F2699)))</f>
        <v>1</v>
      </c>
    </row>
    <row r="2700" customFormat="false" ht="15" hidden="false" customHeight="true" outlineLevel="0" collapsed="false">
      <c r="A2700" s="30" t="s">
        <v>316</v>
      </c>
      <c r="B2700" s="30" t="s">
        <v>317</v>
      </c>
      <c r="C2700" s="21" t="n">
        <f aca="false">IF(A2700="","",IFERROR(VLOOKUP(A2700,'Recert Status'!$A$8:$C$400,3,FALSE()),""))</f>
        <v>46752</v>
      </c>
      <c r="D2700" s="31" t="s">
        <v>1241</v>
      </c>
      <c r="E2700" s="30" t="s">
        <v>372</v>
      </c>
      <c r="F2700" s="32" t="n">
        <v>1</v>
      </c>
      <c r="G2700" s="33" t="n">
        <v>46140</v>
      </c>
      <c r="H2700" s="33" t="n">
        <v>46140</v>
      </c>
      <c r="I2700" s="31" t="s">
        <v>1242</v>
      </c>
      <c r="J2700" s="30" t="s">
        <v>372</v>
      </c>
      <c r="K2700" s="31" t="s">
        <v>374</v>
      </c>
      <c r="L2700" s="32" t="n">
        <v>1</v>
      </c>
      <c r="M2700" s="34" t="s">
        <v>375</v>
      </c>
      <c r="N2700" s="31" t="s">
        <v>376</v>
      </c>
      <c r="O2700" s="32" t="n">
        <v>1</v>
      </c>
      <c r="P2700" s="15" t="n">
        <f aca="false">IF(A2700="","",IF(O2700&lt;&gt;"",O2700,IF(L2700&lt;&gt;"",L2700,F2700)))</f>
        <v>1</v>
      </c>
    </row>
    <row r="2701" customFormat="false" ht="15" hidden="false" customHeight="true" outlineLevel="0" collapsed="false">
      <c r="A2701" s="26" t="s">
        <v>316</v>
      </c>
      <c r="B2701" s="26" t="s">
        <v>317</v>
      </c>
      <c r="C2701" s="14" t="n">
        <f aca="false">IF(A2701="","",IFERROR(VLOOKUP(A2701,'Recert Status'!$A$8:$C$400,3,FALSE()),""))</f>
        <v>46752</v>
      </c>
      <c r="D2701" s="18" t="s">
        <v>953</v>
      </c>
      <c r="E2701" s="26" t="n">
        <v>29668</v>
      </c>
      <c r="F2701" s="27" t="n">
        <v>1</v>
      </c>
      <c r="G2701" s="28" t="n">
        <v>45867</v>
      </c>
      <c r="H2701" s="28" t="n">
        <v>45867</v>
      </c>
      <c r="I2701" s="18" t="s">
        <v>954</v>
      </c>
      <c r="J2701" s="26" t="s">
        <v>511</v>
      </c>
      <c r="K2701" s="18" t="s">
        <v>509</v>
      </c>
      <c r="L2701" s="27" t="n">
        <v>1</v>
      </c>
      <c r="M2701" s="35" t="s">
        <v>386</v>
      </c>
      <c r="N2701" s="18" t="s">
        <v>387</v>
      </c>
      <c r="O2701" s="27" t="n">
        <v>1</v>
      </c>
      <c r="P2701" s="15" t="n">
        <f aca="false">IF(A2701="","",IF(O2701&lt;&gt;"",O2701,IF(L2701&lt;&gt;"",L2701,F2701)))</f>
        <v>1</v>
      </c>
    </row>
    <row r="2702" customFormat="false" ht="15" hidden="false" customHeight="true" outlineLevel="0" collapsed="false">
      <c r="A2702" s="30" t="s">
        <v>316</v>
      </c>
      <c r="B2702" s="30" t="s">
        <v>317</v>
      </c>
      <c r="C2702" s="21" t="n">
        <f aca="false">IF(A2702="","",IFERROR(VLOOKUP(A2702,'Recert Status'!$A$8:$C$400,3,FALSE()),""))</f>
        <v>46752</v>
      </c>
      <c r="D2702" s="31" t="s">
        <v>816</v>
      </c>
      <c r="E2702" s="30" t="s">
        <v>817</v>
      </c>
      <c r="F2702" s="32" t="n">
        <v>2</v>
      </c>
      <c r="G2702" s="33" t="n">
        <v>45882</v>
      </c>
      <c r="H2702" s="33" t="n">
        <v>45882</v>
      </c>
      <c r="I2702" s="31" t="s">
        <v>818</v>
      </c>
      <c r="J2702" s="30" t="s">
        <v>817</v>
      </c>
      <c r="K2702" s="31" t="s">
        <v>819</v>
      </c>
      <c r="L2702" s="32" t="n">
        <v>2</v>
      </c>
      <c r="M2702" s="35" t="s">
        <v>386</v>
      </c>
      <c r="N2702" s="31" t="s">
        <v>387</v>
      </c>
      <c r="O2702" s="32" t="n">
        <v>2</v>
      </c>
      <c r="P2702" s="15" t="n">
        <f aca="false">IF(A2702="","",IF(O2702&lt;&gt;"",O2702,IF(L2702&lt;&gt;"",L2702,F2702)))</f>
        <v>2</v>
      </c>
    </row>
    <row r="2703" customFormat="false" ht="15" hidden="false" customHeight="true" outlineLevel="0" collapsed="false">
      <c r="A2703" s="26" t="s">
        <v>316</v>
      </c>
      <c r="B2703" s="26" t="s">
        <v>317</v>
      </c>
      <c r="C2703" s="14" t="n">
        <f aca="false">IF(A2703="","",IFERROR(VLOOKUP(A2703,'Recert Status'!$A$8:$C$400,3,FALSE()),""))</f>
        <v>46752</v>
      </c>
      <c r="D2703" s="18" t="s">
        <v>447</v>
      </c>
      <c r="E2703" s="26" t="n">
        <v>29675</v>
      </c>
      <c r="F2703" s="27" t="n">
        <v>1</v>
      </c>
      <c r="G2703" s="28" t="n">
        <v>45986</v>
      </c>
      <c r="H2703" s="28" t="n">
        <v>45986</v>
      </c>
      <c r="I2703" s="18" t="s">
        <v>448</v>
      </c>
      <c r="J2703" s="26" t="s">
        <v>406</v>
      </c>
      <c r="K2703" s="18" t="s">
        <v>446</v>
      </c>
      <c r="L2703" s="27" t="n">
        <v>1</v>
      </c>
      <c r="M2703" s="35" t="s">
        <v>386</v>
      </c>
      <c r="N2703" s="18" t="s">
        <v>387</v>
      </c>
      <c r="O2703" s="27" t="n">
        <v>1</v>
      </c>
      <c r="P2703" s="15" t="n">
        <f aca="false">IF(A2703="","",IF(O2703&lt;&gt;"",O2703,IF(L2703&lt;&gt;"",L2703,F2703)))</f>
        <v>1</v>
      </c>
    </row>
    <row r="2704" customFormat="false" ht="15" hidden="false" customHeight="true" outlineLevel="0" collapsed="false">
      <c r="A2704" s="30" t="s">
        <v>316</v>
      </c>
      <c r="B2704" s="30" t="s">
        <v>317</v>
      </c>
      <c r="C2704" s="21" t="n">
        <f aca="false">IF(A2704="","",IFERROR(VLOOKUP(A2704,'Recert Status'!$A$8:$C$400,3,FALSE()),""))</f>
        <v>46752</v>
      </c>
      <c r="D2704" s="31" t="s">
        <v>1061</v>
      </c>
      <c r="E2704" s="30" t="n">
        <v>29675</v>
      </c>
      <c r="F2704" s="32" t="n">
        <v>1</v>
      </c>
      <c r="G2704" s="33" t="n">
        <v>45995</v>
      </c>
      <c r="H2704" s="33" t="n">
        <v>45995</v>
      </c>
      <c r="I2704" s="31" t="s">
        <v>1062</v>
      </c>
      <c r="J2704" s="30" t="s">
        <v>406</v>
      </c>
      <c r="K2704" s="31" t="s">
        <v>446</v>
      </c>
      <c r="L2704" s="32" t="n">
        <v>1</v>
      </c>
      <c r="M2704" s="35" t="s">
        <v>386</v>
      </c>
      <c r="N2704" s="31" t="s">
        <v>387</v>
      </c>
      <c r="O2704" s="32" t="n">
        <v>1</v>
      </c>
      <c r="P2704" s="15" t="n">
        <f aca="false">IF(A2704="","",IF(O2704&lt;&gt;"",O2704,IF(L2704&lt;&gt;"",L2704,F2704)))</f>
        <v>1</v>
      </c>
    </row>
    <row r="2705" customFormat="false" ht="15" hidden="false" customHeight="true" outlineLevel="0" collapsed="false">
      <c r="A2705" s="26" t="s">
        <v>316</v>
      </c>
      <c r="B2705" s="26" t="s">
        <v>317</v>
      </c>
      <c r="C2705" s="14" t="n">
        <f aca="false">IF(A2705="","",IFERROR(VLOOKUP(A2705,'Recert Status'!$A$8:$C$400,3,FALSE()),""))</f>
        <v>46752</v>
      </c>
      <c r="D2705" s="18" t="s">
        <v>397</v>
      </c>
      <c r="E2705" s="26" t="s">
        <v>452</v>
      </c>
      <c r="F2705" s="27" t="n">
        <v>1</v>
      </c>
      <c r="G2705" s="28" t="n">
        <v>46245</v>
      </c>
      <c r="H2705" s="28" t="n">
        <v>46245</v>
      </c>
      <c r="I2705" s="18" t="s">
        <v>605</v>
      </c>
      <c r="J2705" s="26" t="s">
        <v>452</v>
      </c>
      <c r="K2705" s="18" t="s">
        <v>385</v>
      </c>
      <c r="L2705" s="27" t="n">
        <v>1</v>
      </c>
      <c r="M2705" s="36" t="s">
        <v>396</v>
      </c>
      <c r="N2705" s="18" t="s">
        <v>397</v>
      </c>
      <c r="O2705" s="27" t="n">
        <v>1</v>
      </c>
      <c r="P2705" s="15" t="n">
        <f aca="false">IF(A2705="","",IF(O2705&lt;&gt;"",O2705,IF(L2705&lt;&gt;"",L2705,F2705)))</f>
        <v>1</v>
      </c>
    </row>
    <row r="2706" customFormat="false" ht="15" hidden="false" customHeight="true" outlineLevel="0" collapsed="false">
      <c r="A2706" s="30" t="s">
        <v>316</v>
      </c>
      <c r="B2706" s="30" t="s">
        <v>317</v>
      </c>
      <c r="C2706" s="21" t="n">
        <f aca="false">IF(A2706="","",IFERROR(VLOOKUP(A2706,'Recert Status'!$A$8:$C$400,3,FALSE()),""))</f>
        <v>46752</v>
      </c>
      <c r="D2706" s="31" t="s">
        <v>957</v>
      </c>
      <c r="E2706" s="30" t="s">
        <v>416</v>
      </c>
      <c r="F2706" s="32" t="n">
        <v>1</v>
      </c>
      <c r="G2706" s="33" t="n">
        <v>45843</v>
      </c>
      <c r="H2706" s="33" t="n">
        <v>45843</v>
      </c>
      <c r="I2706" s="31" t="s">
        <v>958</v>
      </c>
      <c r="J2706" s="30" t="s">
        <v>416</v>
      </c>
      <c r="K2706" s="31" t="s">
        <v>674</v>
      </c>
      <c r="L2706" s="32" t="n">
        <v>1</v>
      </c>
      <c r="M2706" s="39" t="s">
        <v>413</v>
      </c>
      <c r="N2706" s="31" t="s">
        <v>414</v>
      </c>
      <c r="O2706" s="32" t="n">
        <v>1</v>
      </c>
      <c r="P2706" s="15" t="n">
        <f aca="false">IF(A2706="","",IF(O2706&lt;&gt;"",O2706,IF(L2706&lt;&gt;"",L2706,F2706)))</f>
        <v>1</v>
      </c>
    </row>
    <row r="2707" customFormat="false" ht="15" hidden="false" customHeight="true" outlineLevel="0" collapsed="false">
      <c r="A2707" s="26" t="s">
        <v>316</v>
      </c>
      <c r="B2707" s="26" t="s">
        <v>317</v>
      </c>
      <c r="C2707" s="14" t="n">
        <f aca="false">IF(A2707="","",IFERROR(VLOOKUP(A2707,'Recert Status'!$A$8:$C$400,3,FALSE()),""))</f>
        <v>46752</v>
      </c>
      <c r="D2707" s="18" t="s">
        <v>582</v>
      </c>
      <c r="E2707" s="26" t="s">
        <v>416</v>
      </c>
      <c r="F2707" s="27" t="n">
        <v>2</v>
      </c>
      <c r="G2707" s="28" t="n">
        <v>45861</v>
      </c>
      <c r="H2707" s="28" t="n">
        <v>45861</v>
      </c>
      <c r="I2707" s="18" t="s">
        <v>583</v>
      </c>
      <c r="J2707" s="26" t="s">
        <v>416</v>
      </c>
      <c r="K2707" s="18" t="s">
        <v>418</v>
      </c>
      <c r="L2707" s="27" t="n">
        <v>2</v>
      </c>
      <c r="M2707" s="39" t="s">
        <v>413</v>
      </c>
      <c r="N2707" s="18" t="s">
        <v>414</v>
      </c>
      <c r="O2707" s="27" t="n">
        <v>2</v>
      </c>
      <c r="P2707" s="15" t="n">
        <f aca="false">IF(A2707="","",IF(O2707&lt;&gt;"",O2707,IF(L2707&lt;&gt;"",L2707,F2707)))</f>
        <v>2</v>
      </c>
    </row>
    <row r="2708" customFormat="false" ht="15" hidden="false" customHeight="true" outlineLevel="0" collapsed="false">
      <c r="A2708" s="30" t="s">
        <v>316</v>
      </c>
      <c r="B2708" s="30" t="s">
        <v>317</v>
      </c>
      <c r="C2708" s="21" t="n">
        <f aca="false">IF(A2708="","",IFERROR(VLOOKUP(A2708,'Recert Status'!$A$8:$C$400,3,FALSE()),""))</f>
        <v>46752</v>
      </c>
      <c r="D2708" s="31" t="s">
        <v>414</v>
      </c>
      <c r="E2708" s="30" t="s">
        <v>416</v>
      </c>
      <c r="F2708" s="32" t="n">
        <v>2</v>
      </c>
      <c r="G2708" s="33" t="n">
        <v>46218</v>
      </c>
      <c r="H2708" s="33" t="n">
        <v>46218</v>
      </c>
      <c r="I2708" s="31" t="s">
        <v>535</v>
      </c>
      <c r="J2708" s="30" t="s">
        <v>416</v>
      </c>
      <c r="K2708" s="31" t="s">
        <v>418</v>
      </c>
      <c r="L2708" s="32" t="n">
        <v>2</v>
      </c>
      <c r="M2708" s="39" t="s">
        <v>413</v>
      </c>
      <c r="N2708" s="31" t="s">
        <v>414</v>
      </c>
      <c r="O2708" s="32" t="n">
        <v>2</v>
      </c>
      <c r="P2708" s="15" t="n">
        <f aca="false">IF(A2708="","",IF(O2708&lt;&gt;"",O2708,IF(L2708&lt;&gt;"",L2708,F2708)))</f>
        <v>2</v>
      </c>
    </row>
    <row r="2709" customFormat="false" ht="15" hidden="false" customHeight="true" outlineLevel="0" collapsed="false">
      <c r="A2709" s="26" t="s">
        <v>318</v>
      </c>
      <c r="B2709" s="26" t="s">
        <v>319</v>
      </c>
      <c r="C2709" s="14" t="n">
        <f aca="false">IF(A2709="","",IFERROR(VLOOKUP(A2709,'Recert Status'!$A$8:$C$400,3,FALSE()),""))</f>
        <v>46387</v>
      </c>
      <c r="D2709" s="18" t="s">
        <v>367</v>
      </c>
      <c r="E2709" s="26" t="s">
        <v>363</v>
      </c>
      <c r="F2709" s="27" t="n">
        <v>1</v>
      </c>
      <c r="G2709" s="28" t="n">
        <v>46271</v>
      </c>
      <c r="H2709" s="28" t="n">
        <v>46271</v>
      </c>
      <c r="I2709" s="18" t="s">
        <v>1712</v>
      </c>
      <c r="J2709" s="26" t="s">
        <v>363</v>
      </c>
      <c r="K2709" s="18" t="s">
        <v>370</v>
      </c>
      <c r="L2709" s="27" t="n">
        <v>1</v>
      </c>
      <c r="M2709" s="29" t="s">
        <v>366</v>
      </c>
      <c r="N2709" s="18" t="s">
        <v>367</v>
      </c>
      <c r="O2709" s="27" t="n">
        <v>1</v>
      </c>
      <c r="P2709" s="15" t="n">
        <f aca="false">IF(A2709="","",IF(O2709&lt;&gt;"",O2709,IF(L2709&lt;&gt;"",L2709,F2709)))</f>
        <v>1</v>
      </c>
    </row>
    <row r="2710" customFormat="false" ht="15" hidden="false" customHeight="true" outlineLevel="0" collapsed="false">
      <c r="A2710" s="30" t="s">
        <v>318</v>
      </c>
      <c r="B2710" s="30" t="s">
        <v>319</v>
      </c>
      <c r="C2710" s="21" t="n">
        <f aca="false">IF(A2710="","",IFERROR(VLOOKUP(A2710,'Recert Status'!$A$8:$C$400,3,FALSE()),""))</f>
        <v>46387</v>
      </c>
      <c r="D2710" s="31" t="s">
        <v>367</v>
      </c>
      <c r="E2710" s="30" t="s">
        <v>363</v>
      </c>
      <c r="F2710" s="32" t="n">
        <v>1</v>
      </c>
      <c r="G2710" s="33" t="n">
        <v>46280</v>
      </c>
      <c r="H2710" s="33" t="n">
        <v>46280</v>
      </c>
      <c r="I2710" s="31" t="s">
        <v>1713</v>
      </c>
      <c r="J2710" s="30" t="s">
        <v>363</v>
      </c>
      <c r="K2710" s="31" t="s">
        <v>370</v>
      </c>
      <c r="L2710" s="32" t="n">
        <v>1</v>
      </c>
      <c r="M2710" s="29" t="s">
        <v>366</v>
      </c>
      <c r="N2710" s="31" t="s">
        <v>367</v>
      </c>
      <c r="O2710" s="32" t="n">
        <v>1</v>
      </c>
      <c r="P2710" s="15" t="n">
        <f aca="false">IF(A2710="","",IF(O2710&lt;&gt;"",O2710,IF(L2710&lt;&gt;"",L2710,F2710)))</f>
        <v>1</v>
      </c>
    </row>
    <row r="2711" customFormat="false" ht="15" hidden="false" customHeight="true" outlineLevel="0" collapsed="false">
      <c r="A2711" s="26" t="s">
        <v>318</v>
      </c>
      <c r="B2711" s="26" t="s">
        <v>319</v>
      </c>
      <c r="C2711" s="14" t="n">
        <f aca="false">IF(A2711="","",IFERROR(VLOOKUP(A2711,'Recert Status'!$A$8:$C$400,3,FALSE()),""))</f>
        <v>46387</v>
      </c>
      <c r="D2711" s="18" t="s">
        <v>367</v>
      </c>
      <c r="E2711" s="26" t="s">
        <v>363</v>
      </c>
      <c r="F2711" s="27" t="n">
        <v>1</v>
      </c>
      <c r="G2711" s="28" t="n">
        <v>46283</v>
      </c>
      <c r="H2711" s="28" t="n">
        <v>46283</v>
      </c>
      <c r="I2711" s="18" t="s">
        <v>1714</v>
      </c>
      <c r="J2711" s="26" t="s">
        <v>363</v>
      </c>
      <c r="K2711" s="18" t="s">
        <v>370</v>
      </c>
      <c r="L2711" s="27" t="n">
        <v>1</v>
      </c>
      <c r="M2711" s="29" t="s">
        <v>366</v>
      </c>
      <c r="N2711" s="18" t="s">
        <v>367</v>
      </c>
      <c r="O2711" s="27" t="n">
        <v>1</v>
      </c>
      <c r="P2711" s="15" t="n">
        <f aca="false">IF(A2711="","",IF(O2711&lt;&gt;"",O2711,IF(L2711&lt;&gt;"",L2711,F2711)))</f>
        <v>1</v>
      </c>
    </row>
    <row r="2712" customFormat="false" ht="15" hidden="false" customHeight="true" outlineLevel="0" collapsed="false">
      <c r="A2712" s="30" t="s">
        <v>318</v>
      </c>
      <c r="B2712" s="30" t="s">
        <v>319</v>
      </c>
      <c r="C2712" s="21" t="n">
        <f aca="false">IF(A2712="","",IFERROR(VLOOKUP(A2712,'Recert Status'!$A$8:$C$400,3,FALSE()),""))</f>
        <v>46387</v>
      </c>
      <c r="D2712" s="31" t="s">
        <v>367</v>
      </c>
      <c r="E2712" s="30" t="s">
        <v>363</v>
      </c>
      <c r="F2712" s="32" t="n">
        <v>1</v>
      </c>
      <c r="G2712" s="33" t="n">
        <v>46286</v>
      </c>
      <c r="H2712" s="33" t="n">
        <v>46286</v>
      </c>
      <c r="I2712" s="31" t="s">
        <v>883</v>
      </c>
      <c r="J2712" s="30" t="s">
        <v>363</v>
      </c>
      <c r="K2712" s="31" t="s">
        <v>365</v>
      </c>
      <c r="L2712" s="32" t="n">
        <v>1</v>
      </c>
      <c r="M2712" s="29" t="s">
        <v>366</v>
      </c>
      <c r="N2712" s="31" t="s">
        <v>367</v>
      </c>
      <c r="O2712" s="32" t="n">
        <v>1</v>
      </c>
      <c r="P2712" s="15" t="n">
        <f aca="false">IF(A2712="","",IF(O2712&lt;&gt;"",O2712,IF(L2712&lt;&gt;"",L2712,F2712)))</f>
        <v>1</v>
      </c>
    </row>
    <row r="2713" customFormat="false" ht="15" hidden="false" customHeight="true" outlineLevel="0" collapsed="false">
      <c r="A2713" s="26" t="s">
        <v>318</v>
      </c>
      <c r="B2713" s="26" t="s">
        <v>319</v>
      </c>
      <c r="C2713" s="14" t="n">
        <f aca="false">IF(A2713="","",IFERROR(VLOOKUP(A2713,'Recert Status'!$A$8:$C$400,3,FALSE()),""))</f>
        <v>46387</v>
      </c>
      <c r="D2713" s="18" t="s">
        <v>1715</v>
      </c>
      <c r="E2713" s="26" t="s">
        <v>426</v>
      </c>
      <c r="F2713" s="27" t="n">
        <v>1</v>
      </c>
      <c r="G2713" s="28" t="n">
        <v>45830</v>
      </c>
      <c r="H2713" s="28" t="n">
        <v>45830</v>
      </c>
      <c r="I2713" s="18" t="s">
        <v>1716</v>
      </c>
      <c r="J2713" s="26" t="s">
        <v>426</v>
      </c>
      <c r="K2713" s="18" t="s">
        <v>428</v>
      </c>
      <c r="L2713" s="27" t="n">
        <v>1</v>
      </c>
      <c r="M2713" s="41" t="s">
        <v>429</v>
      </c>
      <c r="N2713" s="18" t="s">
        <v>430</v>
      </c>
      <c r="O2713" s="27" t="n">
        <v>1</v>
      </c>
      <c r="P2713" s="15" t="n">
        <f aca="false">IF(A2713="","",IF(O2713&lt;&gt;"",O2713,IF(L2713&lt;&gt;"",L2713,F2713)))</f>
        <v>1</v>
      </c>
    </row>
    <row r="2714" customFormat="false" ht="15" hidden="false" customHeight="true" outlineLevel="0" collapsed="false">
      <c r="A2714" s="30" t="s">
        <v>318</v>
      </c>
      <c r="B2714" s="30" t="s">
        <v>319</v>
      </c>
      <c r="C2714" s="21" t="n">
        <f aca="false">IF(A2714="","",IFERROR(VLOOKUP(A2714,'Recert Status'!$A$8:$C$400,3,FALSE()),""))</f>
        <v>46387</v>
      </c>
      <c r="D2714" s="31" t="s">
        <v>884</v>
      </c>
      <c r="E2714" s="30" t="s">
        <v>426</v>
      </c>
      <c r="F2714" s="32" t="n">
        <v>2</v>
      </c>
      <c r="G2714" s="33" t="n">
        <v>45929</v>
      </c>
      <c r="H2714" s="33" t="n">
        <v>45929</v>
      </c>
      <c r="I2714" s="31" t="s">
        <v>885</v>
      </c>
      <c r="J2714" s="30" t="s">
        <v>426</v>
      </c>
      <c r="K2714" s="31" t="s">
        <v>428</v>
      </c>
      <c r="L2714" s="32" t="n">
        <v>2</v>
      </c>
      <c r="M2714" s="41" t="s">
        <v>429</v>
      </c>
      <c r="N2714" s="31" t="s">
        <v>430</v>
      </c>
      <c r="O2714" s="32" t="n">
        <v>2</v>
      </c>
      <c r="P2714" s="15" t="n">
        <f aca="false">IF(A2714="","",IF(O2714&lt;&gt;"",O2714,IF(L2714&lt;&gt;"",L2714,F2714)))</f>
        <v>2</v>
      </c>
    </row>
    <row r="2715" customFormat="false" ht="15" hidden="false" customHeight="true" outlineLevel="0" collapsed="false">
      <c r="A2715" s="26" t="s">
        <v>318</v>
      </c>
      <c r="B2715" s="26" t="s">
        <v>319</v>
      </c>
      <c r="C2715" s="14" t="n">
        <f aca="false">IF(A2715="","",IFERROR(VLOOKUP(A2715,'Recert Status'!$A$8:$C$400,3,FALSE()),""))</f>
        <v>46387</v>
      </c>
      <c r="D2715" s="18" t="s">
        <v>430</v>
      </c>
      <c r="E2715" s="26" t="s">
        <v>426</v>
      </c>
      <c r="F2715" s="27" t="n">
        <v>1</v>
      </c>
      <c r="G2715" s="28" t="n">
        <v>46271</v>
      </c>
      <c r="H2715" s="28" t="n">
        <v>46271</v>
      </c>
      <c r="I2715" s="18" t="s">
        <v>1717</v>
      </c>
      <c r="J2715" s="26" t="s">
        <v>426</v>
      </c>
      <c r="K2715" s="18" t="s">
        <v>428</v>
      </c>
      <c r="L2715" s="27" t="n">
        <v>1</v>
      </c>
      <c r="M2715" s="41" t="s">
        <v>429</v>
      </c>
      <c r="N2715" s="18" t="s">
        <v>430</v>
      </c>
      <c r="O2715" s="27" t="n">
        <v>1</v>
      </c>
      <c r="P2715" s="15" t="n">
        <f aca="false">IF(A2715="","",IF(O2715&lt;&gt;"",O2715,IF(L2715&lt;&gt;"",L2715,F2715)))</f>
        <v>1</v>
      </c>
    </row>
    <row r="2716" customFormat="false" ht="15" hidden="false" customHeight="true" outlineLevel="0" collapsed="false">
      <c r="A2716" s="30" t="s">
        <v>318</v>
      </c>
      <c r="B2716" s="30" t="s">
        <v>319</v>
      </c>
      <c r="C2716" s="21" t="n">
        <f aca="false">IF(A2716="","",IFERROR(VLOOKUP(A2716,'Recert Status'!$A$8:$C$400,3,FALSE()),""))</f>
        <v>46387</v>
      </c>
      <c r="D2716" s="31" t="s">
        <v>430</v>
      </c>
      <c r="E2716" s="30" t="s">
        <v>426</v>
      </c>
      <c r="F2716" s="32" t="n">
        <v>1</v>
      </c>
      <c r="G2716" s="33" t="n">
        <v>46286</v>
      </c>
      <c r="H2716" s="33" t="n">
        <v>46286</v>
      </c>
      <c r="I2716" s="31" t="s">
        <v>890</v>
      </c>
      <c r="J2716" s="30" t="s">
        <v>426</v>
      </c>
      <c r="K2716" s="31" t="s">
        <v>428</v>
      </c>
      <c r="L2716" s="32" t="n">
        <v>1</v>
      </c>
      <c r="M2716" s="41" t="s">
        <v>429</v>
      </c>
      <c r="N2716" s="31" t="s">
        <v>430</v>
      </c>
      <c r="O2716" s="32" t="n">
        <v>1</v>
      </c>
      <c r="P2716" s="15" t="n">
        <f aca="false">IF(A2716="","",IF(O2716&lt;&gt;"",O2716,IF(L2716&lt;&gt;"",L2716,F2716)))</f>
        <v>1</v>
      </c>
    </row>
    <row r="2717" customFormat="false" ht="15" hidden="false" customHeight="true" outlineLevel="0" collapsed="false">
      <c r="A2717" s="26" t="s">
        <v>318</v>
      </c>
      <c r="B2717" s="26" t="s">
        <v>319</v>
      </c>
      <c r="C2717" s="14" t="n">
        <f aca="false">IF(A2717="","",IFERROR(VLOOKUP(A2717,'Recert Status'!$A$8:$C$400,3,FALSE()),""))</f>
        <v>46387</v>
      </c>
      <c r="D2717" s="18" t="s">
        <v>379</v>
      </c>
      <c r="E2717" s="26" t="s">
        <v>372</v>
      </c>
      <c r="F2717" s="27" t="n">
        <v>0.5</v>
      </c>
      <c r="G2717" s="28" t="n">
        <v>45752</v>
      </c>
      <c r="H2717" s="28" t="n">
        <v>45752</v>
      </c>
      <c r="I2717" s="18" t="s">
        <v>1718</v>
      </c>
      <c r="J2717" s="26" t="s">
        <v>372</v>
      </c>
      <c r="K2717" s="18" t="s">
        <v>374</v>
      </c>
      <c r="L2717" s="27" t="n">
        <v>0.5</v>
      </c>
      <c r="M2717" s="34" t="s">
        <v>375</v>
      </c>
      <c r="N2717" s="18" t="s">
        <v>376</v>
      </c>
      <c r="O2717" s="27" t="n">
        <v>0.5</v>
      </c>
      <c r="P2717" s="15" t="n">
        <f aca="false">IF(A2717="","",IF(O2717&lt;&gt;"",O2717,IF(L2717&lt;&gt;"",L2717,F2717)))</f>
        <v>0.5</v>
      </c>
    </row>
    <row r="2718" customFormat="false" ht="15" hidden="false" customHeight="true" outlineLevel="0" collapsed="false">
      <c r="A2718" s="30" t="s">
        <v>318</v>
      </c>
      <c r="B2718" s="30" t="s">
        <v>319</v>
      </c>
      <c r="C2718" s="21" t="n">
        <f aca="false">IF(A2718="","",IFERROR(VLOOKUP(A2718,'Recert Status'!$A$8:$C$400,3,FALSE()),""))</f>
        <v>46387</v>
      </c>
      <c r="D2718" s="31" t="s">
        <v>736</v>
      </c>
      <c r="E2718" s="30" t="n">
        <v>35513</v>
      </c>
      <c r="F2718" s="32" t="n">
        <v>2</v>
      </c>
      <c r="G2718" s="33" t="n">
        <v>45884</v>
      </c>
      <c r="H2718" s="33" t="n">
        <v>45884</v>
      </c>
      <c r="I2718" s="31" t="s">
        <v>737</v>
      </c>
      <c r="J2718" s="30" t="s">
        <v>384</v>
      </c>
      <c r="K2718" s="31" t="s">
        <v>385</v>
      </c>
      <c r="L2718" s="32" t="n">
        <v>2</v>
      </c>
      <c r="M2718" s="35" t="s">
        <v>386</v>
      </c>
      <c r="N2718" s="31" t="s">
        <v>387</v>
      </c>
      <c r="O2718" s="32" t="n">
        <v>2</v>
      </c>
      <c r="P2718" s="15" t="n">
        <f aca="false">IF(A2718="","",IF(O2718&lt;&gt;"",O2718,IF(L2718&lt;&gt;"",L2718,F2718)))</f>
        <v>2</v>
      </c>
    </row>
    <row r="2719" customFormat="false" ht="15" hidden="false" customHeight="true" outlineLevel="0" collapsed="false">
      <c r="A2719" s="26" t="s">
        <v>318</v>
      </c>
      <c r="B2719" s="26" t="s">
        <v>319</v>
      </c>
      <c r="C2719" s="14" t="n">
        <f aca="false">IF(A2719="","",IFERROR(VLOOKUP(A2719,'Recert Status'!$A$8:$C$400,3,FALSE()),""))</f>
        <v>46387</v>
      </c>
      <c r="D2719" s="18" t="s">
        <v>1719</v>
      </c>
      <c r="E2719" s="26" t="n">
        <v>29784</v>
      </c>
      <c r="F2719" s="27" t="n">
        <v>1</v>
      </c>
      <c r="G2719" s="28" t="n">
        <v>45905</v>
      </c>
      <c r="H2719" s="28" t="n">
        <v>45905</v>
      </c>
      <c r="I2719" s="18" t="s">
        <v>1720</v>
      </c>
      <c r="J2719" s="26" t="s">
        <v>435</v>
      </c>
      <c r="K2719" s="18" t="s">
        <v>1721</v>
      </c>
      <c r="L2719" s="27" t="n">
        <v>1</v>
      </c>
      <c r="M2719" s="35" t="s">
        <v>386</v>
      </c>
      <c r="N2719" s="18" t="s">
        <v>387</v>
      </c>
      <c r="O2719" s="27" t="n">
        <v>1</v>
      </c>
      <c r="P2719" s="15" t="n">
        <f aca="false">IF(A2719="","",IF(O2719&lt;&gt;"",O2719,IF(L2719&lt;&gt;"",L2719,F2719)))</f>
        <v>1</v>
      </c>
    </row>
    <row r="2720" customFormat="false" ht="15" hidden="false" customHeight="true" outlineLevel="0" collapsed="false">
      <c r="A2720" s="30" t="s">
        <v>318</v>
      </c>
      <c r="B2720" s="30" t="s">
        <v>319</v>
      </c>
      <c r="C2720" s="21" t="n">
        <f aca="false">IF(A2720="","",IFERROR(VLOOKUP(A2720,'Recert Status'!$A$8:$C$400,3,FALSE()),""))</f>
        <v>46387</v>
      </c>
      <c r="D2720" s="31" t="s">
        <v>1182</v>
      </c>
      <c r="E2720" s="30" t="n">
        <v>29743</v>
      </c>
      <c r="F2720" s="32" t="n">
        <v>1.5</v>
      </c>
      <c r="G2720" s="33" t="n">
        <v>45911</v>
      </c>
      <c r="H2720" s="33" t="n">
        <v>45911</v>
      </c>
      <c r="I2720" s="31" t="s">
        <v>1183</v>
      </c>
      <c r="J2720" s="30" t="s">
        <v>439</v>
      </c>
      <c r="K2720" s="31" t="s">
        <v>385</v>
      </c>
      <c r="L2720" s="32" t="n">
        <v>1.5</v>
      </c>
      <c r="M2720" s="35" t="s">
        <v>386</v>
      </c>
      <c r="N2720" s="31" t="s">
        <v>387</v>
      </c>
      <c r="O2720" s="32" t="n">
        <v>1.5</v>
      </c>
      <c r="P2720" s="15" t="n">
        <f aca="false">IF(A2720="","",IF(O2720&lt;&gt;"",O2720,IF(L2720&lt;&gt;"",L2720,F2720)))</f>
        <v>1.5</v>
      </c>
    </row>
    <row r="2721" customFormat="false" ht="15" hidden="false" customHeight="true" outlineLevel="0" collapsed="false">
      <c r="A2721" s="26" t="s">
        <v>318</v>
      </c>
      <c r="B2721" s="26" t="s">
        <v>319</v>
      </c>
      <c r="C2721" s="14" t="n">
        <f aca="false">IF(A2721="","",IFERROR(VLOOKUP(A2721,'Recert Status'!$A$8:$C$400,3,FALSE()),""))</f>
        <v>46387</v>
      </c>
      <c r="D2721" s="18" t="s">
        <v>447</v>
      </c>
      <c r="E2721" s="26" t="n">
        <v>29675</v>
      </c>
      <c r="F2721" s="27" t="n">
        <v>1</v>
      </c>
      <c r="G2721" s="28" t="n">
        <v>45986</v>
      </c>
      <c r="H2721" s="28" t="n">
        <v>45986</v>
      </c>
      <c r="I2721" s="18" t="s">
        <v>448</v>
      </c>
      <c r="J2721" s="26" t="s">
        <v>406</v>
      </c>
      <c r="K2721" s="18" t="s">
        <v>446</v>
      </c>
      <c r="L2721" s="27" t="n">
        <v>1</v>
      </c>
      <c r="M2721" s="35" t="s">
        <v>386</v>
      </c>
      <c r="N2721" s="18" t="s">
        <v>387</v>
      </c>
      <c r="O2721" s="27" t="n">
        <v>1</v>
      </c>
      <c r="P2721" s="15" t="n">
        <f aca="false">IF(A2721="","",IF(O2721&lt;&gt;"",O2721,IF(L2721&lt;&gt;"",L2721,F2721)))</f>
        <v>1</v>
      </c>
    </row>
    <row r="2722" customFormat="false" ht="15" hidden="false" customHeight="true" outlineLevel="0" collapsed="false">
      <c r="A2722" s="30" t="s">
        <v>318</v>
      </c>
      <c r="B2722" s="30" t="s">
        <v>319</v>
      </c>
      <c r="C2722" s="21" t="n">
        <f aca="false">IF(A2722="","",IFERROR(VLOOKUP(A2722,'Recert Status'!$A$8:$C$400,3,FALSE()),""))</f>
        <v>46387</v>
      </c>
      <c r="D2722" s="31" t="s">
        <v>1722</v>
      </c>
      <c r="E2722" s="30" t="n">
        <v>29740</v>
      </c>
      <c r="F2722" s="32" t="n">
        <v>1</v>
      </c>
      <c r="G2722" s="33" t="n">
        <v>46154</v>
      </c>
      <c r="H2722" s="33" t="n">
        <v>46154</v>
      </c>
      <c r="I2722" s="31" t="s">
        <v>868</v>
      </c>
      <c r="J2722" s="30" t="s">
        <v>394</v>
      </c>
      <c r="K2722" s="31" t="s">
        <v>735</v>
      </c>
      <c r="L2722" s="32" t="n">
        <v>1</v>
      </c>
      <c r="M2722" s="35" t="s">
        <v>386</v>
      </c>
      <c r="N2722" s="31" t="s">
        <v>387</v>
      </c>
      <c r="O2722" s="32" t="n">
        <v>1</v>
      </c>
      <c r="P2722" s="15" t="n">
        <f aca="false">IF(A2722="","",IF(O2722&lt;&gt;"",O2722,IF(L2722&lt;&gt;"",L2722,F2722)))</f>
        <v>1</v>
      </c>
    </row>
    <row r="2723" customFormat="false" ht="15" hidden="false" customHeight="true" outlineLevel="0" collapsed="false">
      <c r="A2723" s="26" t="s">
        <v>318</v>
      </c>
      <c r="B2723" s="26" t="s">
        <v>319</v>
      </c>
      <c r="C2723" s="14" t="n">
        <f aca="false">IF(A2723="","",IFERROR(VLOOKUP(A2723,'Recert Status'!$A$8:$C$400,3,FALSE()),""))</f>
        <v>46387</v>
      </c>
      <c r="D2723" s="18" t="s">
        <v>471</v>
      </c>
      <c r="E2723" s="26" t="s">
        <v>389</v>
      </c>
      <c r="F2723" s="27" t="n">
        <v>1</v>
      </c>
      <c r="G2723" s="28" t="n">
        <v>46184</v>
      </c>
      <c r="H2723" s="28" t="n">
        <v>46184</v>
      </c>
      <c r="I2723" s="18" t="s">
        <v>472</v>
      </c>
      <c r="J2723" s="26" t="s">
        <v>389</v>
      </c>
      <c r="K2723" s="18" t="s">
        <v>473</v>
      </c>
      <c r="L2723" s="27" t="n">
        <v>1</v>
      </c>
      <c r="M2723" s="35" t="s">
        <v>386</v>
      </c>
      <c r="N2723" s="18" t="s">
        <v>387</v>
      </c>
      <c r="O2723" s="27" t="n">
        <v>1</v>
      </c>
      <c r="P2723" s="15" t="n">
        <f aca="false">IF(A2723="","",IF(O2723&lt;&gt;"",O2723,IF(L2723&lt;&gt;"",L2723,F2723)))</f>
        <v>1</v>
      </c>
    </row>
    <row r="2724" customFormat="false" ht="15" hidden="false" customHeight="true" outlineLevel="0" collapsed="false">
      <c r="A2724" s="30" t="s">
        <v>318</v>
      </c>
      <c r="B2724" s="30" t="s">
        <v>319</v>
      </c>
      <c r="C2724" s="21" t="n">
        <f aca="false">IF(A2724="","",IFERROR(VLOOKUP(A2724,'Recert Status'!$A$8:$C$400,3,FALSE()),""))</f>
        <v>46387</v>
      </c>
      <c r="D2724" s="31" t="s">
        <v>387</v>
      </c>
      <c r="E2724" s="30" t="s">
        <v>389</v>
      </c>
      <c r="F2724" s="32" t="n">
        <v>1</v>
      </c>
      <c r="G2724" s="33" t="n">
        <v>46256</v>
      </c>
      <c r="H2724" s="33" t="n">
        <v>46256</v>
      </c>
      <c r="I2724" s="31" t="s">
        <v>1723</v>
      </c>
      <c r="J2724" s="30" t="s">
        <v>389</v>
      </c>
      <c r="K2724" s="31" t="s">
        <v>451</v>
      </c>
      <c r="L2724" s="32" t="n">
        <v>1</v>
      </c>
      <c r="M2724" s="35" t="s">
        <v>386</v>
      </c>
      <c r="N2724" s="31" t="s">
        <v>387</v>
      </c>
      <c r="O2724" s="32" t="n">
        <v>1</v>
      </c>
      <c r="P2724" s="15" t="n">
        <f aca="false">IF(A2724="","",IF(O2724&lt;&gt;"",O2724,IF(L2724&lt;&gt;"",L2724,F2724)))</f>
        <v>1</v>
      </c>
    </row>
    <row r="2725" customFormat="false" ht="15" hidden="false" customHeight="true" outlineLevel="0" collapsed="false">
      <c r="A2725" s="26" t="s">
        <v>318</v>
      </c>
      <c r="B2725" s="26" t="s">
        <v>319</v>
      </c>
      <c r="C2725" s="14" t="n">
        <f aca="false">IF(A2725="","",IFERROR(VLOOKUP(A2725,'Recert Status'!$A$8:$C$400,3,FALSE()),""))</f>
        <v>46387</v>
      </c>
      <c r="D2725" s="18" t="s">
        <v>387</v>
      </c>
      <c r="E2725" s="26" t="s">
        <v>389</v>
      </c>
      <c r="F2725" s="27" t="n">
        <v>1</v>
      </c>
      <c r="G2725" s="28" t="n">
        <v>46286</v>
      </c>
      <c r="H2725" s="28" t="n">
        <v>46286</v>
      </c>
      <c r="I2725" s="18" t="s">
        <v>903</v>
      </c>
      <c r="J2725" s="26" t="s">
        <v>389</v>
      </c>
      <c r="K2725" s="18" t="s">
        <v>904</v>
      </c>
      <c r="L2725" s="27" t="n">
        <v>1</v>
      </c>
      <c r="M2725" s="35" t="s">
        <v>386</v>
      </c>
      <c r="N2725" s="18" t="s">
        <v>387</v>
      </c>
      <c r="O2725" s="27" t="n">
        <v>1</v>
      </c>
      <c r="P2725" s="15" t="n">
        <f aca="false">IF(A2725="","",IF(O2725&lt;&gt;"",O2725,IF(L2725&lt;&gt;"",L2725,F2725)))</f>
        <v>1</v>
      </c>
    </row>
    <row r="2726" customFormat="false" ht="15" hidden="false" customHeight="true" outlineLevel="0" collapsed="false">
      <c r="A2726" s="30" t="s">
        <v>318</v>
      </c>
      <c r="B2726" s="30" t="s">
        <v>319</v>
      </c>
      <c r="C2726" s="21" t="n">
        <f aca="false">IF(A2726="","",IFERROR(VLOOKUP(A2726,'Recert Status'!$A$8:$C$400,3,FALSE()),""))</f>
        <v>46387</v>
      </c>
      <c r="D2726" s="31" t="s">
        <v>387</v>
      </c>
      <c r="E2726" s="30" t="s">
        <v>389</v>
      </c>
      <c r="F2726" s="32" t="n">
        <v>1</v>
      </c>
      <c r="G2726" s="33" t="n">
        <v>46298</v>
      </c>
      <c r="H2726" s="33" t="n">
        <v>46298</v>
      </c>
      <c r="I2726" s="31" t="s">
        <v>1724</v>
      </c>
      <c r="J2726" s="30" t="s">
        <v>389</v>
      </c>
      <c r="K2726" s="31" t="s">
        <v>495</v>
      </c>
      <c r="L2726" s="32" t="n">
        <v>1</v>
      </c>
      <c r="M2726" s="35" t="s">
        <v>386</v>
      </c>
      <c r="N2726" s="31" t="s">
        <v>387</v>
      </c>
      <c r="O2726" s="32" t="n">
        <v>1</v>
      </c>
      <c r="P2726" s="15" t="n">
        <f aca="false">IF(A2726="","",IF(O2726&lt;&gt;"",O2726,IF(L2726&lt;&gt;"",L2726,F2726)))</f>
        <v>1</v>
      </c>
    </row>
    <row r="2727" customFormat="false" ht="15" hidden="false" customHeight="true" outlineLevel="0" collapsed="false">
      <c r="A2727" s="26" t="s">
        <v>318</v>
      </c>
      <c r="B2727" s="26" t="s">
        <v>319</v>
      </c>
      <c r="C2727" s="14" t="n">
        <f aca="false">IF(A2727="","",IFERROR(VLOOKUP(A2727,'Recert Status'!$A$8:$C$400,3,FALSE()),""))</f>
        <v>46387</v>
      </c>
      <c r="D2727" s="18" t="s">
        <v>387</v>
      </c>
      <c r="E2727" s="26" t="s">
        <v>389</v>
      </c>
      <c r="F2727" s="27" t="n">
        <v>1</v>
      </c>
      <c r="G2727" s="28" t="n">
        <v>46298</v>
      </c>
      <c r="H2727" s="28" t="n">
        <v>46298</v>
      </c>
      <c r="I2727" s="18" t="s">
        <v>1725</v>
      </c>
      <c r="J2727" s="26" t="s">
        <v>389</v>
      </c>
      <c r="K2727" s="18" t="s">
        <v>495</v>
      </c>
      <c r="L2727" s="27" t="n">
        <v>1</v>
      </c>
      <c r="M2727" s="35" t="s">
        <v>386</v>
      </c>
      <c r="N2727" s="18" t="s">
        <v>387</v>
      </c>
      <c r="O2727" s="27" t="n">
        <v>1</v>
      </c>
      <c r="P2727" s="15" t="n">
        <f aca="false">IF(A2727="","",IF(O2727&lt;&gt;"",O2727,IF(L2727&lt;&gt;"",L2727,F2727)))</f>
        <v>1</v>
      </c>
    </row>
    <row r="2728" customFormat="false" ht="15" hidden="false" customHeight="true" outlineLevel="0" collapsed="false">
      <c r="A2728" s="30" t="s">
        <v>318</v>
      </c>
      <c r="B2728" s="30" t="s">
        <v>319</v>
      </c>
      <c r="C2728" s="21" t="n">
        <f aca="false">IF(A2728="","",IFERROR(VLOOKUP(A2728,'Recert Status'!$A$8:$C$400,3,FALSE()),""))</f>
        <v>46387</v>
      </c>
      <c r="D2728" s="31" t="s">
        <v>397</v>
      </c>
      <c r="E2728" s="30" t="s">
        <v>452</v>
      </c>
      <c r="F2728" s="32" t="n">
        <v>1</v>
      </c>
      <c r="G2728" s="33" t="n">
        <v>46295</v>
      </c>
      <c r="H2728" s="33" t="n">
        <v>46295</v>
      </c>
      <c r="I2728" s="31" t="s">
        <v>1726</v>
      </c>
      <c r="J2728" s="30" t="s">
        <v>452</v>
      </c>
      <c r="K2728" s="31" t="s">
        <v>385</v>
      </c>
      <c r="L2728" s="32" t="n">
        <v>1</v>
      </c>
      <c r="M2728" s="36" t="s">
        <v>396</v>
      </c>
      <c r="N2728" s="31" t="s">
        <v>397</v>
      </c>
      <c r="O2728" s="32" t="n">
        <v>1</v>
      </c>
      <c r="P2728" s="15" t="n">
        <f aca="false">IF(A2728="","",IF(O2728&lt;&gt;"",O2728,IF(L2728&lt;&gt;"",L2728,F2728)))</f>
        <v>1</v>
      </c>
    </row>
    <row r="2729" customFormat="false" ht="15" hidden="false" customHeight="true" outlineLevel="0" collapsed="false">
      <c r="A2729" s="26" t="s">
        <v>318</v>
      </c>
      <c r="B2729" s="26" t="s">
        <v>319</v>
      </c>
      <c r="C2729" s="14" t="n">
        <f aca="false">IF(A2729="","",IFERROR(VLOOKUP(A2729,'Recert Status'!$A$8:$C$400,3,FALSE()),""))</f>
        <v>46387</v>
      </c>
      <c r="D2729" s="18" t="s">
        <v>870</v>
      </c>
      <c r="E2729" s="26" t="s">
        <v>399</v>
      </c>
      <c r="F2729" s="27" t="n">
        <v>1</v>
      </c>
      <c r="G2729" s="28" t="n">
        <v>46082</v>
      </c>
      <c r="H2729" s="28" t="n">
        <v>46082</v>
      </c>
      <c r="I2729" s="18" t="s">
        <v>1188</v>
      </c>
      <c r="J2729" s="26" t="s">
        <v>399</v>
      </c>
      <c r="K2729" s="18" t="s">
        <v>401</v>
      </c>
      <c r="L2729" s="27" t="n">
        <v>1</v>
      </c>
      <c r="M2729" s="37" t="s">
        <v>402</v>
      </c>
      <c r="N2729" s="18" t="s">
        <v>403</v>
      </c>
      <c r="O2729" s="27" t="n">
        <v>1</v>
      </c>
      <c r="P2729" s="15" t="n">
        <f aca="false">IF(A2729="","",IF(O2729&lt;&gt;"",O2729,IF(L2729&lt;&gt;"",L2729,F2729)))</f>
        <v>1</v>
      </c>
    </row>
    <row r="2730" customFormat="false" ht="15" hidden="false" customHeight="true" outlineLevel="0" collapsed="false">
      <c r="A2730" s="30" t="s">
        <v>318</v>
      </c>
      <c r="B2730" s="30" t="s">
        <v>319</v>
      </c>
      <c r="C2730" s="21" t="n">
        <f aca="false">IF(A2730="","",IFERROR(VLOOKUP(A2730,'Recert Status'!$A$8:$C$400,3,FALSE()),""))</f>
        <v>46387</v>
      </c>
      <c r="D2730" s="31" t="s">
        <v>1727</v>
      </c>
      <c r="E2730" s="30" t="n">
        <v>29740</v>
      </c>
      <c r="F2730" s="32" t="n">
        <v>1</v>
      </c>
      <c r="G2730" s="33" t="n">
        <v>46082</v>
      </c>
      <c r="H2730" s="33" t="n">
        <v>46082</v>
      </c>
      <c r="I2730" s="31" t="s">
        <v>1728</v>
      </c>
      <c r="J2730" s="30" t="s">
        <v>394</v>
      </c>
      <c r="K2730" s="31" t="s">
        <v>507</v>
      </c>
      <c r="L2730" s="32" t="n">
        <v>1</v>
      </c>
      <c r="M2730" s="38" t="s">
        <v>408</v>
      </c>
      <c r="N2730" s="31" t="s">
        <v>409</v>
      </c>
      <c r="O2730" s="32" t="n">
        <v>1</v>
      </c>
      <c r="P2730" s="15" t="n">
        <f aca="false">IF(A2730="","",IF(O2730&lt;&gt;"",O2730,IF(L2730&lt;&gt;"",L2730,F2730)))</f>
        <v>1</v>
      </c>
    </row>
    <row r="2731" customFormat="false" ht="15" hidden="false" customHeight="true" outlineLevel="0" collapsed="false">
      <c r="A2731" s="26" t="s">
        <v>318</v>
      </c>
      <c r="B2731" s="26" t="s">
        <v>319</v>
      </c>
      <c r="C2731" s="14" t="n">
        <f aca="false">IF(A2731="","",IFERROR(VLOOKUP(A2731,'Recert Status'!$A$8:$C$400,3,FALSE()),""))</f>
        <v>46387</v>
      </c>
      <c r="D2731" s="18" t="s">
        <v>672</v>
      </c>
      <c r="E2731" s="26" t="s">
        <v>416</v>
      </c>
      <c r="F2731" s="27" t="n">
        <v>1</v>
      </c>
      <c r="G2731" s="28" t="n">
        <v>45824</v>
      </c>
      <c r="H2731" s="28" t="n">
        <v>45824</v>
      </c>
      <c r="I2731" s="18" t="s">
        <v>1172</v>
      </c>
      <c r="J2731" s="26" t="s">
        <v>416</v>
      </c>
      <c r="K2731" s="18" t="s">
        <v>418</v>
      </c>
      <c r="L2731" s="27" t="n">
        <v>1</v>
      </c>
      <c r="M2731" s="39" t="s">
        <v>413</v>
      </c>
      <c r="N2731" s="18" t="s">
        <v>414</v>
      </c>
      <c r="O2731" s="27" t="n">
        <v>1</v>
      </c>
      <c r="P2731" s="15" t="n">
        <f aca="false">IF(A2731="","",IF(O2731&lt;&gt;"",O2731,IF(L2731&lt;&gt;"",L2731,F2731)))</f>
        <v>1</v>
      </c>
    </row>
    <row r="2732" customFormat="false" ht="15" hidden="false" customHeight="true" outlineLevel="0" collapsed="false">
      <c r="A2732" s="30" t="s">
        <v>318</v>
      </c>
      <c r="B2732" s="30" t="s">
        <v>319</v>
      </c>
      <c r="C2732" s="21" t="n">
        <f aca="false">IF(A2732="","",IFERROR(VLOOKUP(A2732,'Recert Status'!$A$8:$C$400,3,FALSE()),""))</f>
        <v>46387</v>
      </c>
      <c r="D2732" s="31" t="s">
        <v>705</v>
      </c>
      <c r="E2732" s="30" t="s">
        <v>416</v>
      </c>
      <c r="F2732" s="32" t="n">
        <v>0.5</v>
      </c>
      <c r="G2732" s="33" t="n">
        <v>45854</v>
      </c>
      <c r="H2732" s="33" t="n">
        <v>45854</v>
      </c>
      <c r="I2732" s="31" t="s">
        <v>1173</v>
      </c>
      <c r="J2732" s="30" t="s">
        <v>416</v>
      </c>
      <c r="K2732" s="31" t="s">
        <v>412</v>
      </c>
      <c r="L2732" s="32" t="n">
        <v>0.5</v>
      </c>
      <c r="M2732" s="39" t="s">
        <v>413</v>
      </c>
      <c r="N2732" s="31" t="s">
        <v>414</v>
      </c>
      <c r="O2732" s="32" t="n">
        <v>0.5</v>
      </c>
      <c r="P2732" s="15" t="n">
        <f aca="false">IF(A2732="","",IF(O2732&lt;&gt;"",O2732,IF(L2732&lt;&gt;"",L2732,F2732)))</f>
        <v>0.5</v>
      </c>
    </row>
    <row r="2733" customFormat="false" ht="15" hidden="false" customHeight="true" outlineLevel="0" collapsed="false">
      <c r="A2733" s="26" t="s">
        <v>318</v>
      </c>
      <c r="B2733" s="26" t="s">
        <v>319</v>
      </c>
      <c r="C2733" s="14" t="n">
        <f aca="false">IF(A2733="","",IFERROR(VLOOKUP(A2733,'Recert Status'!$A$8:$C$400,3,FALSE()),""))</f>
        <v>46387</v>
      </c>
      <c r="D2733" s="18" t="s">
        <v>457</v>
      </c>
      <c r="E2733" s="26" t="s">
        <v>416</v>
      </c>
      <c r="F2733" s="27" t="n">
        <v>2</v>
      </c>
      <c r="G2733" s="28" t="n">
        <v>45860</v>
      </c>
      <c r="H2733" s="28" t="n">
        <v>45860</v>
      </c>
      <c r="I2733" s="18" t="s">
        <v>720</v>
      </c>
      <c r="J2733" s="26" t="s">
        <v>416</v>
      </c>
      <c r="K2733" s="18" t="s">
        <v>459</v>
      </c>
      <c r="L2733" s="27" t="n">
        <v>2</v>
      </c>
      <c r="M2733" s="39" t="s">
        <v>413</v>
      </c>
      <c r="N2733" s="18" t="s">
        <v>414</v>
      </c>
      <c r="O2733" s="27" t="n">
        <v>2</v>
      </c>
      <c r="P2733" s="15" t="n">
        <f aca="false">IF(A2733="","",IF(O2733&lt;&gt;"",O2733,IF(L2733&lt;&gt;"",L2733,F2733)))</f>
        <v>2</v>
      </c>
    </row>
    <row r="2734" customFormat="false" ht="15" hidden="false" customHeight="true" outlineLevel="0" collapsed="false">
      <c r="A2734" s="30" t="s">
        <v>318</v>
      </c>
      <c r="B2734" s="30" t="s">
        <v>319</v>
      </c>
      <c r="C2734" s="21" t="n">
        <f aca="false">IF(A2734="","",IFERROR(VLOOKUP(A2734,'Recert Status'!$A$8:$C$400,3,FALSE()),""))</f>
        <v>46387</v>
      </c>
      <c r="D2734" s="31" t="s">
        <v>488</v>
      </c>
      <c r="E2734" s="30" t="s">
        <v>416</v>
      </c>
      <c r="F2734" s="32" t="n">
        <v>1</v>
      </c>
      <c r="G2734" s="33" t="n">
        <v>46127</v>
      </c>
      <c r="H2734" s="33" t="n">
        <v>46127</v>
      </c>
      <c r="I2734" s="31" t="s">
        <v>534</v>
      </c>
      <c r="J2734" s="30" t="s">
        <v>416</v>
      </c>
      <c r="K2734" s="31" t="s">
        <v>490</v>
      </c>
      <c r="L2734" s="32" t="n">
        <v>1</v>
      </c>
      <c r="M2734" s="39" t="s">
        <v>413</v>
      </c>
      <c r="N2734" s="31" t="s">
        <v>414</v>
      </c>
      <c r="O2734" s="32" t="n">
        <v>1</v>
      </c>
      <c r="P2734" s="15" t="n">
        <f aca="false">IF(A2734="","",IF(O2734&lt;&gt;"",O2734,IF(L2734&lt;&gt;"",L2734,F2734)))</f>
        <v>1</v>
      </c>
    </row>
    <row r="2735" customFormat="false" ht="15" hidden="false" customHeight="true" outlineLevel="0" collapsed="false">
      <c r="A2735" s="26" t="s">
        <v>318</v>
      </c>
      <c r="B2735" s="26" t="s">
        <v>319</v>
      </c>
      <c r="C2735" s="14" t="n">
        <f aca="false">IF(A2735="","",IFERROR(VLOOKUP(A2735,'Recert Status'!$A$8:$C$400,3,FALSE()),""))</f>
        <v>46387</v>
      </c>
      <c r="D2735" s="18" t="s">
        <v>414</v>
      </c>
      <c r="E2735" s="26" t="s">
        <v>416</v>
      </c>
      <c r="F2735" s="27" t="n">
        <v>2</v>
      </c>
      <c r="G2735" s="28" t="n">
        <v>46217</v>
      </c>
      <c r="H2735" s="28" t="n">
        <v>46217</v>
      </c>
      <c r="I2735" s="18" t="s">
        <v>460</v>
      </c>
      <c r="J2735" s="26" t="s">
        <v>416</v>
      </c>
      <c r="K2735" s="18" t="s">
        <v>418</v>
      </c>
      <c r="L2735" s="27" t="n">
        <v>2</v>
      </c>
      <c r="M2735" s="39" t="s">
        <v>413</v>
      </c>
      <c r="N2735" s="18" t="s">
        <v>414</v>
      </c>
      <c r="O2735" s="27" t="n">
        <v>2</v>
      </c>
      <c r="P2735" s="15" t="n">
        <f aca="false">IF(A2735="","",IF(O2735&lt;&gt;"",O2735,IF(L2735&lt;&gt;"",L2735,F2735)))</f>
        <v>2</v>
      </c>
    </row>
    <row r="2736" customFormat="false" ht="15" hidden="false" customHeight="true" outlineLevel="0" collapsed="false">
      <c r="A2736" s="30" t="s">
        <v>320</v>
      </c>
      <c r="B2736" s="30" t="s">
        <v>321</v>
      </c>
      <c r="C2736" s="21" t="n">
        <f aca="false">IF(A2736="","",IFERROR(VLOOKUP(A2736,'Recert Status'!$A$8:$C$400,3,FALSE()),""))</f>
        <v>46387</v>
      </c>
      <c r="D2736" s="31" t="s">
        <v>1092</v>
      </c>
      <c r="E2736" s="30" t="s">
        <v>363</v>
      </c>
      <c r="F2736" s="32" t="n">
        <v>3</v>
      </c>
      <c r="G2736" s="33" t="n">
        <v>46213</v>
      </c>
      <c r="H2736" s="33" t="n">
        <v>46213</v>
      </c>
      <c r="I2736" s="31" t="s">
        <v>1093</v>
      </c>
      <c r="J2736" s="30" t="s">
        <v>363</v>
      </c>
      <c r="K2736" s="31" t="s">
        <v>1036</v>
      </c>
      <c r="L2736" s="32" t="n">
        <v>3</v>
      </c>
      <c r="M2736" s="29" t="s">
        <v>366</v>
      </c>
      <c r="N2736" s="31" t="s">
        <v>367</v>
      </c>
      <c r="O2736" s="32" t="n">
        <v>3</v>
      </c>
      <c r="P2736" s="15" t="n">
        <f aca="false">IF(A2736="","",IF(O2736&lt;&gt;"",O2736,IF(L2736&lt;&gt;"",L2736,F2736)))</f>
        <v>3</v>
      </c>
    </row>
    <row r="2737" customFormat="false" ht="15" hidden="false" customHeight="true" outlineLevel="0" collapsed="false">
      <c r="A2737" s="26" t="s">
        <v>320</v>
      </c>
      <c r="B2737" s="26" t="s">
        <v>321</v>
      </c>
      <c r="C2737" s="14" t="n">
        <f aca="false">IF(A2737="","",IFERROR(VLOOKUP(A2737,'Recert Status'!$A$8:$C$400,3,FALSE()),""))</f>
        <v>46387</v>
      </c>
      <c r="D2737" s="18" t="s">
        <v>367</v>
      </c>
      <c r="E2737" s="26" t="s">
        <v>363</v>
      </c>
      <c r="F2737" s="27" t="n">
        <v>1</v>
      </c>
      <c r="G2737" s="28" t="n">
        <v>46224</v>
      </c>
      <c r="H2737" s="28" t="n">
        <v>46224</v>
      </c>
      <c r="I2737" s="18" t="s">
        <v>1035</v>
      </c>
      <c r="J2737" s="26" t="s">
        <v>363</v>
      </c>
      <c r="K2737" s="18" t="s">
        <v>1036</v>
      </c>
      <c r="L2737" s="27" t="n">
        <v>1</v>
      </c>
      <c r="M2737" s="29" t="s">
        <v>366</v>
      </c>
      <c r="N2737" s="18" t="s">
        <v>367</v>
      </c>
      <c r="O2737" s="27" t="n">
        <v>1</v>
      </c>
      <c r="P2737" s="15" t="n">
        <f aca="false">IF(A2737="","",IF(O2737&lt;&gt;"",O2737,IF(L2737&lt;&gt;"",L2737,F2737)))</f>
        <v>1</v>
      </c>
    </row>
    <row r="2738" customFormat="false" ht="15" hidden="false" customHeight="true" outlineLevel="0" collapsed="false">
      <c r="A2738" s="30" t="s">
        <v>320</v>
      </c>
      <c r="B2738" s="30" t="s">
        <v>321</v>
      </c>
      <c r="C2738" s="21" t="n">
        <f aca="false">IF(A2738="","",IFERROR(VLOOKUP(A2738,'Recert Status'!$A$8:$C$400,3,FALSE()),""))</f>
        <v>46387</v>
      </c>
      <c r="D2738" s="31" t="s">
        <v>367</v>
      </c>
      <c r="E2738" s="30" t="s">
        <v>363</v>
      </c>
      <c r="F2738" s="32" t="n">
        <v>1</v>
      </c>
      <c r="G2738" s="33" t="n">
        <v>46286</v>
      </c>
      <c r="H2738" s="33" t="n">
        <v>46286</v>
      </c>
      <c r="I2738" s="31" t="s">
        <v>883</v>
      </c>
      <c r="J2738" s="30" t="s">
        <v>363</v>
      </c>
      <c r="K2738" s="31" t="s">
        <v>365</v>
      </c>
      <c r="L2738" s="32" t="n">
        <v>1</v>
      </c>
      <c r="M2738" s="29" t="s">
        <v>366</v>
      </c>
      <c r="N2738" s="31" t="s">
        <v>367</v>
      </c>
      <c r="O2738" s="32" t="n">
        <v>1</v>
      </c>
      <c r="P2738" s="15" t="n">
        <f aca="false">IF(A2738="","",IF(O2738&lt;&gt;"",O2738,IF(L2738&lt;&gt;"",L2738,F2738)))</f>
        <v>1</v>
      </c>
    </row>
    <row r="2739" customFormat="false" ht="15" hidden="false" customHeight="true" outlineLevel="0" collapsed="false">
      <c r="A2739" s="26" t="s">
        <v>320</v>
      </c>
      <c r="B2739" s="26" t="s">
        <v>321</v>
      </c>
      <c r="C2739" s="14" t="n">
        <f aca="false">IF(A2739="","",IFERROR(VLOOKUP(A2739,'Recert Status'!$A$8:$C$400,3,FALSE()),""))</f>
        <v>46387</v>
      </c>
      <c r="D2739" s="18" t="s">
        <v>886</v>
      </c>
      <c r="E2739" s="26" t="s">
        <v>426</v>
      </c>
      <c r="F2739" s="27" t="n">
        <v>2</v>
      </c>
      <c r="G2739" s="28" t="n">
        <v>45971</v>
      </c>
      <c r="H2739" s="28" t="n">
        <v>45971</v>
      </c>
      <c r="I2739" s="18" t="s">
        <v>887</v>
      </c>
      <c r="J2739" s="26" t="s">
        <v>426</v>
      </c>
      <c r="K2739" s="18" t="s">
        <v>428</v>
      </c>
      <c r="L2739" s="27" t="n">
        <v>2</v>
      </c>
      <c r="M2739" s="41" t="s">
        <v>429</v>
      </c>
      <c r="N2739" s="18" t="s">
        <v>430</v>
      </c>
      <c r="O2739" s="27" t="n">
        <v>2</v>
      </c>
      <c r="P2739" s="15" t="n">
        <f aca="false">IF(A2739="","",IF(O2739&lt;&gt;"",O2739,IF(L2739&lt;&gt;"",L2739,F2739)))</f>
        <v>2</v>
      </c>
    </row>
    <row r="2740" customFormat="false" ht="15" hidden="false" customHeight="true" outlineLevel="0" collapsed="false">
      <c r="A2740" s="30" t="s">
        <v>320</v>
      </c>
      <c r="B2740" s="30" t="s">
        <v>321</v>
      </c>
      <c r="C2740" s="21" t="n">
        <f aca="false">IF(A2740="","",IFERROR(VLOOKUP(A2740,'Recert Status'!$A$8:$C$400,3,FALSE()),""))</f>
        <v>46387</v>
      </c>
      <c r="D2740" s="31" t="s">
        <v>888</v>
      </c>
      <c r="E2740" s="30" t="s">
        <v>426</v>
      </c>
      <c r="F2740" s="32" t="n">
        <v>1</v>
      </c>
      <c r="G2740" s="33" t="n">
        <v>46001</v>
      </c>
      <c r="H2740" s="33" t="n">
        <v>46001</v>
      </c>
      <c r="I2740" s="31" t="s">
        <v>889</v>
      </c>
      <c r="J2740" s="30" t="s">
        <v>426</v>
      </c>
      <c r="K2740" s="31" t="s">
        <v>428</v>
      </c>
      <c r="L2740" s="32" t="n">
        <v>1</v>
      </c>
      <c r="M2740" s="41" t="s">
        <v>429</v>
      </c>
      <c r="N2740" s="31" t="s">
        <v>430</v>
      </c>
      <c r="O2740" s="32" t="n">
        <v>1</v>
      </c>
      <c r="P2740" s="15" t="n">
        <f aca="false">IF(A2740="","",IF(O2740&lt;&gt;"",O2740,IF(L2740&lt;&gt;"",L2740,F2740)))</f>
        <v>1</v>
      </c>
    </row>
    <row r="2741" customFormat="false" ht="15" hidden="false" customHeight="true" outlineLevel="0" collapsed="false">
      <c r="A2741" s="26" t="s">
        <v>320</v>
      </c>
      <c r="B2741" s="26" t="s">
        <v>321</v>
      </c>
      <c r="C2741" s="14" t="n">
        <f aca="false">IF(A2741="","",IFERROR(VLOOKUP(A2741,'Recert Status'!$A$8:$C$400,3,FALSE()),""))</f>
        <v>46387</v>
      </c>
      <c r="D2741" s="18" t="s">
        <v>569</v>
      </c>
      <c r="E2741" s="26" t="s">
        <v>426</v>
      </c>
      <c r="F2741" s="27" t="n">
        <v>1</v>
      </c>
      <c r="G2741" s="28" t="n">
        <v>46076</v>
      </c>
      <c r="H2741" s="28" t="n">
        <v>46076</v>
      </c>
      <c r="I2741" s="18" t="s">
        <v>926</v>
      </c>
      <c r="J2741" s="26" t="s">
        <v>426</v>
      </c>
      <c r="K2741" s="18" t="s">
        <v>526</v>
      </c>
      <c r="L2741" s="27" t="n">
        <v>1</v>
      </c>
      <c r="M2741" s="41" t="s">
        <v>429</v>
      </c>
      <c r="N2741" s="18" t="s">
        <v>430</v>
      </c>
      <c r="O2741" s="27" t="n">
        <v>1</v>
      </c>
      <c r="P2741" s="15" t="n">
        <f aca="false">IF(A2741="","",IF(O2741&lt;&gt;"",O2741,IF(L2741&lt;&gt;"",L2741,F2741)))</f>
        <v>1</v>
      </c>
    </row>
    <row r="2742" customFormat="false" ht="15" hidden="false" customHeight="true" outlineLevel="0" collapsed="false">
      <c r="A2742" s="30" t="s">
        <v>320</v>
      </c>
      <c r="B2742" s="30" t="s">
        <v>321</v>
      </c>
      <c r="C2742" s="21" t="n">
        <f aca="false">IF(A2742="","",IFERROR(VLOOKUP(A2742,'Recert Status'!$A$8:$C$400,3,FALSE()),""))</f>
        <v>46387</v>
      </c>
      <c r="D2742" s="31" t="s">
        <v>927</v>
      </c>
      <c r="E2742" s="30" t="s">
        <v>426</v>
      </c>
      <c r="F2742" s="32" t="n">
        <v>2</v>
      </c>
      <c r="G2742" s="33" t="n">
        <v>46196</v>
      </c>
      <c r="H2742" s="33" t="n">
        <v>46196</v>
      </c>
      <c r="I2742" s="31" t="s">
        <v>928</v>
      </c>
      <c r="J2742" s="30" t="s">
        <v>426</v>
      </c>
      <c r="K2742" s="31" t="s">
        <v>526</v>
      </c>
      <c r="L2742" s="32" t="n">
        <v>2</v>
      </c>
      <c r="M2742" s="41" t="s">
        <v>429</v>
      </c>
      <c r="N2742" s="31" t="s">
        <v>430</v>
      </c>
      <c r="O2742" s="32" t="n">
        <v>2</v>
      </c>
      <c r="P2742" s="15" t="n">
        <f aca="false">IF(A2742="","",IF(O2742&lt;&gt;"",O2742,IF(L2742&lt;&gt;"",L2742,F2742)))</f>
        <v>2</v>
      </c>
    </row>
    <row r="2743" customFormat="false" ht="15" hidden="false" customHeight="true" outlineLevel="0" collapsed="false">
      <c r="A2743" s="26" t="s">
        <v>320</v>
      </c>
      <c r="B2743" s="26" t="s">
        <v>321</v>
      </c>
      <c r="C2743" s="14" t="n">
        <f aca="false">IF(A2743="","",IFERROR(VLOOKUP(A2743,'Recert Status'!$A$8:$C$400,3,FALSE()),""))</f>
        <v>46387</v>
      </c>
      <c r="D2743" s="18" t="s">
        <v>430</v>
      </c>
      <c r="E2743" s="26" t="s">
        <v>426</v>
      </c>
      <c r="F2743" s="27" t="n">
        <v>1</v>
      </c>
      <c r="G2743" s="28" t="n">
        <v>46224</v>
      </c>
      <c r="H2743" s="28" t="n">
        <v>46224</v>
      </c>
      <c r="I2743" s="18" t="s">
        <v>1037</v>
      </c>
      <c r="J2743" s="26" t="s">
        <v>426</v>
      </c>
      <c r="K2743" s="18" t="s">
        <v>428</v>
      </c>
      <c r="L2743" s="27" t="n">
        <v>1</v>
      </c>
      <c r="M2743" s="41" t="s">
        <v>429</v>
      </c>
      <c r="N2743" s="18" t="s">
        <v>430</v>
      </c>
      <c r="O2743" s="27" t="n">
        <v>1</v>
      </c>
      <c r="P2743" s="15" t="n">
        <f aca="false">IF(A2743="","",IF(O2743&lt;&gt;"",O2743,IF(L2743&lt;&gt;"",L2743,F2743)))</f>
        <v>1</v>
      </c>
    </row>
    <row r="2744" customFormat="false" ht="15" hidden="false" customHeight="true" outlineLevel="0" collapsed="false">
      <c r="A2744" s="30" t="s">
        <v>320</v>
      </c>
      <c r="B2744" s="30" t="s">
        <v>321</v>
      </c>
      <c r="C2744" s="21" t="n">
        <f aca="false">IF(A2744="","",IFERROR(VLOOKUP(A2744,'Recert Status'!$A$8:$C$400,3,FALSE()),""))</f>
        <v>46387</v>
      </c>
      <c r="D2744" s="31" t="s">
        <v>430</v>
      </c>
      <c r="E2744" s="30" t="s">
        <v>426</v>
      </c>
      <c r="F2744" s="32" t="n">
        <v>1</v>
      </c>
      <c r="G2744" s="33" t="n">
        <v>46286</v>
      </c>
      <c r="H2744" s="33" t="n">
        <v>46286</v>
      </c>
      <c r="I2744" s="31" t="s">
        <v>890</v>
      </c>
      <c r="J2744" s="30" t="s">
        <v>426</v>
      </c>
      <c r="K2744" s="31" t="s">
        <v>428</v>
      </c>
      <c r="L2744" s="32" t="n">
        <v>1</v>
      </c>
      <c r="M2744" s="41" t="s">
        <v>429</v>
      </c>
      <c r="N2744" s="31" t="s">
        <v>430</v>
      </c>
      <c r="O2744" s="32" t="n">
        <v>1</v>
      </c>
      <c r="P2744" s="15" t="n">
        <f aca="false">IF(A2744="","",IF(O2744&lt;&gt;"",O2744,IF(L2744&lt;&gt;"",L2744,F2744)))</f>
        <v>1</v>
      </c>
    </row>
    <row r="2745" customFormat="false" ht="15" hidden="false" customHeight="true" outlineLevel="0" collapsed="false">
      <c r="A2745" s="26" t="s">
        <v>320</v>
      </c>
      <c r="B2745" s="26" t="s">
        <v>321</v>
      </c>
      <c r="C2745" s="14" t="n">
        <f aca="false">IF(A2745="","",IFERROR(VLOOKUP(A2745,'Recert Status'!$A$8:$C$400,3,FALSE()),""))</f>
        <v>46387</v>
      </c>
      <c r="D2745" s="18" t="s">
        <v>527</v>
      </c>
      <c r="E2745" s="26" t="n">
        <v>29784</v>
      </c>
      <c r="F2745" s="27" t="n">
        <v>1</v>
      </c>
      <c r="G2745" s="28" t="n">
        <v>45695</v>
      </c>
      <c r="H2745" s="28" t="n">
        <v>45695</v>
      </c>
      <c r="I2745" s="18" t="s">
        <v>528</v>
      </c>
      <c r="J2745" s="26" t="s">
        <v>435</v>
      </c>
      <c r="K2745" s="18" t="s">
        <v>529</v>
      </c>
      <c r="L2745" s="27" t="n">
        <v>1</v>
      </c>
      <c r="M2745" s="35" t="s">
        <v>386</v>
      </c>
      <c r="N2745" s="18" t="s">
        <v>387</v>
      </c>
      <c r="O2745" s="27" t="n">
        <v>1</v>
      </c>
      <c r="P2745" s="15" t="n">
        <f aca="false">IF(A2745="","",IF(O2745&lt;&gt;"",O2745,IF(L2745&lt;&gt;"",L2745,F2745)))</f>
        <v>1</v>
      </c>
    </row>
    <row r="2746" customFormat="false" ht="15" hidden="false" customHeight="true" outlineLevel="0" collapsed="false">
      <c r="A2746" s="30" t="s">
        <v>320</v>
      </c>
      <c r="B2746" s="30" t="s">
        <v>321</v>
      </c>
      <c r="C2746" s="21" t="n">
        <f aca="false">IF(A2746="","",IFERROR(VLOOKUP(A2746,'Recert Status'!$A$8:$C$400,3,FALSE()),""))</f>
        <v>46387</v>
      </c>
      <c r="D2746" s="31" t="s">
        <v>433</v>
      </c>
      <c r="E2746" s="30" t="n">
        <v>29784</v>
      </c>
      <c r="F2746" s="32" t="n">
        <v>1</v>
      </c>
      <c r="G2746" s="33" t="n">
        <v>45722</v>
      </c>
      <c r="H2746" s="33" t="n">
        <v>45722</v>
      </c>
      <c r="I2746" s="31" t="s">
        <v>434</v>
      </c>
      <c r="J2746" s="30" t="s">
        <v>435</v>
      </c>
      <c r="K2746" s="31" t="s">
        <v>436</v>
      </c>
      <c r="L2746" s="32" t="n">
        <v>1</v>
      </c>
      <c r="M2746" s="35" t="s">
        <v>386</v>
      </c>
      <c r="N2746" s="31" t="s">
        <v>387</v>
      </c>
      <c r="O2746" s="32" t="n">
        <v>1</v>
      </c>
      <c r="P2746" s="15" t="n">
        <f aca="false">IF(A2746="","",IF(O2746&lt;&gt;"",O2746,IF(L2746&lt;&gt;"",L2746,F2746)))</f>
        <v>1</v>
      </c>
    </row>
    <row r="2747" customFormat="false" ht="15" hidden="false" customHeight="true" outlineLevel="0" collapsed="false">
      <c r="A2747" s="26" t="s">
        <v>320</v>
      </c>
      <c r="B2747" s="26" t="s">
        <v>321</v>
      </c>
      <c r="C2747" s="14" t="n">
        <f aca="false">IF(A2747="","",IFERROR(VLOOKUP(A2747,'Recert Status'!$A$8:$C$400,3,FALSE()),""))</f>
        <v>46387</v>
      </c>
      <c r="D2747" s="18" t="s">
        <v>800</v>
      </c>
      <c r="E2747" s="26" t="n">
        <v>29740</v>
      </c>
      <c r="F2747" s="27" t="n">
        <v>1</v>
      </c>
      <c r="G2747" s="28" t="n">
        <v>45826</v>
      </c>
      <c r="H2747" s="28" t="n">
        <v>45826</v>
      </c>
      <c r="I2747" s="18" t="s">
        <v>1287</v>
      </c>
      <c r="J2747" s="26" t="s">
        <v>394</v>
      </c>
      <c r="K2747" s="18" t="s">
        <v>1288</v>
      </c>
      <c r="L2747" s="27" t="n">
        <v>1</v>
      </c>
      <c r="M2747" s="35" t="s">
        <v>386</v>
      </c>
      <c r="N2747" s="18" t="s">
        <v>387</v>
      </c>
      <c r="O2747" s="27" t="n">
        <v>1</v>
      </c>
      <c r="P2747" s="15" t="n">
        <f aca="false">IF(A2747="","",IF(O2747&lt;&gt;"",O2747,IF(L2747&lt;&gt;"",L2747,F2747)))</f>
        <v>1</v>
      </c>
    </row>
    <row r="2748" customFormat="false" ht="15" hidden="false" customHeight="true" outlineLevel="0" collapsed="false">
      <c r="A2748" s="30" t="s">
        <v>320</v>
      </c>
      <c r="B2748" s="30" t="s">
        <v>321</v>
      </c>
      <c r="C2748" s="21" t="n">
        <f aca="false">IF(A2748="","",IFERROR(VLOOKUP(A2748,'Recert Status'!$A$8:$C$400,3,FALSE()),""))</f>
        <v>46387</v>
      </c>
      <c r="D2748" s="31" t="s">
        <v>894</v>
      </c>
      <c r="E2748" s="30" t="s">
        <v>389</v>
      </c>
      <c r="F2748" s="32" t="n">
        <v>1</v>
      </c>
      <c r="G2748" s="33" t="n">
        <v>45971</v>
      </c>
      <c r="H2748" s="33" t="n">
        <v>45971</v>
      </c>
      <c r="I2748" s="31" t="s">
        <v>895</v>
      </c>
      <c r="J2748" s="30" t="s">
        <v>389</v>
      </c>
      <c r="K2748" s="31" t="s">
        <v>446</v>
      </c>
      <c r="L2748" s="32" t="n">
        <v>1</v>
      </c>
      <c r="M2748" s="35" t="s">
        <v>386</v>
      </c>
      <c r="N2748" s="31" t="s">
        <v>387</v>
      </c>
      <c r="O2748" s="32" t="n">
        <v>1</v>
      </c>
      <c r="P2748" s="15" t="n">
        <f aca="false">IF(A2748="","",IF(O2748&lt;&gt;"",O2748,IF(L2748&lt;&gt;"",L2748,F2748)))</f>
        <v>1</v>
      </c>
    </row>
    <row r="2749" customFormat="false" ht="15" hidden="false" customHeight="true" outlineLevel="0" collapsed="false">
      <c r="A2749" s="26" t="s">
        <v>320</v>
      </c>
      <c r="B2749" s="26" t="s">
        <v>321</v>
      </c>
      <c r="C2749" s="14" t="n">
        <f aca="false">IF(A2749="","",IFERROR(VLOOKUP(A2749,'Recert Status'!$A$8:$C$400,3,FALSE()),""))</f>
        <v>46387</v>
      </c>
      <c r="D2749" s="18" t="s">
        <v>896</v>
      </c>
      <c r="E2749" s="26" t="s">
        <v>389</v>
      </c>
      <c r="F2749" s="27" t="n">
        <v>2</v>
      </c>
      <c r="G2749" s="28" t="n">
        <v>45971</v>
      </c>
      <c r="H2749" s="28" t="n">
        <v>45971</v>
      </c>
      <c r="I2749" s="18" t="s">
        <v>897</v>
      </c>
      <c r="J2749" s="26" t="s">
        <v>389</v>
      </c>
      <c r="K2749" s="18" t="s">
        <v>898</v>
      </c>
      <c r="L2749" s="27" t="n">
        <v>2</v>
      </c>
      <c r="M2749" s="35" t="s">
        <v>386</v>
      </c>
      <c r="N2749" s="18" t="s">
        <v>387</v>
      </c>
      <c r="O2749" s="27" t="n">
        <v>2</v>
      </c>
      <c r="P2749" s="15" t="n">
        <f aca="false">IF(A2749="","",IF(O2749&lt;&gt;"",O2749,IF(L2749&lt;&gt;"",L2749,F2749)))</f>
        <v>2</v>
      </c>
    </row>
    <row r="2750" customFormat="false" ht="15" hidden="false" customHeight="true" outlineLevel="0" collapsed="false">
      <c r="A2750" s="30" t="s">
        <v>320</v>
      </c>
      <c r="B2750" s="30" t="s">
        <v>321</v>
      </c>
      <c r="C2750" s="21" t="n">
        <f aca="false">IF(A2750="","",IFERROR(VLOOKUP(A2750,'Recert Status'!$A$8:$C$400,3,FALSE()),""))</f>
        <v>46387</v>
      </c>
      <c r="D2750" s="31" t="s">
        <v>449</v>
      </c>
      <c r="E2750" s="30" t="n">
        <v>29675</v>
      </c>
      <c r="F2750" s="32" t="n">
        <v>0.5</v>
      </c>
      <c r="G2750" s="33" t="n">
        <v>45995</v>
      </c>
      <c r="H2750" s="33" t="n">
        <v>45995</v>
      </c>
      <c r="I2750" s="31" t="s">
        <v>450</v>
      </c>
      <c r="J2750" s="30" t="s">
        <v>406</v>
      </c>
      <c r="K2750" s="31" t="s">
        <v>451</v>
      </c>
      <c r="L2750" s="32" t="n">
        <v>0.5</v>
      </c>
      <c r="M2750" s="35" t="s">
        <v>386</v>
      </c>
      <c r="N2750" s="31" t="s">
        <v>387</v>
      </c>
      <c r="O2750" s="32" t="n">
        <v>0.5</v>
      </c>
      <c r="P2750" s="15" t="n">
        <f aca="false">IF(A2750="","",IF(O2750&lt;&gt;"",O2750,IF(L2750&lt;&gt;"",L2750,F2750)))</f>
        <v>0.5</v>
      </c>
    </row>
    <row r="2751" customFormat="false" ht="15" hidden="false" customHeight="true" outlineLevel="0" collapsed="false">
      <c r="A2751" s="26" t="s">
        <v>320</v>
      </c>
      <c r="B2751" s="26" t="s">
        <v>321</v>
      </c>
      <c r="C2751" s="14" t="n">
        <f aca="false">IF(A2751="","",IFERROR(VLOOKUP(A2751,'Recert Status'!$A$8:$C$400,3,FALSE()),""))</f>
        <v>46387</v>
      </c>
      <c r="D2751" s="18" t="s">
        <v>1681</v>
      </c>
      <c r="E2751" s="26" t="s">
        <v>389</v>
      </c>
      <c r="F2751" s="27" t="n">
        <v>1</v>
      </c>
      <c r="G2751" s="28" t="n">
        <v>45998</v>
      </c>
      <c r="H2751" s="28" t="n">
        <v>45998</v>
      </c>
      <c r="I2751" s="18" t="s">
        <v>1682</v>
      </c>
      <c r="J2751" s="26" t="s">
        <v>389</v>
      </c>
      <c r="K2751" s="18" t="s">
        <v>451</v>
      </c>
      <c r="L2751" s="27" t="n">
        <v>1</v>
      </c>
      <c r="M2751" s="35" t="s">
        <v>386</v>
      </c>
      <c r="N2751" s="18" t="s">
        <v>387</v>
      </c>
      <c r="O2751" s="27" t="n">
        <v>1</v>
      </c>
      <c r="P2751" s="15" t="n">
        <f aca="false">IF(A2751="","",IF(O2751&lt;&gt;"",O2751,IF(L2751&lt;&gt;"",L2751,F2751)))</f>
        <v>1</v>
      </c>
    </row>
    <row r="2752" customFormat="false" ht="15" hidden="false" customHeight="true" outlineLevel="0" collapsed="false">
      <c r="A2752" s="30" t="s">
        <v>320</v>
      </c>
      <c r="B2752" s="30" t="s">
        <v>321</v>
      </c>
      <c r="C2752" s="21" t="n">
        <f aca="false">IF(A2752="","",IFERROR(VLOOKUP(A2752,'Recert Status'!$A$8:$C$400,3,FALSE()),""))</f>
        <v>46387</v>
      </c>
      <c r="D2752" s="31" t="s">
        <v>1484</v>
      </c>
      <c r="E2752" s="30" t="s">
        <v>389</v>
      </c>
      <c r="F2752" s="32" t="n">
        <v>1</v>
      </c>
      <c r="G2752" s="33" t="n">
        <v>46001</v>
      </c>
      <c r="H2752" s="33" t="n">
        <v>46001</v>
      </c>
      <c r="I2752" s="31" t="s">
        <v>1485</v>
      </c>
      <c r="J2752" s="30" t="s">
        <v>389</v>
      </c>
      <c r="K2752" s="31" t="s">
        <v>451</v>
      </c>
      <c r="L2752" s="32" t="n">
        <v>1</v>
      </c>
      <c r="M2752" s="35" t="s">
        <v>386</v>
      </c>
      <c r="N2752" s="31" t="s">
        <v>387</v>
      </c>
      <c r="O2752" s="32" t="n">
        <v>1</v>
      </c>
      <c r="P2752" s="15" t="n">
        <f aca="false">IF(A2752="","",IF(O2752&lt;&gt;"",O2752,IF(L2752&lt;&gt;"",L2752,F2752)))</f>
        <v>1</v>
      </c>
    </row>
    <row r="2753" customFormat="false" ht="15" hidden="false" customHeight="true" outlineLevel="0" collapsed="false">
      <c r="A2753" s="26" t="s">
        <v>320</v>
      </c>
      <c r="B2753" s="26" t="s">
        <v>321</v>
      </c>
      <c r="C2753" s="14" t="n">
        <f aca="false">IF(A2753="","",IFERROR(VLOOKUP(A2753,'Recert Status'!$A$8:$C$400,3,FALSE()),""))</f>
        <v>46387</v>
      </c>
      <c r="D2753" s="18" t="s">
        <v>1297</v>
      </c>
      <c r="E2753" s="26" t="s">
        <v>389</v>
      </c>
      <c r="F2753" s="27" t="n">
        <v>1.5</v>
      </c>
      <c r="G2753" s="28" t="n">
        <v>46011</v>
      </c>
      <c r="H2753" s="28" t="n">
        <v>46011</v>
      </c>
      <c r="I2753" s="18" t="s">
        <v>1298</v>
      </c>
      <c r="J2753" s="26" t="s">
        <v>389</v>
      </c>
      <c r="K2753" s="18" t="s">
        <v>451</v>
      </c>
      <c r="L2753" s="27" t="n">
        <v>1.5</v>
      </c>
      <c r="M2753" s="35" t="s">
        <v>386</v>
      </c>
      <c r="N2753" s="18" t="s">
        <v>387</v>
      </c>
      <c r="O2753" s="27" t="n">
        <v>1.5</v>
      </c>
      <c r="P2753" s="15" t="n">
        <f aca="false">IF(A2753="","",IF(O2753&lt;&gt;"",O2753,IF(L2753&lt;&gt;"",L2753,F2753)))</f>
        <v>1.5</v>
      </c>
    </row>
    <row r="2754" customFormat="false" ht="15" hidden="false" customHeight="true" outlineLevel="0" collapsed="false">
      <c r="A2754" s="30" t="s">
        <v>320</v>
      </c>
      <c r="B2754" s="30" t="s">
        <v>321</v>
      </c>
      <c r="C2754" s="21" t="n">
        <f aca="false">IF(A2754="","",IFERROR(VLOOKUP(A2754,'Recert Status'!$A$8:$C$400,3,FALSE()),""))</f>
        <v>46387</v>
      </c>
      <c r="D2754" s="31" t="s">
        <v>787</v>
      </c>
      <c r="E2754" s="30" t="n">
        <v>29784</v>
      </c>
      <c r="F2754" s="32" t="n">
        <v>1.5</v>
      </c>
      <c r="G2754" s="33" t="n">
        <v>46011</v>
      </c>
      <c r="H2754" s="33" t="n">
        <v>46011</v>
      </c>
      <c r="I2754" s="31" t="s">
        <v>1299</v>
      </c>
      <c r="J2754" s="30" t="s">
        <v>435</v>
      </c>
      <c r="K2754" s="31" t="s">
        <v>468</v>
      </c>
      <c r="L2754" s="32" t="n">
        <v>1.5</v>
      </c>
      <c r="M2754" s="35" t="s">
        <v>386</v>
      </c>
      <c r="N2754" s="31" t="s">
        <v>387</v>
      </c>
      <c r="O2754" s="32" t="n">
        <v>1.5</v>
      </c>
      <c r="P2754" s="15" t="n">
        <f aca="false">IF(A2754="","",IF(O2754&lt;&gt;"",O2754,IF(L2754&lt;&gt;"",L2754,F2754)))</f>
        <v>1.5</v>
      </c>
    </row>
    <row r="2755" customFormat="false" ht="15" hidden="false" customHeight="true" outlineLevel="0" collapsed="false">
      <c r="A2755" s="26" t="s">
        <v>320</v>
      </c>
      <c r="B2755" s="26" t="s">
        <v>321</v>
      </c>
      <c r="C2755" s="14" t="n">
        <f aca="false">IF(A2755="","",IFERROR(VLOOKUP(A2755,'Recert Status'!$A$8:$C$400,3,FALSE()),""))</f>
        <v>46387</v>
      </c>
      <c r="D2755" s="18" t="s">
        <v>1437</v>
      </c>
      <c r="E2755" s="26" t="n">
        <v>29740</v>
      </c>
      <c r="F2755" s="27" t="n">
        <v>2</v>
      </c>
      <c r="G2755" s="28" t="n">
        <v>46016</v>
      </c>
      <c r="H2755" s="28" t="n">
        <v>46016</v>
      </c>
      <c r="I2755" s="18" t="s">
        <v>1438</v>
      </c>
      <c r="J2755" s="26" t="s">
        <v>394</v>
      </c>
      <c r="K2755" s="18" t="s">
        <v>504</v>
      </c>
      <c r="L2755" s="27" t="n">
        <v>2</v>
      </c>
      <c r="M2755" s="35" t="s">
        <v>386</v>
      </c>
      <c r="N2755" s="18" t="s">
        <v>387</v>
      </c>
      <c r="O2755" s="27" t="n">
        <v>2</v>
      </c>
      <c r="P2755" s="15" t="n">
        <f aca="false">IF(A2755="","",IF(O2755&lt;&gt;"",O2755,IF(L2755&lt;&gt;"",L2755,F2755)))</f>
        <v>2</v>
      </c>
    </row>
    <row r="2756" customFormat="false" ht="15" hidden="false" customHeight="true" outlineLevel="0" collapsed="false">
      <c r="A2756" s="30" t="s">
        <v>320</v>
      </c>
      <c r="B2756" s="30" t="s">
        <v>321</v>
      </c>
      <c r="C2756" s="21" t="n">
        <f aca="false">IF(A2756="","",IFERROR(VLOOKUP(A2756,'Recert Status'!$A$8:$C$400,3,FALSE()),""))</f>
        <v>46387</v>
      </c>
      <c r="D2756" s="31" t="s">
        <v>901</v>
      </c>
      <c r="E2756" s="30" t="s">
        <v>389</v>
      </c>
      <c r="F2756" s="32" t="n">
        <v>1</v>
      </c>
      <c r="G2756" s="33" t="n">
        <v>46019</v>
      </c>
      <c r="H2756" s="33" t="n">
        <v>46019</v>
      </c>
      <c r="I2756" s="31" t="s">
        <v>902</v>
      </c>
      <c r="J2756" s="30" t="s">
        <v>389</v>
      </c>
      <c r="K2756" s="31" t="s">
        <v>451</v>
      </c>
      <c r="L2756" s="32" t="n">
        <v>1</v>
      </c>
      <c r="M2756" s="35" t="s">
        <v>386</v>
      </c>
      <c r="N2756" s="31" t="s">
        <v>387</v>
      </c>
      <c r="O2756" s="32" t="n">
        <v>1</v>
      </c>
      <c r="P2756" s="15" t="n">
        <f aca="false">IF(A2756="","",IF(O2756&lt;&gt;"",O2756,IF(L2756&lt;&gt;"",L2756,F2756)))</f>
        <v>1</v>
      </c>
    </row>
    <row r="2757" customFormat="false" ht="15" hidden="false" customHeight="true" outlineLevel="0" collapsed="false">
      <c r="A2757" s="26" t="s">
        <v>320</v>
      </c>
      <c r="B2757" s="26" t="s">
        <v>321</v>
      </c>
      <c r="C2757" s="14" t="n">
        <f aca="false">IF(A2757="","",IFERROR(VLOOKUP(A2757,'Recert Status'!$A$8:$C$400,3,FALSE()),""))</f>
        <v>46387</v>
      </c>
      <c r="D2757" s="18" t="s">
        <v>387</v>
      </c>
      <c r="E2757" s="26" t="s">
        <v>389</v>
      </c>
      <c r="F2757" s="27" t="n">
        <v>1</v>
      </c>
      <c r="G2757" s="28" t="n">
        <v>46208</v>
      </c>
      <c r="H2757" s="28" t="n">
        <v>46208</v>
      </c>
      <c r="I2757" s="18" t="s">
        <v>932</v>
      </c>
      <c r="J2757" s="26" t="s">
        <v>389</v>
      </c>
      <c r="K2757" s="18" t="s">
        <v>451</v>
      </c>
      <c r="L2757" s="27" t="n">
        <v>1</v>
      </c>
      <c r="M2757" s="35" t="s">
        <v>386</v>
      </c>
      <c r="N2757" s="18" t="s">
        <v>387</v>
      </c>
      <c r="O2757" s="27" t="n">
        <v>1</v>
      </c>
      <c r="P2757" s="15" t="n">
        <f aca="false">IF(A2757="","",IF(O2757&lt;&gt;"",O2757,IF(L2757&lt;&gt;"",L2757,F2757)))</f>
        <v>1</v>
      </c>
    </row>
    <row r="2758" customFormat="false" ht="15" hidden="false" customHeight="true" outlineLevel="0" collapsed="false">
      <c r="A2758" s="30" t="s">
        <v>320</v>
      </c>
      <c r="B2758" s="30" t="s">
        <v>321</v>
      </c>
      <c r="C2758" s="21" t="n">
        <f aca="false">IF(A2758="","",IFERROR(VLOOKUP(A2758,'Recert Status'!$A$8:$C$400,3,FALSE()),""))</f>
        <v>46387</v>
      </c>
      <c r="D2758" s="31" t="s">
        <v>1525</v>
      </c>
      <c r="E2758" s="30" t="s">
        <v>389</v>
      </c>
      <c r="F2758" s="32" t="n">
        <v>1</v>
      </c>
      <c r="G2758" s="33" t="n">
        <v>46214</v>
      </c>
      <c r="H2758" s="33" t="n">
        <v>46214</v>
      </c>
      <c r="I2758" s="31" t="s">
        <v>1729</v>
      </c>
      <c r="J2758" s="30" t="s">
        <v>389</v>
      </c>
      <c r="K2758" s="31" t="s">
        <v>395</v>
      </c>
      <c r="L2758" s="32" t="n">
        <v>1</v>
      </c>
      <c r="M2758" s="35" t="s">
        <v>386</v>
      </c>
      <c r="N2758" s="31" t="s">
        <v>387</v>
      </c>
      <c r="O2758" s="32" t="n">
        <v>1</v>
      </c>
      <c r="P2758" s="15" t="n">
        <f aca="false">IF(A2758="","",IF(O2758&lt;&gt;"",O2758,IF(L2758&lt;&gt;"",L2758,F2758)))</f>
        <v>1</v>
      </c>
    </row>
    <row r="2759" customFormat="false" ht="15" hidden="false" customHeight="true" outlineLevel="0" collapsed="false">
      <c r="A2759" s="26" t="s">
        <v>320</v>
      </c>
      <c r="B2759" s="26" t="s">
        <v>321</v>
      </c>
      <c r="C2759" s="14" t="n">
        <f aca="false">IF(A2759="","",IFERROR(VLOOKUP(A2759,'Recert Status'!$A$8:$C$400,3,FALSE()),""))</f>
        <v>46387</v>
      </c>
      <c r="D2759" s="18" t="s">
        <v>387</v>
      </c>
      <c r="E2759" s="26" t="s">
        <v>389</v>
      </c>
      <c r="F2759" s="27" t="n">
        <v>1</v>
      </c>
      <c r="G2759" s="28" t="n">
        <v>46224</v>
      </c>
      <c r="H2759" s="28" t="n">
        <v>46224</v>
      </c>
      <c r="I2759" s="18" t="s">
        <v>1039</v>
      </c>
      <c r="J2759" s="26" t="s">
        <v>389</v>
      </c>
      <c r="K2759" s="18" t="s">
        <v>1040</v>
      </c>
      <c r="L2759" s="27" t="n">
        <v>1</v>
      </c>
      <c r="M2759" s="35" t="s">
        <v>386</v>
      </c>
      <c r="N2759" s="18" t="s">
        <v>387</v>
      </c>
      <c r="O2759" s="27" t="n">
        <v>1</v>
      </c>
      <c r="P2759" s="15" t="n">
        <f aca="false">IF(A2759="","",IF(O2759&lt;&gt;"",O2759,IF(L2759&lt;&gt;"",L2759,F2759)))</f>
        <v>1</v>
      </c>
    </row>
    <row r="2760" customFormat="false" ht="15" hidden="false" customHeight="true" outlineLevel="0" collapsed="false">
      <c r="A2760" s="30" t="s">
        <v>320</v>
      </c>
      <c r="B2760" s="30" t="s">
        <v>321</v>
      </c>
      <c r="C2760" s="21" t="n">
        <f aca="false">IF(A2760="","",IFERROR(VLOOKUP(A2760,'Recert Status'!$A$8:$C$400,3,FALSE()),""))</f>
        <v>46387</v>
      </c>
      <c r="D2760" s="31" t="s">
        <v>387</v>
      </c>
      <c r="E2760" s="30" t="s">
        <v>389</v>
      </c>
      <c r="F2760" s="32" t="n">
        <v>1</v>
      </c>
      <c r="G2760" s="33" t="n">
        <v>46274</v>
      </c>
      <c r="H2760" s="33" t="n">
        <v>46274</v>
      </c>
      <c r="I2760" s="31" t="s">
        <v>530</v>
      </c>
      <c r="J2760" s="30" t="s">
        <v>389</v>
      </c>
      <c r="K2760" s="31" t="s">
        <v>451</v>
      </c>
      <c r="L2760" s="32" t="n">
        <v>1</v>
      </c>
      <c r="M2760" s="35" t="s">
        <v>386</v>
      </c>
      <c r="N2760" s="31" t="s">
        <v>387</v>
      </c>
      <c r="O2760" s="32" t="n">
        <v>1</v>
      </c>
      <c r="P2760" s="15" t="n">
        <f aca="false">IF(A2760="","",IF(O2760&lt;&gt;"",O2760,IF(L2760&lt;&gt;"",L2760,F2760)))</f>
        <v>1</v>
      </c>
    </row>
    <row r="2761" customFormat="false" ht="15" hidden="false" customHeight="true" outlineLevel="0" collapsed="false">
      <c r="A2761" s="26" t="s">
        <v>320</v>
      </c>
      <c r="B2761" s="26" t="s">
        <v>321</v>
      </c>
      <c r="C2761" s="14" t="n">
        <f aca="false">IF(A2761="","",IFERROR(VLOOKUP(A2761,'Recert Status'!$A$8:$C$400,3,FALSE()),""))</f>
        <v>46387</v>
      </c>
      <c r="D2761" s="18" t="s">
        <v>387</v>
      </c>
      <c r="E2761" s="26" t="s">
        <v>389</v>
      </c>
      <c r="F2761" s="27" t="n">
        <v>1</v>
      </c>
      <c r="G2761" s="28" t="n">
        <v>46286</v>
      </c>
      <c r="H2761" s="28" t="n">
        <v>46286</v>
      </c>
      <c r="I2761" s="18" t="s">
        <v>903</v>
      </c>
      <c r="J2761" s="26" t="s">
        <v>389</v>
      </c>
      <c r="K2761" s="18" t="s">
        <v>904</v>
      </c>
      <c r="L2761" s="27" t="n">
        <v>1</v>
      </c>
      <c r="M2761" s="35" t="s">
        <v>386</v>
      </c>
      <c r="N2761" s="18" t="s">
        <v>387</v>
      </c>
      <c r="O2761" s="27" t="n">
        <v>1</v>
      </c>
      <c r="P2761" s="15" t="n">
        <f aca="false">IF(A2761="","",IF(O2761&lt;&gt;"",O2761,IF(L2761&lt;&gt;"",L2761,F2761)))</f>
        <v>1</v>
      </c>
    </row>
    <row r="2762" customFormat="false" ht="15" hidden="false" customHeight="true" outlineLevel="0" collapsed="false">
      <c r="A2762" s="30" t="s">
        <v>320</v>
      </c>
      <c r="B2762" s="30" t="s">
        <v>321</v>
      </c>
      <c r="C2762" s="21" t="n">
        <f aca="false">IF(A2762="","",IFERROR(VLOOKUP(A2762,'Recert Status'!$A$8:$C$400,3,FALSE()),""))</f>
        <v>46387</v>
      </c>
      <c r="D2762" s="31" t="s">
        <v>800</v>
      </c>
      <c r="E2762" s="30" t="n">
        <v>35513</v>
      </c>
      <c r="F2762" s="32" t="n">
        <v>1</v>
      </c>
      <c r="G2762" s="33" t="n">
        <v>45969</v>
      </c>
      <c r="H2762" s="33" t="n">
        <v>45969</v>
      </c>
      <c r="I2762" s="31" t="s">
        <v>1730</v>
      </c>
      <c r="J2762" s="30" t="s">
        <v>384</v>
      </c>
      <c r="K2762" s="31" t="s">
        <v>385</v>
      </c>
      <c r="L2762" s="32" t="n">
        <v>1</v>
      </c>
      <c r="M2762" s="36" t="s">
        <v>396</v>
      </c>
      <c r="N2762" s="31" t="s">
        <v>397</v>
      </c>
      <c r="O2762" s="32" t="n">
        <v>1</v>
      </c>
      <c r="P2762" s="15" t="n">
        <f aca="false">IF(A2762="","",IF(O2762&lt;&gt;"",O2762,IF(L2762&lt;&gt;"",L2762,F2762)))</f>
        <v>1</v>
      </c>
    </row>
    <row r="2763" customFormat="false" ht="15" hidden="false" customHeight="true" outlineLevel="0" collapsed="false">
      <c r="A2763" s="26" t="s">
        <v>320</v>
      </c>
      <c r="B2763" s="26" t="s">
        <v>321</v>
      </c>
      <c r="C2763" s="14" t="n">
        <f aca="false">IF(A2763="","",IFERROR(VLOOKUP(A2763,'Recert Status'!$A$8:$C$400,3,FALSE()),""))</f>
        <v>46387</v>
      </c>
      <c r="D2763" s="18" t="s">
        <v>531</v>
      </c>
      <c r="E2763" s="26" t="s">
        <v>452</v>
      </c>
      <c r="F2763" s="27" t="n">
        <v>1</v>
      </c>
      <c r="G2763" s="28" t="n">
        <v>45983</v>
      </c>
      <c r="H2763" s="28" t="n">
        <v>45983</v>
      </c>
      <c r="I2763" s="18" t="s">
        <v>532</v>
      </c>
      <c r="J2763" s="26" t="s">
        <v>452</v>
      </c>
      <c r="K2763" s="18" t="s">
        <v>385</v>
      </c>
      <c r="L2763" s="27" t="n">
        <v>1</v>
      </c>
      <c r="M2763" s="36" t="s">
        <v>396</v>
      </c>
      <c r="N2763" s="18" t="s">
        <v>397</v>
      </c>
      <c r="O2763" s="27" t="n">
        <v>1</v>
      </c>
      <c r="P2763" s="15" t="n">
        <f aca="false">IF(A2763="","",IF(O2763&lt;&gt;"",O2763,IF(L2763&lt;&gt;"",L2763,F2763)))</f>
        <v>1</v>
      </c>
    </row>
    <row r="2764" customFormat="false" ht="15" hidden="false" customHeight="true" outlineLevel="0" collapsed="false">
      <c r="A2764" s="30" t="s">
        <v>320</v>
      </c>
      <c r="B2764" s="30" t="s">
        <v>321</v>
      </c>
      <c r="C2764" s="21" t="n">
        <f aca="false">IF(A2764="","",IFERROR(VLOOKUP(A2764,'Recert Status'!$A$8:$C$400,3,FALSE()),""))</f>
        <v>46387</v>
      </c>
      <c r="D2764" s="31" t="s">
        <v>1300</v>
      </c>
      <c r="E2764" s="30" t="s">
        <v>452</v>
      </c>
      <c r="F2764" s="32" t="n">
        <v>1.5</v>
      </c>
      <c r="G2764" s="33" t="n">
        <v>46011</v>
      </c>
      <c r="H2764" s="33" t="n">
        <v>46011</v>
      </c>
      <c r="I2764" s="31" t="s">
        <v>1301</v>
      </c>
      <c r="J2764" s="30" t="s">
        <v>452</v>
      </c>
      <c r="K2764" s="31" t="s">
        <v>385</v>
      </c>
      <c r="L2764" s="32" t="n">
        <v>1.5</v>
      </c>
      <c r="M2764" s="36" t="s">
        <v>396</v>
      </c>
      <c r="N2764" s="31" t="s">
        <v>397</v>
      </c>
      <c r="O2764" s="32" t="n">
        <v>1.5</v>
      </c>
      <c r="P2764" s="15" t="n">
        <f aca="false">IF(A2764="","",IF(O2764&lt;&gt;"",O2764,IF(L2764&lt;&gt;"",L2764,F2764)))</f>
        <v>1.5</v>
      </c>
    </row>
    <row r="2765" customFormat="false" ht="15" hidden="false" customHeight="true" outlineLevel="0" collapsed="false">
      <c r="A2765" s="26" t="s">
        <v>320</v>
      </c>
      <c r="B2765" s="26" t="s">
        <v>321</v>
      </c>
      <c r="C2765" s="14" t="n">
        <f aca="false">IF(A2765="","",IFERROR(VLOOKUP(A2765,'Recert Status'!$A$8:$C$400,3,FALSE()),""))</f>
        <v>46387</v>
      </c>
      <c r="D2765" s="18" t="s">
        <v>1731</v>
      </c>
      <c r="E2765" s="26" t="s">
        <v>452</v>
      </c>
      <c r="F2765" s="27" t="n">
        <v>1</v>
      </c>
      <c r="G2765" s="28" t="n">
        <v>46166</v>
      </c>
      <c r="H2765" s="28" t="n">
        <v>46166</v>
      </c>
      <c r="I2765" s="18" t="s">
        <v>732</v>
      </c>
      <c r="J2765" s="26" t="s">
        <v>452</v>
      </c>
      <c r="K2765" s="18" t="s">
        <v>385</v>
      </c>
      <c r="L2765" s="27" t="n">
        <v>1</v>
      </c>
      <c r="M2765" s="36" t="s">
        <v>396</v>
      </c>
      <c r="N2765" s="18" t="s">
        <v>397</v>
      </c>
      <c r="O2765" s="27" t="n">
        <v>1</v>
      </c>
      <c r="P2765" s="15" t="n">
        <f aca="false">IF(A2765="","",IF(O2765&lt;&gt;"",O2765,IF(L2765&lt;&gt;"",L2765,F2765)))</f>
        <v>1</v>
      </c>
    </row>
    <row r="2766" customFormat="false" ht="15" hidden="false" customHeight="true" outlineLevel="0" collapsed="false">
      <c r="A2766" s="30" t="s">
        <v>320</v>
      </c>
      <c r="B2766" s="30" t="s">
        <v>321</v>
      </c>
      <c r="C2766" s="21" t="n">
        <f aca="false">IF(A2766="","",IFERROR(VLOOKUP(A2766,'Recert Status'!$A$8:$C$400,3,FALSE()),""))</f>
        <v>46387</v>
      </c>
      <c r="D2766" s="31" t="s">
        <v>560</v>
      </c>
      <c r="E2766" s="30" t="s">
        <v>452</v>
      </c>
      <c r="F2766" s="32" t="n">
        <v>1</v>
      </c>
      <c r="G2766" s="33" t="n">
        <v>46166</v>
      </c>
      <c r="H2766" s="33" t="n">
        <v>46166</v>
      </c>
      <c r="I2766" s="31" t="s">
        <v>560</v>
      </c>
      <c r="J2766" s="30" t="s">
        <v>452</v>
      </c>
      <c r="K2766" s="31" t="s">
        <v>385</v>
      </c>
      <c r="L2766" s="32" t="n">
        <v>1</v>
      </c>
      <c r="M2766" s="36" t="s">
        <v>396</v>
      </c>
      <c r="N2766" s="31" t="s">
        <v>397</v>
      </c>
      <c r="O2766" s="32" t="n">
        <v>1</v>
      </c>
      <c r="P2766" s="15" t="n">
        <f aca="false">IF(A2766="","",IF(O2766&lt;&gt;"",O2766,IF(L2766&lt;&gt;"",L2766,F2766)))</f>
        <v>1</v>
      </c>
    </row>
    <row r="2767" customFormat="false" ht="15" hidden="false" customHeight="true" outlineLevel="0" collapsed="false">
      <c r="A2767" s="26" t="s">
        <v>320</v>
      </c>
      <c r="B2767" s="26" t="s">
        <v>321</v>
      </c>
      <c r="C2767" s="14" t="n">
        <f aca="false">IF(A2767="","",IFERROR(VLOOKUP(A2767,'Recert Status'!$A$8:$C$400,3,FALSE()),""))</f>
        <v>46387</v>
      </c>
      <c r="D2767" s="18" t="s">
        <v>397</v>
      </c>
      <c r="E2767" s="26" t="s">
        <v>452</v>
      </c>
      <c r="F2767" s="27" t="n">
        <v>1</v>
      </c>
      <c r="G2767" s="28" t="n">
        <v>46244</v>
      </c>
      <c r="H2767" s="28" t="n">
        <v>46244</v>
      </c>
      <c r="I2767" s="18" t="s">
        <v>453</v>
      </c>
      <c r="J2767" s="26" t="s">
        <v>452</v>
      </c>
      <c r="K2767" s="18" t="s">
        <v>385</v>
      </c>
      <c r="L2767" s="27" t="n">
        <v>1</v>
      </c>
      <c r="M2767" s="36" t="s">
        <v>396</v>
      </c>
      <c r="N2767" s="18" t="s">
        <v>397</v>
      </c>
      <c r="O2767" s="27" t="n">
        <v>1</v>
      </c>
      <c r="P2767" s="15" t="n">
        <f aca="false">IF(A2767="","",IF(O2767&lt;&gt;"",O2767,IF(L2767&lt;&gt;"",L2767,F2767)))</f>
        <v>1</v>
      </c>
    </row>
    <row r="2768" customFormat="false" ht="15" hidden="false" customHeight="true" outlineLevel="0" collapsed="false">
      <c r="A2768" s="30" t="s">
        <v>320</v>
      </c>
      <c r="B2768" s="30" t="s">
        <v>321</v>
      </c>
      <c r="C2768" s="21" t="n">
        <f aca="false">IF(A2768="","",IFERROR(VLOOKUP(A2768,'Recert Status'!$A$8:$C$400,3,FALSE()),""))</f>
        <v>46387</v>
      </c>
      <c r="D2768" s="31" t="s">
        <v>397</v>
      </c>
      <c r="E2768" s="30" t="s">
        <v>452</v>
      </c>
      <c r="F2768" s="32" t="n">
        <v>1</v>
      </c>
      <c r="G2768" s="33" t="n">
        <v>46292</v>
      </c>
      <c r="H2768" s="33" t="n">
        <v>46292</v>
      </c>
      <c r="I2768" s="31" t="s">
        <v>1233</v>
      </c>
      <c r="J2768" s="30" t="s">
        <v>452</v>
      </c>
      <c r="K2768" s="31" t="s">
        <v>385</v>
      </c>
      <c r="L2768" s="32" t="n">
        <v>1</v>
      </c>
      <c r="M2768" s="36" t="s">
        <v>396</v>
      </c>
      <c r="N2768" s="31" t="s">
        <v>397</v>
      </c>
      <c r="O2768" s="32" t="n">
        <v>1</v>
      </c>
      <c r="P2768" s="15" t="n">
        <f aca="false">IF(A2768="","",IF(O2768&lt;&gt;"",O2768,IF(L2768&lt;&gt;"",L2768,F2768)))</f>
        <v>1</v>
      </c>
    </row>
    <row r="2769" customFormat="false" ht="15" hidden="false" customHeight="true" outlineLevel="0" collapsed="false">
      <c r="A2769" s="26" t="s">
        <v>320</v>
      </c>
      <c r="B2769" s="26" t="s">
        <v>321</v>
      </c>
      <c r="C2769" s="14" t="n">
        <f aca="false">IF(A2769="","",IFERROR(VLOOKUP(A2769,'Recert Status'!$A$8:$C$400,3,FALSE()),""))</f>
        <v>46387</v>
      </c>
      <c r="D2769" s="18" t="s">
        <v>672</v>
      </c>
      <c r="E2769" s="26" t="n">
        <v>29675</v>
      </c>
      <c r="F2769" s="27" t="n">
        <v>1</v>
      </c>
      <c r="G2769" s="28" t="n">
        <v>45824</v>
      </c>
      <c r="H2769" s="28" t="n">
        <v>45824</v>
      </c>
      <c r="I2769" s="18" t="s">
        <v>970</v>
      </c>
      <c r="J2769" s="26" t="s">
        <v>406</v>
      </c>
      <c r="K2769" s="18" t="s">
        <v>418</v>
      </c>
      <c r="L2769" s="27" t="n">
        <v>1</v>
      </c>
      <c r="M2769" s="39" t="s">
        <v>413</v>
      </c>
      <c r="N2769" s="18" t="s">
        <v>414</v>
      </c>
      <c r="O2769" s="27" t="n">
        <v>1</v>
      </c>
      <c r="P2769" s="15" t="n">
        <f aca="false">IF(A2769="","",IF(O2769&lt;&gt;"",O2769,IF(L2769&lt;&gt;"",L2769,F2769)))</f>
        <v>1</v>
      </c>
    </row>
    <row r="2770" customFormat="false" ht="15" hidden="false" customHeight="true" outlineLevel="0" collapsed="false">
      <c r="A2770" s="30" t="s">
        <v>320</v>
      </c>
      <c r="B2770" s="30" t="s">
        <v>321</v>
      </c>
      <c r="C2770" s="21" t="n">
        <f aca="false">IF(A2770="","",IFERROR(VLOOKUP(A2770,'Recert Status'!$A$8:$C$400,3,FALSE()),""))</f>
        <v>46387</v>
      </c>
      <c r="D2770" s="31" t="s">
        <v>992</v>
      </c>
      <c r="E2770" s="30" t="n">
        <v>29675</v>
      </c>
      <c r="F2770" s="32" t="n">
        <v>1</v>
      </c>
      <c r="G2770" s="33" t="n">
        <v>45824</v>
      </c>
      <c r="H2770" s="33" t="n">
        <v>45824</v>
      </c>
      <c r="I2770" s="31" t="s">
        <v>970</v>
      </c>
      <c r="J2770" s="30" t="s">
        <v>406</v>
      </c>
      <c r="K2770" s="31" t="s">
        <v>418</v>
      </c>
      <c r="L2770" s="32" t="n">
        <v>1</v>
      </c>
      <c r="M2770" s="39" t="s">
        <v>413</v>
      </c>
      <c r="N2770" s="31" t="s">
        <v>514</v>
      </c>
      <c r="O2770" s="32" t="n">
        <v>1</v>
      </c>
      <c r="P2770" s="15" t="n">
        <f aca="false">IF(A2770="","",IF(O2770&lt;&gt;"",O2770,IF(L2770&lt;&gt;"",L2770,F2770)))</f>
        <v>1</v>
      </c>
    </row>
    <row r="2771" customFormat="false" ht="15" hidden="false" customHeight="true" outlineLevel="0" collapsed="false">
      <c r="A2771" s="26" t="s">
        <v>320</v>
      </c>
      <c r="B2771" s="26" t="s">
        <v>321</v>
      </c>
      <c r="C2771" s="14" t="n">
        <f aca="false">IF(A2771="","",IFERROR(VLOOKUP(A2771,'Recert Status'!$A$8:$C$400,3,FALSE()),""))</f>
        <v>46387</v>
      </c>
      <c r="D2771" s="18" t="s">
        <v>944</v>
      </c>
      <c r="E2771" s="26" t="s">
        <v>416</v>
      </c>
      <c r="F2771" s="27" t="n">
        <v>1</v>
      </c>
      <c r="G2771" s="28" t="n">
        <v>45824</v>
      </c>
      <c r="H2771" s="28" t="n">
        <v>45824</v>
      </c>
      <c r="I2771" s="18" t="s">
        <v>945</v>
      </c>
      <c r="J2771" s="26" t="s">
        <v>416</v>
      </c>
      <c r="K2771" s="18" t="s">
        <v>456</v>
      </c>
      <c r="L2771" s="27" t="n">
        <v>1</v>
      </c>
      <c r="M2771" s="39" t="s">
        <v>413</v>
      </c>
      <c r="N2771" s="18" t="s">
        <v>414</v>
      </c>
      <c r="O2771" s="27" t="n">
        <v>1</v>
      </c>
      <c r="P2771" s="15" t="n">
        <f aca="false">IF(A2771="","",IF(O2771&lt;&gt;"",O2771,IF(L2771&lt;&gt;"",L2771,F2771)))</f>
        <v>1</v>
      </c>
    </row>
    <row r="2772" customFormat="false" ht="15" hidden="false" customHeight="true" outlineLevel="0" collapsed="false">
      <c r="A2772" s="30" t="s">
        <v>320</v>
      </c>
      <c r="B2772" s="30" t="s">
        <v>321</v>
      </c>
      <c r="C2772" s="21" t="n">
        <f aca="false">IF(A2772="","",IFERROR(VLOOKUP(A2772,'Recert Status'!$A$8:$C$400,3,FALSE()),""))</f>
        <v>46387</v>
      </c>
      <c r="D2772" s="31" t="s">
        <v>578</v>
      </c>
      <c r="E2772" s="30" t="s">
        <v>416</v>
      </c>
      <c r="F2772" s="32" t="n">
        <v>5</v>
      </c>
      <c r="G2772" s="33" t="n">
        <v>45825</v>
      </c>
      <c r="H2772" s="33" t="n">
        <v>45825</v>
      </c>
      <c r="I2772" s="31" t="s">
        <v>579</v>
      </c>
      <c r="J2772" s="30" t="s">
        <v>416</v>
      </c>
      <c r="K2772" s="31" t="s">
        <v>418</v>
      </c>
      <c r="L2772" s="32" t="n">
        <v>5</v>
      </c>
      <c r="M2772" s="39" t="s">
        <v>413</v>
      </c>
      <c r="N2772" s="31" t="s">
        <v>414</v>
      </c>
      <c r="O2772" s="32" t="n">
        <v>5</v>
      </c>
      <c r="P2772" s="15" t="n">
        <f aca="false">IF(A2772="","",IF(O2772&lt;&gt;"",O2772,IF(L2772&lt;&gt;"",L2772,F2772)))</f>
        <v>5</v>
      </c>
    </row>
    <row r="2773" customFormat="false" ht="15" hidden="false" customHeight="true" outlineLevel="0" collapsed="false">
      <c r="A2773" s="26" t="s">
        <v>320</v>
      </c>
      <c r="B2773" s="26" t="s">
        <v>321</v>
      </c>
      <c r="C2773" s="14" t="n">
        <f aca="false">IF(A2773="","",IFERROR(VLOOKUP(A2773,'Recert Status'!$A$8:$C$400,3,FALSE()),""))</f>
        <v>46387</v>
      </c>
      <c r="D2773" s="18" t="s">
        <v>959</v>
      </c>
      <c r="E2773" s="26" t="s">
        <v>416</v>
      </c>
      <c r="F2773" s="27" t="n">
        <v>1</v>
      </c>
      <c r="G2773" s="28" t="n">
        <v>45825</v>
      </c>
      <c r="H2773" s="28" t="n">
        <v>45825</v>
      </c>
      <c r="I2773" s="18" t="s">
        <v>1210</v>
      </c>
      <c r="J2773" s="26" t="s">
        <v>416</v>
      </c>
      <c r="K2773" s="18" t="s">
        <v>456</v>
      </c>
      <c r="L2773" s="27" t="n">
        <v>1</v>
      </c>
      <c r="M2773" s="39" t="s">
        <v>413</v>
      </c>
      <c r="N2773" s="18" t="s">
        <v>414</v>
      </c>
      <c r="O2773" s="27" t="n">
        <v>1</v>
      </c>
      <c r="P2773" s="15" t="n">
        <f aca="false">IF(A2773="","",IF(O2773&lt;&gt;"",O2773,IF(L2773&lt;&gt;"",L2773,F2773)))</f>
        <v>1</v>
      </c>
    </row>
    <row r="2774" customFormat="false" ht="15" hidden="false" customHeight="true" outlineLevel="0" collapsed="false">
      <c r="A2774" s="30" t="s">
        <v>320</v>
      </c>
      <c r="B2774" s="30" t="s">
        <v>321</v>
      </c>
      <c r="C2774" s="21" t="n">
        <f aca="false">IF(A2774="","",IFERROR(VLOOKUP(A2774,'Recert Status'!$A$8:$C$400,3,FALSE()),""))</f>
        <v>46387</v>
      </c>
      <c r="D2774" s="31" t="s">
        <v>1191</v>
      </c>
      <c r="E2774" s="30" t="s">
        <v>416</v>
      </c>
      <c r="F2774" s="32" t="n">
        <v>1</v>
      </c>
      <c r="G2774" s="33" t="n">
        <v>45825</v>
      </c>
      <c r="H2774" s="33" t="n">
        <v>45825</v>
      </c>
      <c r="I2774" s="31" t="s">
        <v>1192</v>
      </c>
      <c r="J2774" s="30" t="s">
        <v>416</v>
      </c>
      <c r="K2774" s="31" t="s">
        <v>456</v>
      </c>
      <c r="L2774" s="32" t="n">
        <v>1</v>
      </c>
      <c r="M2774" s="39" t="s">
        <v>413</v>
      </c>
      <c r="N2774" s="31" t="s">
        <v>414</v>
      </c>
      <c r="O2774" s="32" t="n">
        <v>1</v>
      </c>
      <c r="P2774" s="15" t="n">
        <f aca="false">IF(A2774="","",IF(O2774&lt;&gt;"",O2774,IF(L2774&lt;&gt;"",L2774,F2774)))</f>
        <v>1</v>
      </c>
    </row>
    <row r="2775" customFormat="false" ht="15" hidden="false" customHeight="true" outlineLevel="0" collapsed="false">
      <c r="A2775" s="26" t="s">
        <v>320</v>
      </c>
      <c r="B2775" s="26" t="s">
        <v>321</v>
      </c>
      <c r="C2775" s="14" t="n">
        <f aca="false">IF(A2775="","",IFERROR(VLOOKUP(A2775,'Recert Status'!$A$8:$C$400,3,FALSE()),""))</f>
        <v>46387</v>
      </c>
      <c r="D2775" s="18" t="s">
        <v>992</v>
      </c>
      <c r="E2775" s="26" t="s">
        <v>416</v>
      </c>
      <c r="F2775" s="27" t="n">
        <v>1</v>
      </c>
      <c r="G2775" s="28" t="n">
        <v>45825</v>
      </c>
      <c r="H2775" s="28" t="n">
        <v>45825</v>
      </c>
      <c r="I2775" s="18" t="s">
        <v>993</v>
      </c>
      <c r="J2775" s="26" t="s">
        <v>416</v>
      </c>
      <c r="K2775" s="18" t="s">
        <v>418</v>
      </c>
      <c r="L2775" s="27" t="n">
        <v>1</v>
      </c>
      <c r="M2775" s="39" t="s">
        <v>413</v>
      </c>
      <c r="N2775" s="18" t="s">
        <v>414</v>
      </c>
      <c r="O2775" s="27" t="n">
        <v>1</v>
      </c>
      <c r="P2775" s="15" t="n">
        <f aca="false">IF(A2775="","",IF(O2775&lt;&gt;"",O2775,IF(L2775&lt;&gt;"",L2775,F2775)))</f>
        <v>1</v>
      </c>
    </row>
    <row r="2776" customFormat="false" ht="15" hidden="false" customHeight="true" outlineLevel="0" collapsed="false">
      <c r="A2776" s="30" t="s">
        <v>320</v>
      </c>
      <c r="B2776" s="30" t="s">
        <v>321</v>
      </c>
      <c r="C2776" s="21" t="n">
        <f aca="false">IF(A2776="","",IFERROR(VLOOKUP(A2776,'Recert Status'!$A$8:$C$400,3,FALSE()),""))</f>
        <v>46387</v>
      </c>
      <c r="D2776" s="31" t="s">
        <v>415</v>
      </c>
      <c r="E2776" s="30" t="s">
        <v>416</v>
      </c>
      <c r="F2776" s="32" t="n">
        <v>1</v>
      </c>
      <c r="G2776" s="33" t="n">
        <v>45825</v>
      </c>
      <c r="H2776" s="33" t="n">
        <v>45825</v>
      </c>
      <c r="I2776" s="31" t="s">
        <v>920</v>
      </c>
      <c r="J2776" s="30" t="s">
        <v>416</v>
      </c>
      <c r="K2776" s="31" t="s">
        <v>418</v>
      </c>
      <c r="L2776" s="32" t="n">
        <v>1</v>
      </c>
      <c r="M2776" s="39" t="s">
        <v>413</v>
      </c>
      <c r="N2776" s="31" t="s">
        <v>414</v>
      </c>
      <c r="O2776" s="32" t="n">
        <v>1</v>
      </c>
      <c r="P2776" s="15" t="n">
        <f aca="false">IF(A2776="","",IF(O2776&lt;&gt;"",O2776,IF(L2776&lt;&gt;"",L2776,F2776)))</f>
        <v>1</v>
      </c>
    </row>
    <row r="2777" customFormat="false" ht="15" hidden="false" customHeight="true" outlineLevel="0" collapsed="false">
      <c r="A2777" s="26" t="s">
        <v>320</v>
      </c>
      <c r="B2777" s="26" t="s">
        <v>321</v>
      </c>
      <c r="C2777" s="14" t="n">
        <f aca="false">IF(A2777="","",IFERROR(VLOOKUP(A2777,'Recert Status'!$A$8:$C$400,3,FALSE()),""))</f>
        <v>46387</v>
      </c>
      <c r="D2777" s="18" t="s">
        <v>717</v>
      </c>
      <c r="E2777" s="26" t="s">
        <v>416</v>
      </c>
      <c r="F2777" s="27" t="n">
        <v>1</v>
      </c>
      <c r="G2777" s="28" t="n">
        <v>45826</v>
      </c>
      <c r="H2777" s="28" t="n">
        <v>45826</v>
      </c>
      <c r="I2777" s="18" t="s">
        <v>821</v>
      </c>
      <c r="J2777" s="26" t="s">
        <v>416</v>
      </c>
      <c r="K2777" s="18" t="s">
        <v>418</v>
      </c>
      <c r="L2777" s="27" t="n">
        <v>1</v>
      </c>
      <c r="M2777" s="39" t="s">
        <v>413</v>
      </c>
      <c r="N2777" s="18" t="s">
        <v>414</v>
      </c>
      <c r="O2777" s="27" t="n">
        <v>1</v>
      </c>
      <c r="P2777" s="15" t="n">
        <f aca="false">IF(A2777="","",IF(O2777&lt;&gt;"",O2777,IF(L2777&lt;&gt;"",L2777,F2777)))</f>
        <v>1</v>
      </c>
    </row>
    <row r="2778" customFormat="false" ht="15" hidden="false" customHeight="true" outlineLevel="0" collapsed="false">
      <c r="A2778" s="30" t="s">
        <v>320</v>
      </c>
      <c r="B2778" s="30" t="s">
        <v>321</v>
      </c>
      <c r="C2778" s="21" t="n">
        <f aca="false">IF(A2778="","",IFERROR(VLOOKUP(A2778,'Recert Status'!$A$8:$C$400,3,FALSE()),""))</f>
        <v>46387</v>
      </c>
      <c r="D2778" s="31" t="s">
        <v>415</v>
      </c>
      <c r="E2778" s="30" t="s">
        <v>416</v>
      </c>
      <c r="F2778" s="32" t="n">
        <v>1</v>
      </c>
      <c r="G2778" s="33" t="n">
        <v>45826</v>
      </c>
      <c r="H2778" s="33" t="n">
        <v>45826</v>
      </c>
      <c r="I2778" s="31" t="s">
        <v>986</v>
      </c>
      <c r="J2778" s="30" t="s">
        <v>416</v>
      </c>
      <c r="K2778" s="31" t="s">
        <v>523</v>
      </c>
      <c r="L2778" s="32" t="n">
        <v>1</v>
      </c>
      <c r="M2778" s="39" t="s">
        <v>413</v>
      </c>
      <c r="N2778" s="31" t="s">
        <v>414</v>
      </c>
      <c r="O2778" s="32" t="n">
        <v>1</v>
      </c>
      <c r="P2778" s="15" t="n">
        <f aca="false">IF(A2778="","",IF(O2778&lt;&gt;"",O2778,IF(L2778&lt;&gt;"",L2778,F2778)))</f>
        <v>1</v>
      </c>
    </row>
    <row r="2779" customFormat="false" ht="15" hidden="false" customHeight="true" outlineLevel="0" collapsed="false">
      <c r="A2779" s="26" t="s">
        <v>320</v>
      </c>
      <c r="B2779" s="26" t="s">
        <v>321</v>
      </c>
      <c r="C2779" s="14" t="n">
        <f aca="false">IF(A2779="","",IFERROR(VLOOKUP(A2779,'Recert Status'!$A$8:$C$400,3,FALSE()),""))</f>
        <v>46387</v>
      </c>
      <c r="D2779" s="18" t="s">
        <v>905</v>
      </c>
      <c r="E2779" s="26" t="s">
        <v>416</v>
      </c>
      <c r="F2779" s="27" t="n">
        <v>1</v>
      </c>
      <c r="G2779" s="28" t="n">
        <v>45935</v>
      </c>
      <c r="H2779" s="28" t="n">
        <v>45935</v>
      </c>
      <c r="I2779" s="18" t="s">
        <v>906</v>
      </c>
      <c r="J2779" s="26" t="s">
        <v>416</v>
      </c>
      <c r="K2779" s="18" t="s">
        <v>418</v>
      </c>
      <c r="L2779" s="27" t="n">
        <v>1</v>
      </c>
      <c r="M2779" s="39" t="s">
        <v>413</v>
      </c>
      <c r="N2779" s="18" t="s">
        <v>414</v>
      </c>
      <c r="O2779" s="27" t="n">
        <v>1</v>
      </c>
      <c r="P2779" s="15" t="n">
        <f aca="false">IF(A2779="","",IF(O2779&lt;&gt;"",O2779,IF(L2779&lt;&gt;"",L2779,F2779)))</f>
        <v>1</v>
      </c>
    </row>
    <row r="2780" customFormat="false" ht="15" hidden="false" customHeight="true" outlineLevel="0" collapsed="false">
      <c r="A2780" s="30" t="s">
        <v>320</v>
      </c>
      <c r="B2780" s="30" t="s">
        <v>321</v>
      </c>
      <c r="C2780" s="21" t="n">
        <f aca="false">IF(A2780="","",IFERROR(VLOOKUP(A2780,'Recert Status'!$A$8:$C$400,3,FALSE()),""))</f>
        <v>46387</v>
      </c>
      <c r="D2780" s="31" t="s">
        <v>414</v>
      </c>
      <c r="E2780" s="30" t="s">
        <v>416</v>
      </c>
      <c r="F2780" s="32" t="n">
        <v>2</v>
      </c>
      <c r="G2780" s="33" t="n">
        <v>46217</v>
      </c>
      <c r="H2780" s="33" t="n">
        <v>46217</v>
      </c>
      <c r="I2780" s="31" t="s">
        <v>460</v>
      </c>
      <c r="J2780" s="30" t="s">
        <v>416</v>
      </c>
      <c r="K2780" s="31" t="s">
        <v>418</v>
      </c>
      <c r="L2780" s="32" t="n">
        <v>2</v>
      </c>
      <c r="M2780" s="39" t="s">
        <v>413</v>
      </c>
      <c r="N2780" s="31" t="s">
        <v>414</v>
      </c>
      <c r="O2780" s="32" t="n">
        <v>2</v>
      </c>
      <c r="P2780" s="15" t="n">
        <f aca="false">IF(A2780="","",IF(O2780&lt;&gt;"",O2780,IF(L2780&lt;&gt;"",L2780,F2780)))</f>
        <v>2</v>
      </c>
    </row>
    <row r="2781" customFormat="false" ht="15" hidden="false" customHeight="true" outlineLevel="0" collapsed="false">
      <c r="A2781" s="26" t="s">
        <v>320</v>
      </c>
      <c r="B2781" s="26" t="s">
        <v>321</v>
      </c>
      <c r="C2781" s="14" t="n">
        <f aca="false">IF(A2781="","",IFERROR(VLOOKUP(A2781,'Recert Status'!$A$8:$C$400,3,FALSE()),""))</f>
        <v>46387</v>
      </c>
      <c r="D2781" s="18" t="s">
        <v>414</v>
      </c>
      <c r="E2781" s="26" t="s">
        <v>416</v>
      </c>
      <c r="F2781" s="27" t="n">
        <v>1.5</v>
      </c>
      <c r="G2781" s="28" t="n">
        <v>46241</v>
      </c>
      <c r="H2781" s="28" t="n">
        <v>46241</v>
      </c>
      <c r="I2781" s="18" t="s">
        <v>536</v>
      </c>
      <c r="J2781" s="26" t="s">
        <v>416</v>
      </c>
      <c r="K2781" s="18" t="s">
        <v>418</v>
      </c>
      <c r="L2781" s="27" t="n">
        <v>1.5</v>
      </c>
      <c r="M2781" s="39" t="s">
        <v>413</v>
      </c>
      <c r="N2781" s="18" t="s">
        <v>414</v>
      </c>
      <c r="O2781" s="27" t="n">
        <v>1.5</v>
      </c>
      <c r="P2781" s="15" t="n">
        <f aca="false">IF(A2781="","",IF(O2781&lt;&gt;"",O2781,IF(L2781&lt;&gt;"",L2781,F2781)))</f>
        <v>1.5</v>
      </c>
    </row>
    <row r="2782" customFormat="false" ht="15" hidden="false" customHeight="true" outlineLevel="0" collapsed="false">
      <c r="A2782" s="30" t="s">
        <v>320</v>
      </c>
      <c r="B2782" s="30" t="s">
        <v>321</v>
      </c>
      <c r="C2782" s="21" t="n">
        <f aca="false">IF(A2782="","",IFERROR(VLOOKUP(A2782,'Recert Status'!$A$8:$C$400,3,FALSE()),""))</f>
        <v>46387</v>
      </c>
      <c r="D2782" s="31" t="s">
        <v>414</v>
      </c>
      <c r="E2782" s="30" t="s">
        <v>416</v>
      </c>
      <c r="F2782" s="32" t="n">
        <v>2</v>
      </c>
      <c r="G2782" s="33" t="n">
        <v>46286</v>
      </c>
      <c r="H2782" s="33" t="n">
        <v>46286</v>
      </c>
      <c r="I2782" s="31" t="s">
        <v>907</v>
      </c>
      <c r="J2782" s="30" t="s">
        <v>416</v>
      </c>
      <c r="K2782" s="31" t="s">
        <v>490</v>
      </c>
      <c r="L2782" s="32" t="n">
        <v>2</v>
      </c>
      <c r="M2782" s="39" t="s">
        <v>413</v>
      </c>
      <c r="N2782" s="31" t="s">
        <v>414</v>
      </c>
      <c r="O2782" s="32" t="n">
        <v>2</v>
      </c>
      <c r="P2782" s="15" t="n">
        <f aca="false">IF(A2782="","",IF(O2782&lt;&gt;"",O2782,IF(L2782&lt;&gt;"",L2782,F2782)))</f>
        <v>2</v>
      </c>
    </row>
    <row r="2783" customFormat="false" ht="15" hidden="false" customHeight="true" outlineLevel="0" collapsed="false">
      <c r="A2783" s="26" t="s">
        <v>322</v>
      </c>
      <c r="B2783" s="26"/>
      <c r="C2783" s="14" t="n">
        <f aca="false">IF(A2783="","",IFERROR(VLOOKUP(A2783,'Recert Status'!$A$8:$C$400,3,FALSE()),""))</f>
        <v>0</v>
      </c>
      <c r="D2783" s="18" t="s">
        <v>414</v>
      </c>
      <c r="E2783" s="26" t="s">
        <v>416</v>
      </c>
      <c r="F2783" s="27" t="n">
        <v>4</v>
      </c>
      <c r="G2783" s="28" t="n">
        <v>46217</v>
      </c>
      <c r="H2783" s="28" t="n">
        <v>46217</v>
      </c>
      <c r="I2783" s="18" t="s">
        <v>611</v>
      </c>
      <c r="J2783" s="26" t="s">
        <v>416</v>
      </c>
      <c r="K2783" s="18" t="s">
        <v>418</v>
      </c>
      <c r="L2783" s="27" t="n">
        <v>4</v>
      </c>
      <c r="M2783" s="39" t="s">
        <v>413</v>
      </c>
      <c r="N2783" s="18" t="s">
        <v>414</v>
      </c>
      <c r="O2783" s="27" t="n">
        <v>4</v>
      </c>
      <c r="P2783" s="15" t="n">
        <f aca="false">IF(A2783="","",IF(O2783&lt;&gt;"",O2783,IF(L2783&lt;&gt;"",L2783,F2783)))</f>
        <v>4</v>
      </c>
    </row>
    <row r="2784" customFormat="false" ht="15" hidden="false" customHeight="true" outlineLevel="0" collapsed="false">
      <c r="A2784" s="30" t="s">
        <v>322</v>
      </c>
      <c r="B2784" s="30"/>
      <c r="C2784" s="21" t="n">
        <f aca="false">IF(A2784="","",IFERROR(VLOOKUP(A2784,'Recert Status'!$A$8:$C$400,3,FALSE()),""))</f>
        <v>0</v>
      </c>
      <c r="D2784" s="31" t="s">
        <v>414</v>
      </c>
      <c r="E2784" s="30" t="s">
        <v>416</v>
      </c>
      <c r="F2784" s="32" t="n">
        <v>4</v>
      </c>
      <c r="G2784" s="33" t="n">
        <v>46218</v>
      </c>
      <c r="H2784" s="33" t="n">
        <v>46218</v>
      </c>
      <c r="I2784" s="31" t="s">
        <v>752</v>
      </c>
      <c r="J2784" s="30" t="s">
        <v>416</v>
      </c>
      <c r="K2784" s="31" t="s">
        <v>418</v>
      </c>
      <c r="L2784" s="32" t="n">
        <v>4</v>
      </c>
      <c r="M2784" s="39" t="s">
        <v>413</v>
      </c>
      <c r="N2784" s="31" t="s">
        <v>414</v>
      </c>
      <c r="O2784" s="32" t="n">
        <v>4</v>
      </c>
      <c r="P2784" s="15" t="n">
        <f aca="false">IF(A2784="","",IF(O2784&lt;&gt;"",O2784,IF(L2784&lt;&gt;"",L2784,F2784)))</f>
        <v>4</v>
      </c>
    </row>
    <row r="2785" customFormat="false" ht="15" hidden="false" customHeight="true" outlineLevel="0" collapsed="false">
      <c r="A2785" s="26" t="s">
        <v>323</v>
      </c>
      <c r="B2785" s="26"/>
      <c r="C2785" s="14" t="n">
        <f aca="false">IF(A2785="","",IFERROR(VLOOKUP(A2785,'Recert Status'!$A$8:$C$400,3,FALSE()),""))</f>
        <v>0</v>
      </c>
      <c r="D2785" s="18" t="s">
        <v>362</v>
      </c>
      <c r="E2785" s="26" t="s">
        <v>363</v>
      </c>
      <c r="F2785" s="27" t="n">
        <v>0.5</v>
      </c>
      <c r="G2785" s="28" t="n">
        <v>45783</v>
      </c>
      <c r="H2785" s="28" t="n">
        <v>45783</v>
      </c>
      <c r="I2785" s="18" t="s">
        <v>364</v>
      </c>
      <c r="J2785" s="26" t="s">
        <v>363</v>
      </c>
      <c r="K2785" s="18" t="s">
        <v>365</v>
      </c>
      <c r="L2785" s="27" t="n">
        <v>0.5</v>
      </c>
      <c r="M2785" s="29" t="s">
        <v>366</v>
      </c>
      <c r="N2785" s="18" t="s">
        <v>367</v>
      </c>
      <c r="O2785" s="27" t="n">
        <v>0.5</v>
      </c>
      <c r="P2785" s="15" t="n">
        <f aca="false">IF(A2785="","",IF(O2785&lt;&gt;"",O2785,IF(L2785&lt;&gt;"",L2785,F2785)))</f>
        <v>0.5</v>
      </c>
    </row>
    <row r="2786" customFormat="false" ht="15" hidden="false" customHeight="true" outlineLevel="0" collapsed="false">
      <c r="A2786" s="30" t="s">
        <v>323</v>
      </c>
      <c r="B2786" s="30"/>
      <c r="C2786" s="21" t="n">
        <f aca="false">IF(A2786="","",IFERROR(VLOOKUP(A2786,'Recert Status'!$A$8:$C$400,3,FALSE()),""))</f>
        <v>0</v>
      </c>
      <c r="D2786" s="31" t="s">
        <v>908</v>
      </c>
      <c r="E2786" s="30" t="s">
        <v>363</v>
      </c>
      <c r="F2786" s="32" t="n">
        <v>1.5</v>
      </c>
      <c r="G2786" s="33" t="n">
        <v>45867</v>
      </c>
      <c r="H2786" s="33" t="n">
        <v>45867</v>
      </c>
      <c r="I2786" s="31" t="s">
        <v>909</v>
      </c>
      <c r="J2786" s="30" t="s">
        <v>363</v>
      </c>
      <c r="K2786" s="31" t="s">
        <v>370</v>
      </c>
      <c r="L2786" s="32" t="n">
        <v>1.5</v>
      </c>
      <c r="M2786" s="29" t="s">
        <v>366</v>
      </c>
      <c r="N2786" s="31" t="s">
        <v>367</v>
      </c>
      <c r="O2786" s="32" t="n">
        <v>1.5</v>
      </c>
      <c r="P2786" s="15" t="n">
        <f aca="false">IF(A2786="","",IF(O2786&lt;&gt;"",O2786,IF(L2786&lt;&gt;"",L2786,F2786)))</f>
        <v>1.5</v>
      </c>
    </row>
    <row r="2787" customFormat="false" ht="15" hidden="false" customHeight="true" outlineLevel="0" collapsed="false">
      <c r="A2787" s="26" t="s">
        <v>323</v>
      </c>
      <c r="B2787" s="26"/>
      <c r="C2787" s="14" t="n">
        <f aca="false">IF(A2787="","",IFERROR(VLOOKUP(A2787,'Recert Status'!$A$8:$C$400,3,FALSE()),""))</f>
        <v>0</v>
      </c>
      <c r="D2787" s="18" t="s">
        <v>1732</v>
      </c>
      <c r="E2787" s="26" t="s">
        <v>426</v>
      </c>
      <c r="F2787" s="27" t="n">
        <v>2</v>
      </c>
      <c r="G2787" s="28" t="n">
        <v>45984</v>
      </c>
      <c r="H2787" s="28" t="n">
        <v>45984</v>
      </c>
      <c r="I2787" s="18" t="s">
        <v>1733</v>
      </c>
      <c r="J2787" s="26" t="s">
        <v>426</v>
      </c>
      <c r="K2787" s="18" t="s">
        <v>428</v>
      </c>
      <c r="L2787" s="27" t="n">
        <v>2</v>
      </c>
      <c r="M2787" s="41" t="s">
        <v>429</v>
      </c>
      <c r="N2787" s="18" t="s">
        <v>430</v>
      </c>
      <c r="O2787" s="27" t="n">
        <v>2</v>
      </c>
      <c r="P2787" s="15" t="n">
        <f aca="false">IF(A2787="","",IF(O2787&lt;&gt;"",O2787,IF(L2787&lt;&gt;"",L2787,F2787)))</f>
        <v>2</v>
      </c>
    </row>
    <row r="2788" customFormat="false" ht="15" hidden="false" customHeight="true" outlineLevel="0" collapsed="false">
      <c r="A2788" s="30" t="s">
        <v>323</v>
      </c>
      <c r="B2788" s="30"/>
      <c r="C2788" s="21" t="n">
        <f aca="false">IF(A2788="","",IFERROR(VLOOKUP(A2788,'Recert Status'!$A$8:$C$400,3,FALSE()),""))</f>
        <v>0</v>
      </c>
      <c r="D2788" s="31" t="s">
        <v>1241</v>
      </c>
      <c r="E2788" s="30" t="s">
        <v>372</v>
      </c>
      <c r="F2788" s="32" t="n">
        <v>1</v>
      </c>
      <c r="G2788" s="33" t="n">
        <v>45759</v>
      </c>
      <c r="H2788" s="33" t="n">
        <v>45759</v>
      </c>
      <c r="I2788" s="31" t="s">
        <v>1734</v>
      </c>
      <c r="J2788" s="30" t="s">
        <v>372</v>
      </c>
      <c r="K2788" s="31" t="s">
        <v>374</v>
      </c>
      <c r="L2788" s="32" t="n">
        <v>1</v>
      </c>
      <c r="M2788" s="34" t="s">
        <v>375</v>
      </c>
      <c r="N2788" s="31" t="s">
        <v>376</v>
      </c>
      <c r="O2788" s="32" t="n">
        <v>1</v>
      </c>
      <c r="P2788" s="15" t="n">
        <f aca="false">IF(A2788="","",IF(O2788&lt;&gt;"",O2788,IF(L2788&lt;&gt;"",L2788,F2788)))</f>
        <v>1</v>
      </c>
    </row>
    <row r="2789" customFormat="false" ht="15" hidden="false" customHeight="true" outlineLevel="0" collapsed="false">
      <c r="A2789" s="26" t="s">
        <v>323</v>
      </c>
      <c r="B2789" s="26"/>
      <c r="C2789" s="14" t="n">
        <f aca="false">IF(A2789="","",IFERROR(VLOOKUP(A2789,'Recert Status'!$A$8:$C$400,3,FALSE()),""))</f>
        <v>0</v>
      </c>
      <c r="D2789" s="18" t="s">
        <v>908</v>
      </c>
      <c r="E2789" s="26" t="n">
        <v>29668</v>
      </c>
      <c r="F2789" s="27" t="n">
        <v>1</v>
      </c>
      <c r="G2789" s="28" t="n">
        <v>45867</v>
      </c>
      <c r="H2789" s="28" t="n">
        <v>45867</v>
      </c>
      <c r="I2789" s="18" t="s">
        <v>912</v>
      </c>
      <c r="J2789" s="26" t="s">
        <v>511</v>
      </c>
      <c r="K2789" s="18" t="s">
        <v>509</v>
      </c>
      <c r="L2789" s="27" t="n">
        <v>1</v>
      </c>
      <c r="M2789" s="35" t="s">
        <v>386</v>
      </c>
      <c r="N2789" s="18" t="s">
        <v>387</v>
      </c>
      <c r="O2789" s="27" t="n">
        <v>1</v>
      </c>
      <c r="P2789" s="15" t="n">
        <f aca="false">IF(A2789="","",IF(O2789&lt;&gt;"",O2789,IF(L2789&lt;&gt;"",L2789,F2789)))</f>
        <v>1</v>
      </c>
    </row>
    <row r="2790" customFormat="false" ht="15" hidden="false" customHeight="true" outlineLevel="0" collapsed="false">
      <c r="A2790" s="30" t="s">
        <v>323</v>
      </c>
      <c r="B2790" s="30"/>
      <c r="C2790" s="21" t="n">
        <f aca="false">IF(A2790="","",IFERROR(VLOOKUP(A2790,'Recert Status'!$A$8:$C$400,3,FALSE()),""))</f>
        <v>0</v>
      </c>
      <c r="D2790" s="31" t="s">
        <v>447</v>
      </c>
      <c r="E2790" s="30" t="n">
        <v>29675</v>
      </c>
      <c r="F2790" s="32" t="n">
        <v>1</v>
      </c>
      <c r="G2790" s="33" t="n">
        <v>45987</v>
      </c>
      <c r="H2790" s="33" t="n">
        <v>45987</v>
      </c>
      <c r="I2790" s="31" t="s">
        <v>683</v>
      </c>
      <c r="J2790" s="30" t="s">
        <v>406</v>
      </c>
      <c r="K2790" s="31" t="s">
        <v>446</v>
      </c>
      <c r="L2790" s="32" t="n">
        <v>1</v>
      </c>
      <c r="M2790" s="35" t="s">
        <v>386</v>
      </c>
      <c r="N2790" s="31" t="s">
        <v>387</v>
      </c>
      <c r="O2790" s="32" t="n">
        <v>1</v>
      </c>
      <c r="P2790" s="15" t="n">
        <f aca="false">IF(A2790="","",IF(O2790&lt;&gt;"",O2790,IF(L2790&lt;&gt;"",L2790,F2790)))</f>
        <v>1</v>
      </c>
    </row>
    <row r="2791" customFormat="false" ht="15" hidden="false" customHeight="true" outlineLevel="0" collapsed="false">
      <c r="A2791" s="26" t="s">
        <v>323</v>
      </c>
      <c r="B2791" s="26"/>
      <c r="C2791" s="14" t="n">
        <f aca="false">IF(A2791="","",IFERROR(VLOOKUP(A2791,'Recert Status'!$A$8:$C$400,3,FALSE()),""))</f>
        <v>0</v>
      </c>
      <c r="D2791" s="18" t="s">
        <v>1735</v>
      </c>
      <c r="E2791" s="26" t="s">
        <v>399</v>
      </c>
      <c r="F2791" s="27" t="n">
        <v>3</v>
      </c>
      <c r="G2791" s="28" t="n">
        <v>45972</v>
      </c>
      <c r="H2791" s="28" t="n">
        <v>45972</v>
      </c>
      <c r="I2791" s="18" t="s">
        <v>1736</v>
      </c>
      <c r="J2791" s="26" t="s">
        <v>399</v>
      </c>
      <c r="K2791" s="18" t="s">
        <v>401</v>
      </c>
      <c r="L2791" s="27" t="n">
        <v>3</v>
      </c>
      <c r="M2791" s="37" t="s">
        <v>402</v>
      </c>
      <c r="N2791" s="18" t="s">
        <v>403</v>
      </c>
      <c r="O2791" s="27" t="n">
        <v>3</v>
      </c>
      <c r="P2791" s="15" t="n">
        <f aca="false">IF(A2791="","",IF(O2791&lt;&gt;"",O2791,IF(L2791&lt;&gt;"",L2791,F2791)))</f>
        <v>3</v>
      </c>
    </row>
    <row r="2792" customFormat="false" ht="15" hidden="false" customHeight="true" outlineLevel="0" collapsed="false">
      <c r="A2792" s="30" t="s">
        <v>323</v>
      </c>
      <c r="B2792" s="30"/>
      <c r="C2792" s="21" t="n">
        <f aca="false">IF(A2792="","",IFERROR(VLOOKUP(A2792,'Recert Status'!$A$8:$C$400,3,FALSE()),""))</f>
        <v>0</v>
      </c>
      <c r="D2792" s="31" t="s">
        <v>415</v>
      </c>
      <c r="E2792" s="30" t="s">
        <v>416</v>
      </c>
      <c r="F2792" s="32" t="n">
        <v>1</v>
      </c>
      <c r="G2792" s="33" t="n">
        <v>45825</v>
      </c>
      <c r="H2792" s="33" t="n">
        <v>45825</v>
      </c>
      <c r="I2792" s="31" t="s">
        <v>920</v>
      </c>
      <c r="J2792" s="30" t="s">
        <v>416</v>
      </c>
      <c r="K2792" s="31" t="s">
        <v>418</v>
      </c>
      <c r="L2792" s="32" t="n">
        <v>1</v>
      </c>
      <c r="M2792" s="39" t="s">
        <v>413</v>
      </c>
      <c r="N2792" s="31" t="s">
        <v>414</v>
      </c>
      <c r="O2792" s="32" t="n">
        <v>1</v>
      </c>
      <c r="P2792" s="15" t="n">
        <f aca="false">IF(A2792="","",IF(O2792&lt;&gt;"",O2792,IF(L2792&lt;&gt;"",L2792,F2792)))</f>
        <v>1</v>
      </c>
    </row>
    <row r="2793" customFormat="false" ht="15" hidden="false" customHeight="true" outlineLevel="0" collapsed="false">
      <c r="A2793" s="26" t="s">
        <v>323</v>
      </c>
      <c r="B2793" s="26"/>
      <c r="C2793" s="14" t="n">
        <f aca="false">IF(A2793="","",IFERROR(VLOOKUP(A2793,'Recert Status'!$A$8:$C$400,3,FALSE()),""))</f>
        <v>0</v>
      </c>
      <c r="D2793" s="18" t="s">
        <v>457</v>
      </c>
      <c r="E2793" s="26" t="s">
        <v>416</v>
      </c>
      <c r="F2793" s="27" t="n">
        <v>2</v>
      </c>
      <c r="G2793" s="28" t="n">
        <v>45861</v>
      </c>
      <c r="H2793" s="28" t="n">
        <v>45861</v>
      </c>
      <c r="I2793" s="18" t="s">
        <v>921</v>
      </c>
      <c r="J2793" s="26" t="s">
        <v>416</v>
      </c>
      <c r="K2793" s="18" t="s">
        <v>418</v>
      </c>
      <c r="L2793" s="27" t="n">
        <v>2</v>
      </c>
      <c r="M2793" s="39" t="s">
        <v>413</v>
      </c>
      <c r="N2793" s="18" t="s">
        <v>414</v>
      </c>
      <c r="O2793" s="27" t="n">
        <v>2</v>
      </c>
      <c r="P2793" s="15" t="n">
        <f aca="false">IF(A2793="","",IF(O2793&lt;&gt;"",O2793,IF(L2793&lt;&gt;"",L2793,F2793)))</f>
        <v>2</v>
      </c>
    </row>
    <row r="2794" customFormat="false" ht="15" hidden="false" customHeight="true" outlineLevel="0" collapsed="false">
      <c r="A2794" s="30" t="s">
        <v>324</v>
      </c>
      <c r="B2794" s="30" t="s">
        <v>325</v>
      </c>
      <c r="C2794" s="21" t="n">
        <f aca="false">IF(A2794="","",IFERROR(VLOOKUP(A2794,'Recert Status'!$A$8:$C$400,3,FALSE()),""))</f>
        <v>46387</v>
      </c>
      <c r="D2794" s="31" t="s">
        <v>632</v>
      </c>
      <c r="E2794" s="30" t="n">
        <v>29675</v>
      </c>
      <c r="F2794" s="32" t="n">
        <v>0.5</v>
      </c>
      <c r="G2794" s="33" t="n">
        <v>45855</v>
      </c>
      <c r="H2794" s="33" t="n">
        <v>45855</v>
      </c>
      <c r="I2794" s="31" t="s">
        <v>633</v>
      </c>
      <c r="J2794" s="30" t="s">
        <v>406</v>
      </c>
      <c r="K2794" s="31" t="s">
        <v>422</v>
      </c>
      <c r="L2794" s="32" t="n">
        <v>0.5</v>
      </c>
      <c r="M2794" s="40" t="s">
        <v>423</v>
      </c>
      <c r="N2794" s="31" t="s">
        <v>424</v>
      </c>
      <c r="O2794" s="32" t="n">
        <v>0.5</v>
      </c>
      <c r="P2794" s="15" t="n">
        <f aca="false">IF(A2794="","",IF(O2794&lt;&gt;"",O2794,IF(L2794&lt;&gt;"",L2794,F2794)))</f>
        <v>0.5</v>
      </c>
    </row>
    <row r="2795" customFormat="false" ht="15" hidden="false" customHeight="true" outlineLevel="0" collapsed="false">
      <c r="A2795" s="26" t="s">
        <v>324</v>
      </c>
      <c r="B2795" s="26" t="s">
        <v>325</v>
      </c>
      <c r="C2795" s="14" t="n">
        <f aca="false">IF(A2795="","",IFERROR(VLOOKUP(A2795,'Recert Status'!$A$8:$C$400,3,FALSE()),""))</f>
        <v>46387</v>
      </c>
      <c r="D2795" s="18" t="s">
        <v>1348</v>
      </c>
      <c r="E2795" s="26" t="s">
        <v>426</v>
      </c>
      <c r="F2795" s="27" t="n">
        <v>1</v>
      </c>
      <c r="G2795" s="28" t="n">
        <v>45818</v>
      </c>
      <c r="H2795" s="28" t="n">
        <v>45818</v>
      </c>
      <c r="I2795" s="18" t="s">
        <v>1349</v>
      </c>
      <c r="J2795" s="26" t="s">
        <v>426</v>
      </c>
      <c r="K2795" s="18" t="s">
        <v>428</v>
      </c>
      <c r="L2795" s="27" t="n">
        <v>1</v>
      </c>
      <c r="M2795" s="41" t="s">
        <v>429</v>
      </c>
      <c r="N2795" s="18" t="s">
        <v>430</v>
      </c>
      <c r="O2795" s="27" t="n">
        <v>1</v>
      </c>
      <c r="P2795" s="15" t="n">
        <f aca="false">IF(A2795="","",IF(O2795&lt;&gt;"",O2795,IF(L2795&lt;&gt;"",L2795,F2795)))</f>
        <v>1</v>
      </c>
    </row>
    <row r="2796" customFormat="false" ht="15" hidden="false" customHeight="true" outlineLevel="0" collapsed="false">
      <c r="A2796" s="30" t="s">
        <v>324</v>
      </c>
      <c r="B2796" s="30" t="s">
        <v>325</v>
      </c>
      <c r="C2796" s="21" t="n">
        <f aca="false">IF(A2796="","",IFERROR(VLOOKUP(A2796,'Recert Status'!$A$8:$C$400,3,FALSE()),""))</f>
        <v>46387</v>
      </c>
      <c r="D2796" s="31" t="s">
        <v>582</v>
      </c>
      <c r="E2796" s="30" t="s">
        <v>416</v>
      </c>
      <c r="F2796" s="32" t="n">
        <v>2</v>
      </c>
      <c r="G2796" s="33" t="n">
        <v>45861</v>
      </c>
      <c r="H2796" s="33" t="n">
        <v>45861</v>
      </c>
      <c r="I2796" s="31" t="s">
        <v>583</v>
      </c>
      <c r="J2796" s="30" t="s">
        <v>416</v>
      </c>
      <c r="K2796" s="31" t="s">
        <v>418</v>
      </c>
      <c r="L2796" s="32" t="n">
        <v>2</v>
      </c>
      <c r="M2796" s="39" t="s">
        <v>413</v>
      </c>
      <c r="N2796" s="31" t="s">
        <v>414</v>
      </c>
      <c r="O2796" s="32" t="n">
        <v>2</v>
      </c>
      <c r="P2796" s="15" t="n">
        <f aca="false">IF(A2796="","",IF(O2796&lt;&gt;"",O2796,IF(L2796&lt;&gt;"",L2796,F2796)))</f>
        <v>2</v>
      </c>
    </row>
    <row r="2797" customFormat="false" ht="15" hidden="false" customHeight="true" outlineLevel="0" collapsed="false">
      <c r="A2797" s="26" t="s">
        <v>324</v>
      </c>
      <c r="B2797" s="26" t="s">
        <v>325</v>
      </c>
      <c r="C2797" s="14" t="n">
        <f aca="false">IF(A2797="","",IFERROR(VLOOKUP(A2797,'Recert Status'!$A$8:$C$400,3,FALSE()),""))</f>
        <v>46387</v>
      </c>
      <c r="D2797" s="18" t="s">
        <v>488</v>
      </c>
      <c r="E2797" s="26" t="s">
        <v>416</v>
      </c>
      <c r="F2797" s="27" t="n">
        <v>1</v>
      </c>
      <c r="G2797" s="28" t="n">
        <v>46139</v>
      </c>
      <c r="H2797" s="28" t="n">
        <v>46139</v>
      </c>
      <c r="I2797" s="18" t="s">
        <v>610</v>
      </c>
      <c r="J2797" s="26" t="s">
        <v>416</v>
      </c>
      <c r="K2797" s="18" t="s">
        <v>490</v>
      </c>
      <c r="L2797" s="27" t="n">
        <v>1</v>
      </c>
      <c r="M2797" s="39" t="s">
        <v>413</v>
      </c>
      <c r="N2797" s="18" t="s">
        <v>414</v>
      </c>
      <c r="O2797" s="27" t="n">
        <v>1</v>
      </c>
      <c r="P2797" s="15" t="n">
        <f aca="false">IF(A2797="","",IF(O2797&lt;&gt;"",O2797,IF(L2797&lt;&gt;"",L2797,F2797)))</f>
        <v>1</v>
      </c>
    </row>
    <row r="2798" customFormat="false" ht="15" hidden="false" customHeight="true" outlineLevel="0" collapsed="false">
      <c r="A2798" s="30" t="s">
        <v>324</v>
      </c>
      <c r="B2798" s="30" t="s">
        <v>325</v>
      </c>
      <c r="C2798" s="21" t="n">
        <f aca="false">IF(A2798="","",IFERROR(VLOOKUP(A2798,'Recert Status'!$A$8:$C$400,3,FALSE()),""))</f>
        <v>46387</v>
      </c>
      <c r="D2798" s="31" t="s">
        <v>414</v>
      </c>
      <c r="E2798" s="30" t="s">
        <v>416</v>
      </c>
      <c r="F2798" s="32" t="n">
        <v>4</v>
      </c>
      <c r="G2798" s="33" t="n">
        <v>46217</v>
      </c>
      <c r="H2798" s="33" t="n">
        <v>46217</v>
      </c>
      <c r="I2798" s="31" t="s">
        <v>611</v>
      </c>
      <c r="J2798" s="30" t="s">
        <v>416</v>
      </c>
      <c r="K2798" s="31" t="s">
        <v>418</v>
      </c>
      <c r="L2798" s="32" t="n">
        <v>4</v>
      </c>
      <c r="M2798" s="39" t="s">
        <v>413</v>
      </c>
      <c r="N2798" s="31" t="s">
        <v>414</v>
      </c>
      <c r="O2798" s="32" t="n">
        <v>4</v>
      </c>
      <c r="P2798" s="15" t="n">
        <f aca="false">IF(A2798="","",IF(O2798&lt;&gt;"",O2798,IF(L2798&lt;&gt;"",L2798,F2798)))</f>
        <v>4</v>
      </c>
    </row>
    <row r="2799" customFormat="false" ht="15" hidden="false" customHeight="true" outlineLevel="0" collapsed="false">
      <c r="A2799" s="26" t="s">
        <v>324</v>
      </c>
      <c r="B2799" s="26" t="s">
        <v>325</v>
      </c>
      <c r="C2799" s="14" t="n">
        <f aca="false">IF(A2799="","",IFERROR(VLOOKUP(A2799,'Recert Status'!$A$8:$C$400,3,FALSE()),""))</f>
        <v>46387</v>
      </c>
      <c r="D2799" s="18" t="s">
        <v>414</v>
      </c>
      <c r="E2799" s="26" t="s">
        <v>416</v>
      </c>
      <c r="F2799" s="27" t="n">
        <v>4</v>
      </c>
      <c r="G2799" s="28" t="n">
        <v>46218</v>
      </c>
      <c r="H2799" s="28" t="n">
        <v>46218</v>
      </c>
      <c r="I2799" s="18" t="s">
        <v>752</v>
      </c>
      <c r="J2799" s="26" t="s">
        <v>416</v>
      </c>
      <c r="K2799" s="18" t="s">
        <v>418</v>
      </c>
      <c r="L2799" s="27" t="n">
        <v>4</v>
      </c>
      <c r="M2799" s="39" t="s">
        <v>413</v>
      </c>
      <c r="N2799" s="18" t="s">
        <v>414</v>
      </c>
      <c r="O2799" s="27" t="n">
        <v>4</v>
      </c>
      <c r="P2799" s="15" t="n">
        <f aca="false">IF(A2799="","",IF(O2799&lt;&gt;"",O2799,IF(L2799&lt;&gt;"",L2799,F2799)))</f>
        <v>4</v>
      </c>
    </row>
    <row r="2800" customFormat="false" ht="15" hidden="false" customHeight="true" outlineLevel="0" collapsed="false">
      <c r="A2800" s="30" t="s">
        <v>326</v>
      </c>
      <c r="B2800" s="30" t="s">
        <v>327</v>
      </c>
      <c r="C2800" s="21" t="n">
        <f aca="false">IF(A2800="","",IFERROR(VLOOKUP(A2800,'Recert Status'!$A$8:$C$400,3,FALSE()),""))</f>
        <v>46387</v>
      </c>
      <c r="D2800" s="31" t="s">
        <v>884</v>
      </c>
      <c r="E2800" s="30" t="s">
        <v>426</v>
      </c>
      <c r="F2800" s="32" t="n">
        <v>2</v>
      </c>
      <c r="G2800" s="33" t="n">
        <v>45929</v>
      </c>
      <c r="H2800" s="33" t="n">
        <v>45929</v>
      </c>
      <c r="I2800" s="31" t="s">
        <v>885</v>
      </c>
      <c r="J2800" s="30" t="s">
        <v>426</v>
      </c>
      <c r="K2800" s="31" t="s">
        <v>428</v>
      </c>
      <c r="L2800" s="32" t="n">
        <v>2</v>
      </c>
      <c r="M2800" s="41" t="s">
        <v>429</v>
      </c>
      <c r="N2800" s="31" t="s">
        <v>430</v>
      </c>
      <c r="O2800" s="32" t="n">
        <v>2</v>
      </c>
      <c r="P2800" s="15" t="n">
        <f aca="false">IF(A2800="","",IF(O2800&lt;&gt;"",O2800,IF(L2800&lt;&gt;"",L2800,F2800)))</f>
        <v>2</v>
      </c>
    </row>
    <row r="2801" customFormat="false" ht="15" hidden="false" customHeight="true" outlineLevel="0" collapsed="false">
      <c r="A2801" s="26" t="s">
        <v>326</v>
      </c>
      <c r="B2801" s="26" t="s">
        <v>327</v>
      </c>
      <c r="C2801" s="14" t="n">
        <f aca="false">IF(A2801="","",IFERROR(VLOOKUP(A2801,'Recert Status'!$A$8:$C$400,3,FALSE()),""))</f>
        <v>46387</v>
      </c>
      <c r="D2801" s="18" t="s">
        <v>1239</v>
      </c>
      <c r="E2801" s="26" t="s">
        <v>372</v>
      </c>
      <c r="F2801" s="27" t="n">
        <v>1</v>
      </c>
      <c r="G2801" s="28" t="n">
        <v>45755</v>
      </c>
      <c r="H2801" s="28" t="n">
        <v>45755</v>
      </c>
      <c r="I2801" s="18" t="s">
        <v>1737</v>
      </c>
      <c r="J2801" s="26" t="s">
        <v>372</v>
      </c>
      <c r="K2801" s="18" t="s">
        <v>374</v>
      </c>
      <c r="L2801" s="27" t="n">
        <v>1</v>
      </c>
      <c r="M2801" s="34" t="s">
        <v>375</v>
      </c>
      <c r="N2801" s="18" t="s">
        <v>376</v>
      </c>
      <c r="O2801" s="27" t="n">
        <v>1</v>
      </c>
      <c r="P2801" s="15" t="n">
        <f aca="false">IF(A2801="","",IF(O2801&lt;&gt;"",O2801,IF(L2801&lt;&gt;"",L2801,F2801)))</f>
        <v>1</v>
      </c>
    </row>
    <row r="2802" customFormat="false" ht="15" hidden="false" customHeight="true" outlineLevel="0" collapsed="false">
      <c r="A2802" s="30" t="s">
        <v>326</v>
      </c>
      <c r="B2802" s="30" t="s">
        <v>327</v>
      </c>
      <c r="C2802" s="21" t="n">
        <f aca="false">IF(A2802="","",IFERROR(VLOOKUP(A2802,'Recert Status'!$A$8:$C$400,3,FALSE()),""))</f>
        <v>46387</v>
      </c>
      <c r="D2802" s="31" t="s">
        <v>376</v>
      </c>
      <c r="E2802" s="30" t="s">
        <v>372</v>
      </c>
      <c r="F2802" s="32" t="n">
        <v>1</v>
      </c>
      <c r="G2802" s="33" t="n">
        <v>46283</v>
      </c>
      <c r="H2802" s="33" t="n">
        <v>46283</v>
      </c>
      <c r="I2802" s="31" t="s">
        <v>1738</v>
      </c>
      <c r="J2802" s="30" t="s">
        <v>372</v>
      </c>
      <c r="K2802" s="31" t="s">
        <v>374</v>
      </c>
      <c r="L2802" s="32" t="n">
        <v>1</v>
      </c>
      <c r="M2802" s="34" t="s">
        <v>375</v>
      </c>
      <c r="N2802" s="31" t="s">
        <v>376</v>
      </c>
      <c r="O2802" s="32" t="n">
        <v>1</v>
      </c>
      <c r="P2802" s="15" t="n">
        <f aca="false">IF(A2802="","",IF(O2802&lt;&gt;"",O2802,IF(L2802&lt;&gt;"",L2802,F2802)))</f>
        <v>1</v>
      </c>
    </row>
    <row r="2803" customFormat="false" ht="15" hidden="false" customHeight="true" outlineLevel="0" collapsed="false">
      <c r="A2803" s="26" t="s">
        <v>326</v>
      </c>
      <c r="B2803" s="26" t="s">
        <v>327</v>
      </c>
      <c r="C2803" s="14" t="n">
        <f aca="false">IF(A2803="","",IFERROR(VLOOKUP(A2803,'Recert Status'!$A$8:$C$400,3,FALSE()),""))</f>
        <v>46387</v>
      </c>
      <c r="D2803" s="18" t="s">
        <v>449</v>
      </c>
      <c r="E2803" s="26" t="s">
        <v>389</v>
      </c>
      <c r="F2803" s="27" t="n">
        <v>0.5</v>
      </c>
      <c r="G2803" s="28" t="n">
        <v>45698</v>
      </c>
      <c r="H2803" s="28" t="n">
        <v>45698</v>
      </c>
      <c r="I2803" s="18" t="s">
        <v>1216</v>
      </c>
      <c r="J2803" s="26" t="s">
        <v>389</v>
      </c>
      <c r="K2803" s="18" t="s">
        <v>395</v>
      </c>
      <c r="L2803" s="27" t="n">
        <v>0.5</v>
      </c>
      <c r="M2803" s="35" t="s">
        <v>386</v>
      </c>
      <c r="N2803" s="18" t="s">
        <v>387</v>
      </c>
      <c r="O2803" s="27" t="n">
        <v>0.5</v>
      </c>
      <c r="P2803" s="15" t="n">
        <f aca="false">IF(A2803="","",IF(O2803&lt;&gt;"",O2803,IF(L2803&lt;&gt;"",L2803,F2803)))</f>
        <v>0.5</v>
      </c>
    </row>
    <row r="2804" customFormat="false" ht="15" hidden="false" customHeight="true" outlineLevel="0" collapsed="false">
      <c r="A2804" s="30" t="s">
        <v>326</v>
      </c>
      <c r="B2804" s="30" t="s">
        <v>327</v>
      </c>
      <c r="C2804" s="21" t="n">
        <f aca="false">IF(A2804="","",IFERROR(VLOOKUP(A2804,'Recert Status'!$A$8:$C$400,3,FALSE()),""))</f>
        <v>46387</v>
      </c>
      <c r="D2804" s="31" t="s">
        <v>1384</v>
      </c>
      <c r="E2804" s="30" t="n">
        <v>29743</v>
      </c>
      <c r="F2804" s="32" t="n">
        <v>0.5</v>
      </c>
      <c r="G2804" s="33" t="n">
        <v>45785</v>
      </c>
      <c r="H2804" s="33" t="n">
        <v>45785</v>
      </c>
      <c r="I2804" s="31" t="s">
        <v>1385</v>
      </c>
      <c r="J2804" s="30" t="s">
        <v>439</v>
      </c>
      <c r="K2804" s="31" t="s">
        <v>509</v>
      </c>
      <c r="L2804" s="32" t="n">
        <v>0.5</v>
      </c>
      <c r="M2804" s="35" t="s">
        <v>386</v>
      </c>
      <c r="N2804" s="31" t="s">
        <v>387</v>
      </c>
      <c r="O2804" s="32" t="n">
        <v>0.5</v>
      </c>
      <c r="P2804" s="15" t="n">
        <f aca="false">IF(A2804="","",IF(O2804&lt;&gt;"",O2804,IF(L2804&lt;&gt;"",L2804,F2804)))</f>
        <v>0.5</v>
      </c>
    </row>
    <row r="2805" customFormat="false" ht="15" hidden="false" customHeight="true" outlineLevel="0" collapsed="false">
      <c r="A2805" s="26" t="s">
        <v>326</v>
      </c>
      <c r="B2805" s="26" t="s">
        <v>327</v>
      </c>
      <c r="C2805" s="14" t="n">
        <f aca="false">IF(A2805="","",IFERROR(VLOOKUP(A2805,'Recert Status'!$A$8:$C$400,3,FALSE()),""))</f>
        <v>46387</v>
      </c>
      <c r="D2805" s="18" t="s">
        <v>437</v>
      </c>
      <c r="E2805" s="26" t="n">
        <v>29743</v>
      </c>
      <c r="F2805" s="27" t="n">
        <v>1</v>
      </c>
      <c r="G2805" s="28" t="n">
        <v>45833</v>
      </c>
      <c r="H2805" s="28" t="n">
        <v>45833</v>
      </c>
      <c r="I2805" s="18" t="s">
        <v>438</v>
      </c>
      <c r="J2805" s="26" t="s">
        <v>439</v>
      </c>
      <c r="K2805" s="18" t="s">
        <v>440</v>
      </c>
      <c r="L2805" s="27" t="n">
        <v>1</v>
      </c>
      <c r="M2805" s="35" t="s">
        <v>386</v>
      </c>
      <c r="N2805" s="18" t="s">
        <v>387</v>
      </c>
      <c r="O2805" s="27" t="n">
        <v>1</v>
      </c>
      <c r="P2805" s="15" t="n">
        <f aca="false">IF(A2805="","",IF(O2805&lt;&gt;"",O2805,IF(L2805&lt;&gt;"",L2805,F2805)))</f>
        <v>1</v>
      </c>
    </row>
    <row r="2806" customFormat="false" ht="15" hidden="false" customHeight="true" outlineLevel="0" collapsed="false">
      <c r="A2806" s="30" t="s">
        <v>326</v>
      </c>
      <c r="B2806" s="30" t="s">
        <v>327</v>
      </c>
      <c r="C2806" s="21" t="n">
        <f aca="false">IF(A2806="","",IFERROR(VLOOKUP(A2806,'Recert Status'!$A$8:$C$400,3,FALSE()),""))</f>
        <v>46387</v>
      </c>
      <c r="D2806" s="31" t="s">
        <v>441</v>
      </c>
      <c r="E2806" s="30" t="n">
        <v>29743</v>
      </c>
      <c r="F2806" s="32" t="n">
        <v>1</v>
      </c>
      <c r="G2806" s="33" t="n">
        <v>45833</v>
      </c>
      <c r="H2806" s="33" t="n">
        <v>45833</v>
      </c>
      <c r="I2806" s="31" t="s">
        <v>442</v>
      </c>
      <c r="J2806" s="30" t="s">
        <v>439</v>
      </c>
      <c r="K2806" s="31" t="s">
        <v>443</v>
      </c>
      <c r="L2806" s="32" t="n">
        <v>1</v>
      </c>
      <c r="M2806" s="35" t="s">
        <v>386</v>
      </c>
      <c r="N2806" s="31" t="s">
        <v>387</v>
      </c>
      <c r="O2806" s="32" t="n">
        <v>1</v>
      </c>
      <c r="P2806" s="15" t="n">
        <f aca="false">IF(A2806="","",IF(O2806&lt;&gt;"",O2806,IF(L2806&lt;&gt;"",L2806,F2806)))</f>
        <v>1</v>
      </c>
    </row>
    <row r="2807" customFormat="false" ht="15" hidden="false" customHeight="true" outlineLevel="0" collapsed="false">
      <c r="A2807" s="26" t="s">
        <v>326</v>
      </c>
      <c r="B2807" s="26" t="s">
        <v>327</v>
      </c>
      <c r="C2807" s="14" t="n">
        <f aca="false">IF(A2807="","",IFERROR(VLOOKUP(A2807,'Recert Status'!$A$8:$C$400,3,FALSE()),""))</f>
        <v>46387</v>
      </c>
      <c r="D2807" s="18" t="s">
        <v>736</v>
      </c>
      <c r="E2807" s="26" t="n">
        <v>35513</v>
      </c>
      <c r="F2807" s="27" t="n">
        <v>2</v>
      </c>
      <c r="G2807" s="28" t="n">
        <v>45884</v>
      </c>
      <c r="H2807" s="28" t="n">
        <v>45884</v>
      </c>
      <c r="I2807" s="18" t="s">
        <v>737</v>
      </c>
      <c r="J2807" s="26" t="s">
        <v>384</v>
      </c>
      <c r="K2807" s="18" t="s">
        <v>385</v>
      </c>
      <c r="L2807" s="27" t="n">
        <v>2</v>
      </c>
      <c r="M2807" s="35" t="s">
        <v>386</v>
      </c>
      <c r="N2807" s="18" t="s">
        <v>387</v>
      </c>
      <c r="O2807" s="27" t="n">
        <v>2</v>
      </c>
      <c r="P2807" s="15" t="n">
        <f aca="false">IF(A2807="","",IF(O2807&lt;&gt;"",O2807,IF(L2807&lt;&gt;"",L2807,F2807)))</f>
        <v>2</v>
      </c>
    </row>
    <row r="2808" customFormat="false" ht="15" hidden="false" customHeight="true" outlineLevel="0" collapsed="false">
      <c r="A2808" s="30" t="s">
        <v>326</v>
      </c>
      <c r="B2808" s="30" t="s">
        <v>327</v>
      </c>
      <c r="C2808" s="21" t="n">
        <f aca="false">IF(A2808="","",IFERROR(VLOOKUP(A2808,'Recert Status'!$A$8:$C$400,3,FALSE()),""))</f>
        <v>46387</v>
      </c>
      <c r="D2808" s="31" t="s">
        <v>387</v>
      </c>
      <c r="E2808" s="30" t="s">
        <v>389</v>
      </c>
      <c r="F2808" s="32" t="n">
        <v>1</v>
      </c>
      <c r="G2808" s="33" t="n">
        <v>46235</v>
      </c>
      <c r="H2808" s="33" t="n">
        <v>46235</v>
      </c>
      <c r="I2808" s="31" t="s">
        <v>919</v>
      </c>
      <c r="J2808" s="30" t="s">
        <v>389</v>
      </c>
      <c r="K2808" s="31" t="s">
        <v>451</v>
      </c>
      <c r="L2808" s="32" t="n">
        <v>1</v>
      </c>
      <c r="M2808" s="35" t="s">
        <v>386</v>
      </c>
      <c r="N2808" s="31" t="s">
        <v>387</v>
      </c>
      <c r="O2808" s="32" t="n">
        <v>1</v>
      </c>
      <c r="P2808" s="15" t="n">
        <f aca="false">IF(A2808="","",IF(O2808&lt;&gt;"",O2808,IF(L2808&lt;&gt;"",L2808,F2808)))</f>
        <v>1</v>
      </c>
    </row>
    <row r="2809" customFormat="false" ht="15" hidden="false" customHeight="true" outlineLevel="0" collapsed="false">
      <c r="A2809" s="26" t="s">
        <v>326</v>
      </c>
      <c r="B2809" s="26" t="s">
        <v>327</v>
      </c>
      <c r="C2809" s="14" t="n">
        <f aca="false">IF(A2809="","",IFERROR(VLOOKUP(A2809,'Recert Status'!$A$8:$C$400,3,FALSE()),""))</f>
        <v>46387</v>
      </c>
      <c r="D2809" s="18" t="s">
        <v>397</v>
      </c>
      <c r="E2809" s="26" t="s">
        <v>452</v>
      </c>
      <c r="F2809" s="27" t="n">
        <v>1</v>
      </c>
      <c r="G2809" s="28" t="n">
        <v>46244</v>
      </c>
      <c r="H2809" s="28" t="n">
        <v>46244</v>
      </c>
      <c r="I2809" s="18" t="s">
        <v>453</v>
      </c>
      <c r="J2809" s="26" t="s">
        <v>452</v>
      </c>
      <c r="K2809" s="18" t="s">
        <v>385</v>
      </c>
      <c r="L2809" s="27" t="n">
        <v>1</v>
      </c>
      <c r="M2809" s="36" t="s">
        <v>396</v>
      </c>
      <c r="N2809" s="18" t="s">
        <v>397</v>
      </c>
      <c r="O2809" s="27" t="n">
        <v>1</v>
      </c>
      <c r="P2809" s="15" t="n">
        <f aca="false">IF(A2809="","",IF(O2809&lt;&gt;"",O2809,IF(L2809&lt;&gt;"",L2809,F2809)))</f>
        <v>1</v>
      </c>
    </row>
    <row r="2810" customFormat="false" ht="15" hidden="false" customHeight="true" outlineLevel="0" collapsed="false">
      <c r="A2810" s="30" t="s">
        <v>326</v>
      </c>
      <c r="B2810" s="30" t="s">
        <v>327</v>
      </c>
      <c r="C2810" s="21" t="n">
        <f aca="false">IF(A2810="","",IFERROR(VLOOKUP(A2810,'Recert Status'!$A$8:$C$400,3,FALSE()),""))</f>
        <v>46387</v>
      </c>
      <c r="D2810" s="31" t="s">
        <v>397</v>
      </c>
      <c r="E2810" s="30" t="s">
        <v>452</v>
      </c>
      <c r="F2810" s="32" t="n">
        <v>1</v>
      </c>
      <c r="G2810" s="33" t="n">
        <v>46274</v>
      </c>
      <c r="H2810" s="33" t="n">
        <v>46274</v>
      </c>
      <c r="I2810" s="31" t="s">
        <v>933</v>
      </c>
      <c r="J2810" s="30" t="s">
        <v>452</v>
      </c>
      <c r="K2810" s="31" t="s">
        <v>385</v>
      </c>
      <c r="L2810" s="32" t="n">
        <v>1</v>
      </c>
      <c r="M2810" s="36" t="s">
        <v>396</v>
      </c>
      <c r="N2810" s="31" t="s">
        <v>397</v>
      </c>
      <c r="O2810" s="32" t="n">
        <v>1</v>
      </c>
      <c r="P2810" s="15" t="n">
        <f aca="false">IF(A2810="","",IF(O2810&lt;&gt;"",O2810,IF(L2810&lt;&gt;"",L2810,F2810)))</f>
        <v>1</v>
      </c>
    </row>
    <row r="2811" customFormat="false" ht="15" hidden="false" customHeight="true" outlineLevel="0" collapsed="false">
      <c r="A2811" s="26" t="s">
        <v>326</v>
      </c>
      <c r="B2811" s="26" t="s">
        <v>327</v>
      </c>
      <c r="C2811" s="14" t="n">
        <f aca="false">IF(A2811="","",IFERROR(VLOOKUP(A2811,'Recert Status'!$A$8:$C$400,3,FALSE()),""))</f>
        <v>46387</v>
      </c>
      <c r="D2811" s="18" t="s">
        <v>798</v>
      </c>
      <c r="E2811" s="26" t="s">
        <v>416</v>
      </c>
      <c r="F2811" s="27" t="n">
        <v>1</v>
      </c>
      <c r="G2811" s="28" t="n">
        <v>45710</v>
      </c>
      <c r="H2811" s="28" t="n">
        <v>45710</v>
      </c>
      <c r="I2811" s="18" t="s">
        <v>799</v>
      </c>
      <c r="J2811" s="26" t="s">
        <v>416</v>
      </c>
      <c r="K2811" s="18" t="s">
        <v>490</v>
      </c>
      <c r="L2811" s="27" t="n">
        <v>1</v>
      </c>
      <c r="M2811" s="39" t="s">
        <v>413</v>
      </c>
      <c r="N2811" s="18" t="s">
        <v>414</v>
      </c>
      <c r="O2811" s="27" t="n">
        <v>1</v>
      </c>
      <c r="P2811" s="15" t="n">
        <f aca="false">IF(A2811="","",IF(O2811&lt;&gt;"",O2811,IF(L2811&lt;&gt;"",L2811,F2811)))</f>
        <v>1</v>
      </c>
    </row>
    <row r="2812" customFormat="false" ht="15" hidden="false" customHeight="true" outlineLevel="0" collapsed="false">
      <c r="A2812" s="30" t="s">
        <v>326</v>
      </c>
      <c r="B2812" s="30" t="s">
        <v>327</v>
      </c>
      <c r="C2812" s="21" t="n">
        <f aca="false">IF(A2812="","",IFERROR(VLOOKUP(A2812,'Recert Status'!$A$8:$C$400,3,FALSE()),""))</f>
        <v>46387</v>
      </c>
      <c r="D2812" s="31" t="s">
        <v>992</v>
      </c>
      <c r="E2812" s="30" t="n">
        <v>29675</v>
      </c>
      <c r="F2812" s="32" t="n">
        <v>1</v>
      </c>
      <c r="G2812" s="33" t="n">
        <v>45824</v>
      </c>
      <c r="H2812" s="33" t="n">
        <v>45824</v>
      </c>
      <c r="I2812" s="31" t="s">
        <v>970</v>
      </c>
      <c r="J2812" s="30" t="s">
        <v>406</v>
      </c>
      <c r="K2812" s="31" t="s">
        <v>418</v>
      </c>
      <c r="L2812" s="32" t="n">
        <v>1</v>
      </c>
      <c r="M2812" s="39" t="s">
        <v>413</v>
      </c>
      <c r="N2812" s="31" t="s">
        <v>514</v>
      </c>
      <c r="O2812" s="32" t="n">
        <v>1</v>
      </c>
      <c r="P2812" s="15" t="n">
        <f aca="false">IF(A2812="","",IF(O2812&lt;&gt;"",O2812,IF(L2812&lt;&gt;"",L2812,F2812)))</f>
        <v>1</v>
      </c>
    </row>
    <row r="2813" customFormat="false" ht="15" hidden="false" customHeight="true" outlineLevel="0" collapsed="false">
      <c r="A2813" s="26" t="s">
        <v>326</v>
      </c>
      <c r="B2813" s="26" t="s">
        <v>327</v>
      </c>
      <c r="C2813" s="14" t="n">
        <f aca="false">IF(A2813="","",IFERROR(VLOOKUP(A2813,'Recert Status'!$A$8:$C$400,3,FALSE()),""))</f>
        <v>46387</v>
      </c>
      <c r="D2813" s="18" t="s">
        <v>488</v>
      </c>
      <c r="E2813" s="26" t="s">
        <v>416</v>
      </c>
      <c r="F2813" s="27" t="n">
        <v>1</v>
      </c>
      <c r="G2813" s="28" t="n">
        <v>46139</v>
      </c>
      <c r="H2813" s="28" t="n">
        <v>46139</v>
      </c>
      <c r="I2813" s="18" t="s">
        <v>610</v>
      </c>
      <c r="J2813" s="26" t="s">
        <v>416</v>
      </c>
      <c r="K2813" s="18" t="s">
        <v>490</v>
      </c>
      <c r="L2813" s="27" t="n">
        <v>1</v>
      </c>
      <c r="M2813" s="39" t="s">
        <v>413</v>
      </c>
      <c r="N2813" s="18" t="s">
        <v>414</v>
      </c>
      <c r="O2813" s="27" t="n">
        <v>1</v>
      </c>
      <c r="P2813" s="15" t="n">
        <f aca="false">IF(A2813="","",IF(O2813&lt;&gt;"",O2813,IF(L2813&lt;&gt;"",L2813,F2813)))</f>
        <v>1</v>
      </c>
    </row>
    <row r="2814" customFormat="false" ht="15" hidden="false" customHeight="true" outlineLevel="0" collapsed="false">
      <c r="A2814" s="30" t="s">
        <v>326</v>
      </c>
      <c r="B2814" s="30" t="s">
        <v>327</v>
      </c>
      <c r="C2814" s="21" t="n">
        <f aca="false">IF(A2814="","",IFERROR(VLOOKUP(A2814,'Recert Status'!$A$8:$C$400,3,FALSE()),""))</f>
        <v>46387</v>
      </c>
      <c r="D2814" s="31" t="s">
        <v>414</v>
      </c>
      <c r="E2814" s="30" t="s">
        <v>416</v>
      </c>
      <c r="F2814" s="32" t="n">
        <v>2</v>
      </c>
      <c r="G2814" s="33" t="n">
        <v>46217</v>
      </c>
      <c r="H2814" s="33" t="n">
        <v>46217</v>
      </c>
      <c r="I2814" s="31" t="s">
        <v>460</v>
      </c>
      <c r="J2814" s="30" t="s">
        <v>416</v>
      </c>
      <c r="K2814" s="31" t="s">
        <v>418</v>
      </c>
      <c r="L2814" s="32" t="n">
        <v>2</v>
      </c>
      <c r="M2814" s="39" t="s">
        <v>413</v>
      </c>
      <c r="N2814" s="31" t="s">
        <v>414</v>
      </c>
      <c r="O2814" s="32" t="n">
        <v>2</v>
      </c>
      <c r="P2814" s="15" t="n">
        <f aca="false">IF(A2814="","",IF(O2814&lt;&gt;"",O2814,IF(L2814&lt;&gt;"",L2814,F2814)))</f>
        <v>2</v>
      </c>
    </row>
    <row r="2815" customFormat="false" ht="15" hidden="false" customHeight="true" outlineLevel="0" collapsed="false">
      <c r="A2815" s="26" t="s">
        <v>328</v>
      </c>
      <c r="B2815" s="26" t="s">
        <v>329</v>
      </c>
      <c r="C2815" s="14" t="n">
        <f aca="false">IF(A2815="","",IFERROR(VLOOKUP(A2815,'Recert Status'!$A$8:$C$400,3,FALSE()),""))</f>
        <v>46752</v>
      </c>
      <c r="D2815" s="18" t="s">
        <v>569</v>
      </c>
      <c r="E2815" s="26" t="n">
        <v>57433</v>
      </c>
      <c r="F2815" s="27" t="n">
        <v>1</v>
      </c>
      <c r="G2815" s="28" t="n">
        <v>46017</v>
      </c>
      <c r="H2815" s="28" t="n">
        <v>46017</v>
      </c>
      <c r="I2815" s="18" t="s">
        <v>570</v>
      </c>
      <c r="J2815" s="26" t="s">
        <v>421</v>
      </c>
      <c r="K2815" s="18" t="s">
        <v>428</v>
      </c>
      <c r="L2815" s="27" t="n">
        <v>1</v>
      </c>
      <c r="M2815" s="40" t="s">
        <v>423</v>
      </c>
      <c r="N2815" s="18" t="s">
        <v>514</v>
      </c>
      <c r="O2815" s="27" t="n">
        <v>1</v>
      </c>
      <c r="P2815" s="15" t="n">
        <f aca="false">IF(A2815="","",IF(O2815&lt;&gt;"",O2815,IF(L2815&lt;&gt;"",L2815,F2815)))</f>
        <v>1</v>
      </c>
    </row>
    <row r="2816" customFormat="false" ht="15" hidden="false" customHeight="true" outlineLevel="0" collapsed="false">
      <c r="A2816" s="30" t="s">
        <v>328</v>
      </c>
      <c r="B2816" s="30" t="s">
        <v>329</v>
      </c>
      <c r="C2816" s="21" t="n">
        <f aca="false">IF(A2816="","",IFERROR(VLOOKUP(A2816,'Recert Status'!$A$8:$C$400,3,FALSE()),""))</f>
        <v>46752</v>
      </c>
      <c r="D2816" s="31" t="s">
        <v>524</v>
      </c>
      <c r="E2816" s="30" t="s">
        <v>426</v>
      </c>
      <c r="F2816" s="32" t="n">
        <v>0.5</v>
      </c>
      <c r="G2816" s="33" t="n">
        <v>45881</v>
      </c>
      <c r="H2816" s="33" t="n">
        <v>45881</v>
      </c>
      <c r="I2816" s="31" t="s">
        <v>525</v>
      </c>
      <c r="J2816" s="30" t="s">
        <v>426</v>
      </c>
      <c r="K2816" s="31" t="s">
        <v>526</v>
      </c>
      <c r="L2816" s="32" t="n">
        <v>0.5</v>
      </c>
      <c r="M2816" s="41" t="s">
        <v>429</v>
      </c>
      <c r="N2816" s="31" t="s">
        <v>430</v>
      </c>
      <c r="O2816" s="32" t="n">
        <v>0.5</v>
      </c>
      <c r="P2816" s="15" t="n">
        <f aca="false">IF(A2816="","",IF(O2816&lt;&gt;"",O2816,IF(L2816&lt;&gt;"",L2816,F2816)))</f>
        <v>0.5</v>
      </c>
    </row>
    <row r="2817" customFormat="false" ht="15" hidden="false" customHeight="true" outlineLevel="0" collapsed="false">
      <c r="A2817" s="26" t="s">
        <v>328</v>
      </c>
      <c r="B2817" s="26" t="s">
        <v>329</v>
      </c>
      <c r="C2817" s="14" t="n">
        <f aca="false">IF(A2817="","",IFERROR(VLOOKUP(A2817,'Recert Status'!$A$8:$C$400,3,FALSE()),""))</f>
        <v>46752</v>
      </c>
      <c r="D2817" s="18" t="s">
        <v>425</v>
      </c>
      <c r="E2817" s="26" t="s">
        <v>426</v>
      </c>
      <c r="F2817" s="27" t="n">
        <v>2</v>
      </c>
      <c r="G2817" s="28" t="n">
        <v>45929</v>
      </c>
      <c r="H2817" s="28" t="n">
        <v>45929</v>
      </c>
      <c r="I2817" s="18" t="s">
        <v>427</v>
      </c>
      <c r="J2817" s="26" t="s">
        <v>426</v>
      </c>
      <c r="K2817" s="18" t="s">
        <v>428</v>
      </c>
      <c r="L2817" s="27" t="n">
        <v>2</v>
      </c>
      <c r="M2817" s="41" t="s">
        <v>429</v>
      </c>
      <c r="N2817" s="18" t="s">
        <v>430</v>
      </c>
      <c r="O2817" s="27" t="n">
        <v>2</v>
      </c>
      <c r="P2817" s="15" t="n">
        <f aca="false">IF(A2817="","",IF(O2817&lt;&gt;"",O2817,IF(L2817&lt;&gt;"",L2817,F2817)))</f>
        <v>2</v>
      </c>
    </row>
    <row r="2818" customFormat="false" ht="15" hidden="false" customHeight="true" outlineLevel="0" collapsed="false">
      <c r="A2818" s="30" t="s">
        <v>328</v>
      </c>
      <c r="B2818" s="30" t="s">
        <v>329</v>
      </c>
      <c r="C2818" s="21" t="n">
        <f aca="false">IF(A2818="","",IFERROR(VLOOKUP(A2818,'Recert Status'!$A$8:$C$400,3,FALSE()),""))</f>
        <v>46752</v>
      </c>
      <c r="D2818" s="31" t="s">
        <v>888</v>
      </c>
      <c r="E2818" s="30" t="s">
        <v>426</v>
      </c>
      <c r="F2818" s="32" t="n">
        <v>1</v>
      </c>
      <c r="G2818" s="33" t="n">
        <v>46001</v>
      </c>
      <c r="H2818" s="33" t="n">
        <v>46001</v>
      </c>
      <c r="I2818" s="31" t="s">
        <v>889</v>
      </c>
      <c r="J2818" s="30" t="s">
        <v>426</v>
      </c>
      <c r="K2818" s="31" t="s">
        <v>428</v>
      </c>
      <c r="L2818" s="32" t="n">
        <v>1</v>
      </c>
      <c r="M2818" s="41" t="s">
        <v>429</v>
      </c>
      <c r="N2818" s="31" t="s">
        <v>430</v>
      </c>
      <c r="O2818" s="32" t="n">
        <v>1</v>
      </c>
      <c r="P2818" s="15" t="n">
        <f aca="false">IF(A2818="","",IF(O2818&lt;&gt;"",O2818,IF(L2818&lt;&gt;"",L2818,F2818)))</f>
        <v>1</v>
      </c>
    </row>
    <row r="2819" customFormat="false" ht="15" hidden="false" customHeight="true" outlineLevel="0" collapsed="false">
      <c r="A2819" s="26" t="s">
        <v>328</v>
      </c>
      <c r="B2819" s="26" t="s">
        <v>329</v>
      </c>
      <c r="C2819" s="14" t="n">
        <f aca="false">IF(A2819="","",IFERROR(VLOOKUP(A2819,'Recert Status'!$A$8:$C$400,3,FALSE()),""))</f>
        <v>46752</v>
      </c>
      <c r="D2819" s="18" t="s">
        <v>437</v>
      </c>
      <c r="E2819" s="26" t="n">
        <v>29743</v>
      </c>
      <c r="F2819" s="27" t="n">
        <v>1</v>
      </c>
      <c r="G2819" s="28" t="n">
        <v>45833</v>
      </c>
      <c r="H2819" s="28" t="n">
        <v>45833</v>
      </c>
      <c r="I2819" s="18" t="s">
        <v>438</v>
      </c>
      <c r="J2819" s="26" t="s">
        <v>439</v>
      </c>
      <c r="K2819" s="18" t="s">
        <v>440</v>
      </c>
      <c r="L2819" s="27" t="n">
        <v>1</v>
      </c>
      <c r="M2819" s="35" t="s">
        <v>386</v>
      </c>
      <c r="N2819" s="18" t="s">
        <v>387</v>
      </c>
      <c r="O2819" s="27" t="n">
        <v>1</v>
      </c>
      <c r="P2819" s="15" t="n">
        <f aca="false">IF(A2819="","",IF(O2819&lt;&gt;"",O2819,IF(L2819&lt;&gt;"",L2819,F2819)))</f>
        <v>1</v>
      </c>
    </row>
    <row r="2820" customFormat="false" ht="15" hidden="false" customHeight="true" outlineLevel="0" collapsed="false">
      <c r="A2820" s="30" t="s">
        <v>328</v>
      </c>
      <c r="B2820" s="30" t="s">
        <v>329</v>
      </c>
      <c r="C2820" s="21" t="n">
        <f aca="false">IF(A2820="","",IFERROR(VLOOKUP(A2820,'Recert Status'!$A$8:$C$400,3,FALSE()),""))</f>
        <v>46752</v>
      </c>
      <c r="D2820" s="31" t="s">
        <v>441</v>
      </c>
      <c r="E2820" s="30" t="n">
        <v>29743</v>
      </c>
      <c r="F2820" s="32" t="n">
        <v>1</v>
      </c>
      <c r="G2820" s="33" t="n">
        <v>45833</v>
      </c>
      <c r="H2820" s="33" t="n">
        <v>45833</v>
      </c>
      <c r="I2820" s="31" t="s">
        <v>442</v>
      </c>
      <c r="J2820" s="30" t="s">
        <v>439</v>
      </c>
      <c r="K2820" s="31" t="s">
        <v>443</v>
      </c>
      <c r="L2820" s="32" t="n">
        <v>1</v>
      </c>
      <c r="M2820" s="35" t="s">
        <v>386</v>
      </c>
      <c r="N2820" s="31" t="s">
        <v>387</v>
      </c>
      <c r="O2820" s="32" t="n">
        <v>1</v>
      </c>
      <c r="P2820" s="15" t="n">
        <f aca="false">IF(A2820="","",IF(O2820&lt;&gt;"",O2820,IF(L2820&lt;&gt;"",L2820,F2820)))</f>
        <v>1</v>
      </c>
    </row>
    <row r="2821" customFormat="false" ht="15" hidden="false" customHeight="true" outlineLevel="0" collapsed="false">
      <c r="A2821" s="26" t="s">
        <v>328</v>
      </c>
      <c r="B2821" s="26" t="s">
        <v>329</v>
      </c>
      <c r="C2821" s="14" t="n">
        <f aca="false">IF(A2821="","",IFERROR(VLOOKUP(A2821,'Recert Status'!$A$8:$C$400,3,FALSE()),""))</f>
        <v>46752</v>
      </c>
      <c r="D2821" s="18" t="s">
        <v>705</v>
      </c>
      <c r="E2821" s="26" t="n">
        <v>29769</v>
      </c>
      <c r="F2821" s="27" t="n">
        <v>2</v>
      </c>
      <c r="G2821" s="28" t="n">
        <v>45896</v>
      </c>
      <c r="H2821" s="28" t="n">
        <v>45896</v>
      </c>
      <c r="I2821" s="18" t="s">
        <v>706</v>
      </c>
      <c r="J2821" s="26" t="s">
        <v>517</v>
      </c>
      <c r="K2821" s="18" t="s">
        <v>707</v>
      </c>
      <c r="L2821" s="27" t="n">
        <v>2</v>
      </c>
      <c r="M2821" s="35" t="s">
        <v>386</v>
      </c>
      <c r="N2821" s="18" t="s">
        <v>387</v>
      </c>
      <c r="O2821" s="27" t="n">
        <v>2</v>
      </c>
      <c r="P2821" s="15" t="n">
        <f aca="false">IF(A2821="","",IF(O2821&lt;&gt;"",O2821,IF(L2821&lt;&gt;"",L2821,F2821)))</f>
        <v>2</v>
      </c>
    </row>
    <row r="2822" customFormat="false" ht="15" hidden="false" customHeight="true" outlineLevel="0" collapsed="false">
      <c r="A2822" s="30" t="s">
        <v>328</v>
      </c>
      <c r="B2822" s="30" t="s">
        <v>329</v>
      </c>
      <c r="C2822" s="21" t="n">
        <f aca="false">IF(A2822="","",IFERROR(VLOOKUP(A2822,'Recert Status'!$A$8:$C$400,3,FALSE()),""))</f>
        <v>46752</v>
      </c>
      <c r="D2822" s="31" t="s">
        <v>1681</v>
      </c>
      <c r="E2822" s="30" t="s">
        <v>389</v>
      </c>
      <c r="F2822" s="32" t="n">
        <v>1</v>
      </c>
      <c r="G2822" s="33" t="n">
        <v>45998</v>
      </c>
      <c r="H2822" s="33" t="n">
        <v>45998</v>
      </c>
      <c r="I2822" s="31" t="s">
        <v>1682</v>
      </c>
      <c r="J2822" s="30" t="s">
        <v>389</v>
      </c>
      <c r="K2822" s="31" t="s">
        <v>451</v>
      </c>
      <c r="L2822" s="32" t="n">
        <v>1</v>
      </c>
      <c r="M2822" s="35" t="s">
        <v>386</v>
      </c>
      <c r="N2822" s="31" t="s">
        <v>387</v>
      </c>
      <c r="O2822" s="32" t="n">
        <v>1</v>
      </c>
      <c r="P2822" s="15" t="n">
        <f aca="false">IF(A2822="","",IF(O2822&lt;&gt;"",O2822,IF(L2822&lt;&gt;"",L2822,F2822)))</f>
        <v>1</v>
      </c>
    </row>
    <row r="2823" customFormat="false" ht="15" hidden="false" customHeight="true" outlineLevel="0" collapsed="false">
      <c r="A2823" s="26" t="s">
        <v>328</v>
      </c>
      <c r="B2823" s="26" t="s">
        <v>329</v>
      </c>
      <c r="C2823" s="14" t="n">
        <f aca="false">IF(A2823="","",IFERROR(VLOOKUP(A2823,'Recert Status'!$A$8:$C$400,3,FALSE()),""))</f>
        <v>46752</v>
      </c>
      <c r="D2823" s="18" t="s">
        <v>1739</v>
      </c>
      <c r="E2823" s="26" t="n">
        <v>29668</v>
      </c>
      <c r="F2823" s="27" t="n">
        <v>1</v>
      </c>
      <c r="G2823" s="28" t="n">
        <v>46001</v>
      </c>
      <c r="H2823" s="28" t="n">
        <v>46001</v>
      </c>
      <c r="I2823" s="18" t="s">
        <v>1740</v>
      </c>
      <c r="J2823" s="26" t="s">
        <v>511</v>
      </c>
      <c r="K2823" s="18" t="s">
        <v>509</v>
      </c>
      <c r="L2823" s="27" t="n">
        <v>1</v>
      </c>
      <c r="M2823" s="35" t="s">
        <v>386</v>
      </c>
      <c r="N2823" s="18" t="s">
        <v>387</v>
      </c>
      <c r="O2823" s="27" t="n">
        <v>1</v>
      </c>
      <c r="P2823" s="15" t="n">
        <f aca="false">IF(A2823="","",IF(O2823&lt;&gt;"",O2823,IF(L2823&lt;&gt;"",L2823,F2823)))</f>
        <v>1</v>
      </c>
    </row>
    <row r="2824" customFormat="false" ht="15" hidden="false" customHeight="true" outlineLevel="0" collapsed="false">
      <c r="A2824" s="30" t="s">
        <v>328</v>
      </c>
      <c r="B2824" s="30" t="s">
        <v>329</v>
      </c>
      <c r="C2824" s="21" t="n">
        <f aca="false">IF(A2824="","",IFERROR(VLOOKUP(A2824,'Recert Status'!$A$8:$C$400,3,FALSE()),""))</f>
        <v>46752</v>
      </c>
      <c r="D2824" s="31" t="s">
        <v>901</v>
      </c>
      <c r="E2824" s="30" t="s">
        <v>389</v>
      </c>
      <c r="F2824" s="32" t="n">
        <v>1</v>
      </c>
      <c r="G2824" s="33" t="n">
        <v>46019</v>
      </c>
      <c r="H2824" s="33" t="n">
        <v>46019</v>
      </c>
      <c r="I2824" s="31" t="s">
        <v>902</v>
      </c>
      <c r="J2824" s="30" t="s">
        <v>389</v>
      </c>
      <c r="K2824" s="31" t="s">
        <v>451</v>
      </c>
      <c r="L2824" s="32" t="n">
        <v>1</v>
      </c>
      <c r="M2824" s="35" t="s">
        <v>386</v>
      </c>
      <c r="N2824" s="31" t="s">
        <v>387</v>
      </c>
      <c r="O2824" s="32" t="n">
        <v>1</v>
      </c>
      <c r="P2824" s="15" t="n">
        <f aca="false">IF(A2824="","",IF(O2824&lt;&gt;"",O2824,IF(L2824&lt;&gt;"",L2824,F2824)))</f>
        <v>1</v>
      </c>
    </row>
    <row r="2825" customFormat="false" ht="15" hidden="false" customHeight="true" outlineLevel="0" collapsed="false">
      <c r="A2825" s="26" t="s">
        <v>328</v>
      </c>
      <c r="B2825" s="26" t="s">
        <v>329</v>
      </c>
      <c r="C2825" s="14" t="n">
        <f aca="false">IF(A2825="","",IFERROR(VLOOKUP(A2825,'Recert Status'!$A$8:$C$400,3,FALSE()),""))</f>
        <v>46752</v>
      </c>
      <c r="D2825" s="18" t="s">
        <v>531</v>
      </c>
      <c r="E2825" s="26" t="s">
        <v>452</v>
      </c>
      <c r="F2825" s="27" t="n">
        <v>1</v>
      </c>
      <c r="G2825" s="28" t="n">
        <v>45983</v>
      </c>
      <c r="H2825" s="28" t="n">
        <v>45983</v>
      </c>
      <c r="I2825" s="18" t="s">
        <v>532</v>
      </c>
      <c r="J2825" s="26" t="s">
        <v>452</v>
      </c>
      <c r="K2825" s="18" t="s">
        <v>385</v>
      </c>
      <c r="L2825" s="27" t="n">
        <v>1</v>
      </c>
      <c r="M2825" s="36" t="s">
        <v>396</v>
      </c>
      <c r="N2825" s="18" t="s">
        <v>397</v>
      </c>
      <c r="O2825" s="27" t="n">
        <v>1</v>
      </c>
      <c r="P2825" s="15" t="n">
        <f aca="false">IF(A2825="","",IF(O2825&lt;&gt;"",O2825,IF(L2825&lt;&gt;"",L2825,F2825)))</f>
        <v>1</v>
      </c>
    </row>
    <row r="2826" customFormat="false" ht="15" hidden="false" customHeight="true" outlineLevel="0" collapsed="false">
      <c r="A2826" s="30" t="s">
        <v>328</v>
      </c>
      <c r="B2826" s="30" t="s">
        <v>329</v>
      </c>
      <c r="C2826" s="21" t="n">
        <f aca="false">IF(A2826="","",IFERROR(VLOOKUP(A2826,'Recert Status'!$A$8:$C$400,3,FALSE()),""))</f>
        <v>46752</v>
      </c>
      <c r="D2826" s="31" t="s">
        <v>1302</v>
      </c>
      <c r="E2826" s="30" t="s">
        <v>452</v>
      </c>
      <c r="F2826" s="32" t="n">
        <v>1</v>
      </c>
      <c r="G2826" s="33" t="n">
        <v>46017</v>
      </c>
      <c r="H2826" s="33" t="n">
        <v>46017</v>
      </c>
      <c r="I2826" s="31" t="s">
        <v>1303</v>
      </c>
      <c r="J2826" s="30" t="s">
        <v>452</v>
      </c>
      <c r="K2826" s="31" t="s">
        <v>385</v>
      </c>
      <c r="L2826" s="32" t="n">
        <v>1</v>
      </c>
      <c r="M2826" s="36" t="s">
        <v>396</v>
      </c>
      <c r="N2826" s="31" t="s">
        <v>397</v>
      </c>
      <c r="O2826" s="32" t="n">
        <v>1</v>
      </c>
      <c r="P2826" s="15" t="n">
        <f aca="false">IF(A2826="","",IF(O2826&lt;&gt;"",O2826,IF(L2826&lt;&gt;"",L2826,F2826)))</f>
        <v>1</v>
      </c>
    </row>
    <row r="2827" customFormat="false" ht="15" hidden="false" customHeight="true" outlineLevel="0" collapsed="false">
      <c r="A2827" s="26" t="s">
        <v>328</v>
      </c>
      <c r="B2827" s="26" t="s">
        <v>329</v>
      </c>
      <c r="C2827" s="14" t="n">
        <f aca="false">IF(A2827="","",IFERROR(VLOOKUP(A2827,'Recert Status'!$A$8:$C$400,3,FALSE()),""))</f>
        <v>46752</v>
      </c>
      <c r="D2827" s="18" t="s">
        <v>397</v>
      </c>
      <c r="E2827" s="26" t="s">
        <v>452</v>
      </c>
      <c r="F2827" s="27" t="n">
        <v>1</v>
      </c>
      <c r="G2827" s="28" t="n">
        <v>46244</v>
      </c>
      <c r="H2827" s="28" t="n">
        <v>46244</v>
      </c>
      <c r="I2827" s="18" t="s">
        <v>577</v>
      </c>
      <c r="J2827" s="26" t="s">
        <v>452</v>
      </c>
      <c r="K2827" s="18" t="s">
        <v>385</v>
      </c>
      <c r="L2827" s="27" t="n">
        <v>1</v>
      </c>
      <c r="M2827" s="36" t="s">
        <v>396</v>
      </c>
      <c r="N2827" s="18" t="s">
        <v>397</v>
      </c>
      <c r="O2827" s="27" t="n">
        <v>1</v>
      </c>
      <c r="P2827" s="15" t="n">
        <f aca="false">IF(A2827="","",IF(O2827&lt;&gt;"",O2827,IF(L2827&lt;&gt;"",L2827,F2827)))</f>
        <v>1</v>
      </c>
    </row>
    <row r="2828" customFormat="false" ht="15" hidden="false" customHeight="true" outlineLevel="0" collapsed="false">
      <c r="A2828" s="30" t="s">
        <v>328</v>
      </c>
      <c r="B2828" s="30" t="s">
        <v>329</v>
      </c>
      <c r="C2828" s="21" t="n">
        <f aca="false">IF(A2828="","",IFERROR(VLOOKUP(A2828,'Recert Status'!$A$8:$C$400,3,FALSE()),""))</f>
        <v>46752</v>
      </c>
      <c r="D2828" s="31" t="s">
        <v>457</v>
      </c>
      <c r="E2828" s="30" t="s">
        <v>416</v>
      </c>
      <c r="F2828" s="32" t="n">
        <v>2</v>
      </c>
      <c r="G2828" s="33" t="n">
        <v>45860</v>
      </c>
      <c r="H2828" s="33" t="n">
        <v>45860</v>
      </c>
      <c r="I2828" s="31" t="s">
        <v>720</v>
      </c>
      <c r="J2828" s="30" t="s">
        <v>416</v>
      </c>
      <c r="K2828" s="31" t="s">
        <v>459</v>
      </c>
      <c r="L2828" s="32" t="n">
        <v>2</v>
      </c>
      <c r="M2828" s="39" t="s">
        <v>413</v>
      </c>
      <c r="N2828" s="31" t="s">
        <v>414</v>
      </c>
      <c r="O2828" s="32" t="n">
        <v>2</v>
      </c>
      <c r="P2828" s="15" t="n">
        <f aca="false">IF(A2828="","",IF(O2828&lt;&gt;"",O2828,IF(L2828&lt;&gt;"",L2828,F2828)))</f>
        <v>2</v>
      </c>
    </row>
    <row r="2829" customFormat="false" ht="15" hidden="false" customHeight="true" outlineLevel="0" collapsed="false">
      <c r="A2829" s="26" t="s">
        <v>328</v>
      </c>
      <c r="B2829" s="26" t="s">
        <v>329</v>
      </c>
      <c r="C2829" s="14" t="n">
        <f aca="false">IF(A2829="","",IFERROR(VLOOKUP(A2829,'Recert Status'!$A$8:$C$400,3,FALSE()),""))</f>
        <v>46752</v>
      </c>
      <c r="D2829" s="18" t="s">
        <v>457</v>
      </c>
      <c r="E2829" s="26" t="s">
        <v>416</v>
      </c>
      <c r="F2829" s="27" t="n">
        <v>2</v>
      </c>
      <c r="G2829" s="28" t="n">
        <v>45860</v>
      </c>
      <c r="H2829" s="28" t="n">
        <v>45860</v>
      </c>
      <c r="I2829" s="18" t="s">
        <v>458</v>
      </c>
      <c r="J2829" s="26" t="s">
        <v>416</v>
      </c>
      <c r="K2829" s="18" t="s">
        <v>459</v>
      </c>
      <c r="L2829" s="27" t="n">
        <v>2</v>
      </c>
      <c r="M2829" s="39" t="s">
        <v>413</v>
      </c>
      <c r="N2829" s="18" t="s">
        <v>414</v>
      </c>
      <c r="O2829" s="27" t="n">
        <v>2</v>
      </c>
      <c r="P2829" s="15" t="n">
        <f aca="false">IF(A2829="","",IF(O2829&lt;&gt;"",O2829,IF(L2829&lt;&gt;"",L2829,F2829)))</f>
        <v>2</v>
      </c>
    </row>
    <row r="2830" customFormat="false" ht="15" hidden="false" customHeight="true" outlineLevel="0" collapsed="false">
      <c r="A2830" s="30" t="s">
        <v>328</v>
      </c>
      <c r="B2830" s="30" t="s">
        <v>329</v>
      </c>
      <c r="C2830" s="21" t="n">
        <f aca="false">IF(A2830="","",IFERROR(VLOOKUP(A2830,'Recert Status'!$A$8:$C$400,3,FALSE()),""))</f>
        <v>46752</v>
      </c>
      <c r="D2830" s="31" t="s">
        <v>415</v>
      </c>
      <c r="E2830" s="30" t="s">
        <v>416</v>
      </c>
      <c r="F2830" s="32" t="n">
        <v>2</v>
      </c>
      <c r="G2830" s="33" t="n">
        <v>45860</v>
      </c>
      <c r="H2830" s="33" t="n">
        <v>45860</v>
      </c>
      <c r="I2830" s="31" t="s">
        <v>721</v>
      </c>
      <c r="J2830" s="30" t="s">
        <v>416</v>
      </c>
      <c r="K2830" s="31" t="s">
        <v>418</v>
      </c>
      <c r="L2830" s="32" t="n">
        <v>2</v>
      </c>
      <c r="M2830" s="39" t="s">
        <v>413</v>
      </c>
      <c r="N2830" s="31" t="s">
        <v>414</v>
      </c>
      <c r="O2830" s="32" t="n">
        <v>2</v>
      </c>
      <c r="P2830" s="15" t="n">
        <f aca="false">IF(A2830="","",IF(O2830&lt;&gt;"",O2830,IF(L2830&lt;&gt;"",L2830,F2830)))</f>
        <v>2</v>
      </c>
    </row>
    <row r="2831" customFormat="false" ht="15" hidden="false" customHeight="true" outlineLevel="0" collapsed="false">
      <c r="A2831" s="26" t="s">
        <v>328</v>
      </c>
      <c r="B2831" s="26" t="s">
        <v>329</v>
      </c>
      <c r="C2831" s="14" t="n">
        <f aca="false">IF(A2831="","",IFERROR(VLOOKUP(A2831,'Recert Status'!$A$8:$C$400,3,FALSE()),""))</f>
        <v>46752</v>
      </c>
      <c r="D2831" s="18" t="s">
        <v>705</v>
      </c>
      <c r="E2831" s="26" t="s">
        <v>416</v>
      </c>
      <c r="F2831" s="27" t="n">
        <v>1.5</v>
      </c>
      <c r="G2831" s="28" t="n">
        <v>45896</v>
      </c>
      <c r="H2831" s="28" t="n">
        <v>45896</v>
      </c>
      <c r="I2831" s="18" t="s">
        <v>722</v>
      </c>
      <c r="J2831" s="26" t="s">
        <v>416</v>
      </c>
      <c r="K2831" s="18" t="s">
        <v>723</v>
      </c>
      <c r="L2831" s="27" t="n">
        <v>1.5</v>
      </c>
      <c r="M2831" s="39" t="s">
        <v>413</v>
      </c>
      <c r="N2831" s="18" t="s">
        <v>414</v>
      </c>
      <c r="O2831" s="27" t="n">
        <v>1.5</v>
      </c>
      <c r="P2831" s="15" t="n">
        <f aca="false">IF(A2831="","",IF(O2831&lt;&gt;"",O2831,IF(L2831&lt;&gt;"",L2831,F2831)))</f>
        <v>1.5</v>
      </c>
    </row>
    <row r="2832" customFormat="false" ht="15" hidden="false" customHeight="true" outlineLevel="0" collapsed="false">
      <c r="A2832" s="30" t="s">
        <v>328</v>
      </c>
      <c r="B2832" s="30" t="s">
        <v>329</v>
      </c>
      <c r="C2832" s="21" t="n">
        <f aca="false">IF(A2832="","",IFERROR(VLOOKUP(A2832,'Recert Status'!$A$8:$C$400,3,FALSE()),""))</f>
        <v>46752</v>
      </c>
      <c r="D2832" s="31" t="s">
        <v>905</v>
      </c>
      <c r="E2832" s="30" t="s">
        <v>416</v>
      </c>
      <c r="F2832" s="32" t="n">
        <v>1</v>
      </c>
      <c r="G2832" s="33" t="n">
        <v>45935</v>
      </c>
      <c r="H2832" s="33" t="n">
        <v>45935</v>
      </c>
      <c r="I2832" s="31" t="s">
        <v>906</v>
      </c>
      <c r="J2832" s="30" t="s">
        <v>416</v>
      </c>
      <c r="K2832" s="31" t="s">
        <v>418</v>
      </c>
      <c r="L2832" s="32" t="n">
        <v>1</v>
      </c>
      <c r="M2832" s="39" t="s">
        <v>413</v>
      </c>
      <c r="N2832" s="31" t="s">
        <v>414</v>
      </c>
      <c r="O2832" s="32" t="n">
        <v>1</v>
      </c>
      <c r="P2832" s="15" t="n">
        <f aca="false">IF(A2832="","",IF(O2832&lt;&gt;"",O2832,IF(L2832&lt;&gt;"",L2832,F2832)))</f>
        <v>1</v>
      </c>
    </row>
    <row r="2833" customFormat="false" ht="15" hidden="false" customHeight="true" outlineLevel="0" collapsed="false">
      <c r="A2833" s="26" t="s">
        <v>328</v>
      </c>
      <c r="B2833" s="26" t="s">
        <v>329</v>
      </c>
      <c r="C2833" s="14" t="n">
        <f aca="false">IF(A2833="","",IFERROR(VLOOKUP(A2833,'Recert Status'!$A$8:$C$400,3,FALSE()),""))</f>
        <v>46752</v>
      </c>
      <c r="D2833" s="18" t="s">
        <v>750</v>
      </c>
      <c r="E2833" s="26" t="s">
        <v>416</v>
      </c>
      <c r="F2833" s="27" t="n">
        <v>3</v>
      </c>
      <c r="G2833" s="28" t="n">
        <v>46001</v>
      </c>
      <c r="H2833" s="28" t="n">
        <v>46001</v>
      </c>
      <c r="I2833" s="18" t="s">
        <v>751</v>
      </c>
      <c r="J2833" s="26" t="s">
        <v>416</v>
      </c>
      <c r="K2833" s="18" t="s">
        <v>456</v>
      </c>
      <c r="L2833" s="27" t="n">
        <v>3</v>
      </c>
      <c r="M2833" s="39" t="s">
        <v>413</v>
      </c>
      <c r="N2833" s="18" t="s">
        <v>414</v>
      </c>
      <c r="O2833" s="27" t="n">
        <v>3</v>
      </c>
      <c r="P2833" s="15" t="n">
        <f aca="false">IF(A2833="","",IF(O2833&lt;&gt;"",O2833,IF(L2833&lt;&gt;"",L2833,F2833)))</f>
        <v>3</v>
      </c>
    </row>
    <row r="2834" customFormat="false" ht="15" hidden="false" customHeight="true" outlineLevel="0" collapsed="false">
      <c r="A2834" s="30" t="s">
        <v>328</v>
      </c>
      <c r="B2834" s="30" t="s">
        <v>329</v>
      </c>
      <c r="C2834" s="21" t="n">
        <f aca="false">IF(A2834="","",IFERROR(VLOOKUP(A2834,'Recert Status'!$A$8:$C$400,3,FALSE()),""))</f>
        <v>46752</v>
      </c>
      <c r="D2834" s="31" t="s">
        <v>488</v>
      </c>
      <c r="E2834" s="30" t="s">
        <v>416</v>
      </c>
      <c r="F2834" s="32" t="n">
        <v>1</v>
      </c>
      <c r="G2834" s="33" t="n">
        <v>46127</v>
      </c>
      <c r="H2834" s="33" t="n">
        <v>46127</v>
      </c>
      <c r="I2834" s="31" t="s">
        <v>534</v>
      </c>
      <c r="J2834" s="30" t="s">
        <v>416</v>
      </c>
      <c r="K2834" s="31" t="s">
        <v>490</v>
      </c>
      <c r="L2834" s="32" t="n">
        <v>1</v>
      </c>
      <c r="M2834" s="39" t="s">
        <v>413</v>
      </c>
      <c r="N2834" s="31" t="s">
        <v>414</v>
      </c>
      <c r="O2834" s="32" t="n">
        <v>1</v>
      </c>
      <c r="P2834" s="15" t="n">
        <f aca="false">IF(A2834="","",IF(O2834&lt;&gt;"",O2834,IF(L2834&lt;&gt;"",L2834,F2834)))</f>
        <v>1</v>
      </c>
    </row>
    <row r="2835" customFormat="false" ht="15" hidden="false" customHeight="true" outlineLevel="0" collapsed="false">
      <c r="A2835" s="26" t="s">
        <v>328</v>
      </c>
      <c r="B2835" s="26" t="s">
        <v>329</v>
      </c>
      <c r="C2835" s="14" t="n">
        <f aca="false">IF(A2835="","",IFERROR(VLOOKUP(A2835,'Recert Status'!$A$8:$C$400,3,FALSE()),""))</f>
        <v>46752</v>
      </c>
      <c r="D2835" s="18" t="s">
        <v>414</v>
      </c>
      <c r="E2835" s="26" t="s">
        <v>416</v>
      </c>
      <c r="F2835" s="27" t="n">
        <v>4</v>
      </c>
      <c r="G2835" s="28" t="n">
        <v>46217</v>
      </c>
      <c r="H2835" s="28" t="n">
        <v>46217</v>
      </c>
      <c r="I2835" s="18" t="s">
        <v>611</v>
      </c>
      <c r="J2835" s="26" t="s">
        <v>416</v>
      </c>
      <c r="K2835" s="18" t="s">
        <v>418</v>
      </c>
      <c r="L2835" s="27" t="n">
        <v>4</v>
      </c>
      <c r="M2835" s="39" t="s">
        <v>413</v>
      </c>
      <c r="N2835" s="18" t="s">
        <v>414</v>
      </c>
      <c r="O2835" s="27" t="n">
        <v>4</v>
      </c>
      <c r="P2835" s="15" t="n">
        <f aca="false">IF(A2835="","",IF(O2835&lt;&gt;"",O2835,IF(L2835&lt;&gt;"",L2835,F2835)))</f>
        <v>4</v>
      </c>
    </row>
    <row r="2836" customFormat="false" ht="15" hidden="false" customHeight="true" outlineLevel="0" collapsed="false">
      <c r="A2836" s="30" t="s">
        <v>330</v>
      </c>
      <c r="B2836" s="30" t="s">
        <v>331</v>
      </c>
      <c r="C2836" s="21" t="n">
        <f aca="false">IF(A2836="","",IFERROR(VLOOKUP(A2836,'Recert Status'!$A$8:$C$400,3,FALSE()),""))</f>
        <v>46387</v>
      </c>
      <c r="D2836" s="31" t="s">
        <v>621</v>
      </c>
      <c r="E2836" s="30" t="n">
        <v>29740</v>
      </c>
      <c r="F2836" s="32" t="n">
        <v>0.5</v>
      </c>
      <c r="G2836" s="33" t="n">
        <v>45783</v>
      </c>
      <c r="H2836" s="33" t="n">
        <v>45783</v>
      </c>
      <c r="I2836" s="31" t="s">
        <v>622</v>
      </c>
      <c r="J2836" s="30" t="s">
        <v>394</v>
      </c>
      <c r="K2836" s="31" t="s">
        <v>365</v>
      </c>
      <c r="L2836" s="32" t="n">
        <v>0.5</v>
      </c>
      <c r="M2836" s="29" t="s">
        <v>366</v>
      </c>
      <c r="N2836" s="31" t="s">
        <v>367</v>
      </c>
      <c r="O2836" s="32" t="n">
        <v>0.5</v>
      </c>
      <c r="P2836" s="15" t="n">
        <f aca="false">IF(A2836="","",IF(O2836&lt;&gt;"",O2836,IF(L2836&lt;&gt;"",L2836,F2836)))</f>
        <v>0.5</v>
      </c>
    </row>
    <row r="2837" customFormat="false" ht="15" hidden="false" customHeight="true" outlineLevel="0" collapsed="false">
      <c r="A2837" s="26" t="s">
        <v>330</v>
      </c>
      <c r="B2837" s="26" t="s">
        <v>331</v>
      </c>
      <c r="C2837" s="14" t="n">
        <f aca="false">IF(A2837="","",IFERROR(VLOOKUP(A2837,'Recert Status'!$A$8:$C$400,3,FALSE()),""))</f>
        <v>46387</v>
      </c>
      <c r="D2837" s="18" t="s">
        <v>1341</v>
      </c>
      <c r="E2837" s="26" t="s">
        <v>363</v>
      </c>
      <c r="F2837" s="27" t="n">
        <v>1</v>
      </c>
      <c r="G2837" s="28" t="n">
        <v>45912</v>
      </c>
      <c r="H2837" s="28" t="n">
        <v>45912</v>
      </c>
      <c r="I2837" s="18" t="s">
        <v>1342</v>
      </c>
      <c r="J2837" s="26" t="s">
        <v>363</v>
      </c>
      <c r="K2837" s="18" t="s">
        <v>495</v>
      </c>
      <c r="L2837" s="27" t="n">
        <v>1</v>
      </c>
      <c r="M2837" s="29" t="s">
        <v>366</v>
      </c>
      <c r="N2837" s="18" t="s">
        <v>367</v>
      </c>
      <c r="O2837" s="27" t="n">
        <v>1</v>
      </c>
      <c r="P2837" s="15" t="n">
        <f aca="false">IF(A2837="","",IF(O2837&lt;&gt;"",O2837,IF(L2837&lt;&gt;"",L2837,F2837)))</f>
        <v>1</v>
      </c>
    </row>
    <row r="2838" customFormat="false" ht="15" hidden="false" customHeight="true" outlineLevel="0" collapsed="false">
      <c r="A2838" s="30" t="s">
        <v>330</v>
      </c>
      <c r="B2838" s="30" t="s">
        <v>331</v>
      </c>
      <c r="C2838" s="21" t="n">
        <f aca="false">IF(A2838="","",IFERROR(VLOOKUP(A2838,'Recert Status'!$A$8:$C$400,3,FALSE()),""))</f>
        <v>46387</v>
      </c>
      <c r="D2838" s="31" t="s">
        <v>367</v>
      </c>
      <c r="E2838" s="30" t="s">
        <v>363</v>
      </c>
      <c r="F2838" s="32" t="n">
        <v>1</v>
      </c>
      <c r="G2838" s="33" t="n">
        <v>46266</v>
      </c>
      <c r="H2838" s="33" t="n">
        <v>46266</v>
      </c>
      <c r="I2838" s="31" t="s">
        <v>1686</v>
      </c>
      <c r="J2838" s="30" t="s">
        <v>363</v>
      </c>
      <c r="K2838" s="31" t="s">
        <v>365</v>
      </c>
      <c r="L2838" s="32" t="n">
        <v>1</v>
      </c>
      <c r="M2838" s="29" t="s">
        <v>366</v>
      </c>
      <c r="N2838" s="31" t="s">
        <v>367</v>
      </c>
      <c r="O2838" s="32" t="n">
        <v>1</v>
      </c>
      <c r="P2838" s="15" t="n">
        <f aca="false">IF(A2838="","",IF(O2838&lt;&gt;"",O2838,IF(L2838&lt;&gt;"",L2838,F2838)))</f>
        <v>1</v>
      </c>
    </row>
    <row r="2839" customFormat="false" ht="15" hidden="false" customHeight="true" outlineLevel="0" collapsed="false">
      <c r="A2839" s="26" t="s">
        <v>330</v>
      </c>
      <c r="B2839" s="26" t="s">
        <v>331</v>
      </c>
      <c r="C2839" s="14" t="n">
        <f aca="false">IF(A2839="","",IFERROR(VLOOKUP(A2839,'Recert Status'!$A$8:$C$400,3,FALSE()),""))</f>
        <v>46387</v>
      </c>
      <c r="D2839" s="18" t="s">
        <v>1418</v>
      </c>
      <c r="E2839" s="26" t="n">
        <v>57433</v>
      </c>
      <c r="F2839" s="27" t="n">
        <v>1</v>
      </c>
      <c r="G2839" s="28" t="n">
        <v>45952</v>
      </c>
      <c r="H2839" s="28" t="n">
        <v>45952</v>
      </c>
      <c r="I2839" s="18" t="s">
        <v>1419</v>
      </c>
      <c r="J2839" s="26" t="s">
        <v>421</v>
      </c>
      <c r="K2839" s="18" t="s">
        <v>428</v>
      </c>
      <c r="L2839" s="27" t="n">
        <v>1</v>
      </c>
      <c r="M2839" s="40" t="s">
        <v>423</v>
      </c>
      <c r="N2839" s="18" t="s">
        <v>424</v>
      </c>
      <c r="O2839" s="27" t="n">
        <v>1</v>
      </c>
      <c r="P2839" s="15" t="n">
        <f aca="false">IF(A2839="","",IF(O2839&lt;&gt;"",O2839,IF(L2839&lt;&gt;"",L2839,F2839)))</f>
        <v>1</v>
      </c>
    </row>
    <row r="2840" customFormat="false" ht="15" hidden="false" customHeight="true" outlineLevel="0" collapsed="false">
      <c r="A2840" s="30" t="s">
        <v>330</v>
      </c>
      <c r="B2840" s="30" t="s">
        <v>331</v>
      </c>
      <c r="C2840" s="21" t="n">
        <f aca="false">IF(A2840="","",IFERROR(VLOOKUP(A2840,'Recert Status'!$A$8:$C$400,3,FALSE()),""))</f>
        <v>46387</v>
      </c>
      <c r="D2840" s="31" t="s">
        <v>962</v>
      </c>
      <c r="E2840" s="30" t="s">
        <v>426</v>
      </c>
      <c r="F2840" s="32" t="n">
        <v>1</v>
      </c>
      <c r="G2840" s="33" t="n">
        <v>45912</v>
      </c>
      <c r="H2840" s="33" t="n">
        <v>45912</v>
      </c>
      <c r="I2840" s="31" t="s">
        <v>1343</v>
      </c>
      <c r="J2840" s="30" t="s">
        <v>426</v>
      </c>
      <c r="K2840" s="31" t="s">
        <v>428</v>
      </c>
      <c r="L2840" s="32" t="n">
        <v>1</v>
      </c>
      <c r="M2840" s="41" t="s">
        <v>429</v>
      </c>
      <c r="N2840" s="31" t="s">
        <v>430</v>
      </c>
      <c r="O2840" s="32" t="n">
        <v>1</v>
      </c>
      <c r="P2840" s="15" t="n">
        <f aca="false">IF(A2840="","",IF(O2840&lt;&gt;"",O2840,IF(L2840&lt;&gt;"",L2840,F2840)))</f>
        <v>1</v>
      </c>
    </row>
    <row r="2841" customFormat="false" ht="15" hidden="false" customHeight="true" outlineLevel="0" collapsed="false">
      <c r="A2841" s="26" t="s">
        <v>330</v>
      </c>
      <c r="B2841" s="26" t="s">
        <v>331</v>
      </c>
      <c r="C2841" s="14" t="n">
        <f aca="false">IF(A2841="","",IFERROR(VLOOKUP(A2841,'Recert Status'!$A$8:$C$400,3,FALSE()),""))</f>
        <v>46387</v>
      </c>
      <c r="D2841" s="18" t="s">
        <v>886</v>
      </c>
      <c r="E2841" s="26" t="s">
        <v>426</v>
      </c>
      <c r="F2841" s="27" t="n">
        <v>2</v>
      </c>
      <c r="G2841" s="28" t="n">
        <v>45971</v>
      </c>
      <c r="H2841" s="28" t="n">
        <v>45971</v>
      </c>
      <c r="I2841" s="18" t="s">
        <v>887</v>
      </c>
      <c r="J2841" s="26" t="s">
        <v>426</v>
      </c>
      <c r="K2841" s="18" t="s">
        <v>428</v>
      </c>
      <c r="L2841" s="27" t="n">
        <v>2</v>
      </c>
      <c r="M2841" s="41" t="s">
        <v>429</v>
      </c>
      <c r="N2841" s="18" t="s">
        <v>430</v>
      </c>
      <c r="O2841" s="27" t="n">
        <v>2</v>
      </c>
      <c r="P2841" s="15" t="n">
        <f aca="false">IF(A2841="","",IF(O2841&lt;&gt;"",O2841,IF(L2841&lt;&gt;"",L2841,F2841)))</f>
        <v>2</v>
      </c>
    </row>
    <row r="2842" customFormat="false" ht="15" hidden="false" customHeight="true" outlineLevel="0" collapsed="false">
      <c r="A2842" s="30" t="s">
        <v>330</v>
      </c>
      <c r="B2842" s="30" t="s">
        <v>331</v>
      </c>
      <c r="C2842" s="21" t="n">
        <f aca="false">IF(A2842="","",IFERROR(VLOOKUP(A2842,'Recert Status'!$A$8:$C$400,3,FALSE()),""))</f>
        <v>46387</v>
      </c>
      <c r="D2842" s="31" t="s">
        <v>430</v>
      </c>
      <c r="E2842" s="30" t="s">
        <v>426</v>
      </c>
      <c r="F2842" s="32" t="n">
        <v>2</v>
      </c>
      <c r="G2842" s="33" t="n">
        <v>46245</v>
      </c>
      <c r="H2842" s="33" t="n">
        <v>46245</v>
      </c>
      <c r="I2842" s="31" t="s">
        <v>1741</v>
      </c>
      <c r="J2842" s="30" t="s">
        <v>426</v>
      </c>
      <c r="K2842" s="31" t="s">
        <v>428</v>
      </c>
      <c r="L2842" s="32" t="n">
        <v>2</v>
      </c>
      <c r="M2842" s="41" t="s">
        <v>429</v>
      </c>
      <c r="N2842" s="31" t="s">
        <v>430</v>
      </c>
      <c r="O2842" s="32" t="n">
        <v>2</v>
      </c>
      <c r="P2842" s="15" t="n">
        <f aca="false">IF(A2842="","",IF(O2842&lt;&gt;"",O2842,IF(L2842&lt;&gt;"",L2842,F2842)))</f>
        <v>2</v>
      </c>
    </row>
    <row r="2843" customFormat="false" ht="15" hidden="false" customHeight="true" outlineLevel="0" collapsed="false">
      <c r="A2843" s="26" t="s">
        <v>330</v>
      </c>
      <c r="B2843" s="26" t="s">
        <v>331</v>
      </c>
      <c r="C2843" s="14" t="n">
        <f aca="false">IF(A2843="","",IFERROR(VLOOKUP(A2843,'Recert Status'!$A$8:$C$400,3,FALSE()),""))</f>
        <v>46387</v>
      </c>
      <c r="D2843" s="18" t="s">
        <v>430</v>
      </c>
      <c r="E2843" s="26" t="s">
        <v>426</v>
      </c>
      <c r="F2843" s="27" t="n">
        <v>1</v>
      </c>
      <c r="G2843" s="28" t="n">
        <v>46269</v>
      </c>
      <c r="H2843" s="28" t="n">
        <v>46269</v>
      </c>
      <c r="I2843" s="18" t="s">
        <v>1742</v>
      </c>
      <c r="J2843" s="26" t="s">
        <v>426</v>
      </c>
      <c r="K2843" s="18" t="s">
        <v>428</v>
      </c>
      <c r="L2843" s="27" t="n">
        <v>1</v>
      </c>
      <c r="M2843" s="41" t="s">
        <v>429</v>
      </c>
      <c r="N2843" s="18" t="s">
        <v>430</v>
      </c>
      <c r="O2843" s="27" t="n">
        <v>1</v>
      </c>
      <c r="P2843" s="15" t="n">
        <f aca="false">IF(A2843="","",IF(O2843&lt;&gt;"",O2843,IF(L2843&lt;&gt;"",L2843,F2843)))</f>
        <v>1</v>
      </c>
    </row>
    <row r="2844" customFormat="false" ht="15" hidden="false" customHeight="true" outlineLevel="0" collapsed="false">
      <c r="A2844" s="30" t="s">
        <v>330</v>
      </c>
      <c r="B2844" s="30" t="s">
        <v>331</v>
      </c>
      <c r="C2844" s="21" t="n">
        <f aca="false">IF(A2844="","",IFERROR(VLOOKUP(A2844,'Recert Status'!$A$8:$C$400,3,FALSE()),""))</f>
        <v>46387</v>
      </c>
      <c r="D2844" s="31" t="s">
        <v>787</v>
      </c>
      <c r="E2844" s="30" t="n">
        <v>29784</v>
      </c>
      <c r="F2844" s="32" t="n">
        <v>1</v>
      </c>
      <c r="G2844" s="33" t="n">
        <v>45738</v>
      </c>
      <c r="H2844" s="33" t="n">
        <v>45738</v>
      </c>
      <c r="I2844" s="31" t="s">
        <v>788</v>
      </c>
      <c r="J2844" s="30" t="s">
        <v>435</v>
      </c>
      <c r="K2844" s="31" t="s">
        <v>468</v>
      </c>
      <c r="L2844" s="32" t="n">
        <v>1</v>
      </c>
      <c r="M2844" s="35" t="s">
        <v>386</v>
      </c>
      <c r="N2844" s="31" t="s">
        <v>387</v>
      </c>
      <c r="O2844" s="32" t="n">
        <v>1</v>
      </c>
      <c r="P2844" s="15" t="n">
        <f aca="false">IF(A2844="","",IF(O2844&lt;&gt;"",O2844,IF(L2844&lt;&gt;"",L2844,F2844)))</f>
        <v>1</v>
      </c>
    </row>
    <row r="2845" customFormat="false" ht="15" hidden="false" customHeight="true" outlineLevel="0" collapsed="false">
      <c r="A2845" s="26" t="s">
        <v>330</v>
      </c>
      <c r="B2845" s="26" t="s">
        <v>331</v>
      </c>
      <c r="C2845" s="14" t="n">
        <f aca="false">IF(A2845="","",IFERROR(VLOOKUP(A2845,'Recert Status'!$A$8:$C$400,3,FALSE()),""))</f>
        <v>46387</v>
      </c>
      <c r="D2845" s="18" t="s">
        <v>894</v>
      </c>
      <c r="E2845" s="26" t="s">
        <v>389</v>
      </c>
      <c r="F2845" s="27" t="n">
        <v>1</v>
      </c>
      <c r="G2845" s="28" t="n">
        <v>45971</v>
      </c>
      <c r="H2845" s="28" t="n">
        <v>45971</v>
      </c>
      <c r="I2845" s="18" t="s">
        <v>895</v>
      </c>
      <c r="J2845" s="26" t="s">
        <v>389</v>
      </c>
      <c r="K2845" s="18" t="s">
        <v>446</v>
      </c>
      <c r="L2845" s="27" t="n">
        <v>1</v>
      </c>
      <c r="M2845" s="35" t="s">
        <v>386</v>
      </c>
      <c r="N2845" s="18" t="s">
        <v>387</v>
      </c>
      <c r="O2845" s="27" t="n">
        <v>1</v>
      </c>
      <c r="P2845" s="15" t="n">
        <f aca="false">IF(A2845="","",IF(O2845&lt;&gt;"",O2845,IF(L2845&lt;&gt;"",L2845,F2845)))</f>
        <v>1</v>
      </c>
    </row>
    <row r="2846" customFormat="false" ht="15" hidden="false" customHeight="true" outlineLevel="0" collapsed="false">
      <c r="A2846" s="30" t="s">
        <v>330</v>
      </c>
      <c r="B2846" s="30" t="s">
        <v>331</v>
      </c>
      <c r="C2846" s="21" t="n">
        <f aca="false">IF(A2846="","",IFERROR(VLOOKUP(A2846,'Recert Status'!$A$8:$C$400,3,FALSE()),""))</f>
        <v>46387</v>
      </c>
      <c r="D2846" s="31" t="s">
        <v>896</v>
      </c>
      <c r="E2846" s="30" t="s">
        <v>389</v>
      </c>
      <c r="F2846" s="32" t="n">
        <v>2</v>
      </c>
      <c r="G2846" s="33" t="n">
        <v>45971</v>
      </c>
      <c r="H2846" s="33" t="n">
        <v>45971</v>
      </c>
      <c r="I2846" s="31" t="s">
        <v>897</v>
      </c>
      <c r="J2846" s="30" t="s">
        <v>389</v>
      </c>
      <c r="K2846" s="31" t="s">
        <v>898</v>
      </c>
      <c r="L2846" s="32" t="n">
        <v>2</v>
      </c>
      <c r="M2846" s="35" t="s">
        <v>386</v>
      </c>
      <c r="N2846" s="31" t="s">
        <v>387</v>
      </c>
      <c r="O2846" s="32" t="n">
        <v>2</v>
      </c>
      <c r="P2846" s="15" t="n">
        <f aca="false">IF(A2846="","",IF(O2846&lt;&gt;"",O2846,IF(L2846&lt;&gt;"",L2846,F2846)))</f>
        <v>2</v>
      </c>
    </row>
    <row r="2847" customFormat="false" ht="15" hidden="false" customHeight="true" outlineLevel="0" collapsed="false">
      <c r="A2847" s="26" t="s">
        <v>330</v>
      </c>
      <c r="B2847" s="26" t="s">
        <v>331</v>
      </c>
      <c r="C2847" s="14" t="n">
        <f aca="false">IF(A2847="","",IFERROR(VLOOKUP(A2847,'Recert Status'!$A$8:$C$400,3,FALSE()),""))</f>
        <v>46387</v>
      </c>
      <c r="D2847" s="18" t="s">
        <v>1088</v>
      </c>
      <c r="E2847" s="26" t="n">
        <v>29740</v>
      </c>
      <c r="F2847" s="27" t="n">
        <v>1</v>
      </c>
      <c r="G2847" s="28" t="n">
        <v>45987</v>
      </c>
      <c r="H2847" s="28" t="n">
        <v>45987</v>
      </c>
      <c r="I2847" s="18" t="s">
        <v>1089</v>
      </c>
      <c r="J2847" s="26" t="s">
        <v>394</v>
      </c>
      <c r="K2847" s="18" t="s">
        <v>468</v>
      </c>
      <c r="L2847" s="27" t="n">
        <v>1</v>
      </c>
      <c r="M2847" s="35" t="s">
        <v>386</v>
      </c>
      <c r="N2847" s="18" t="s">
        <v>387</v>
      </c>
      <c r="O2847" s="27" t="n">
        <v>1</v>
      </c>
      <c r="P2847" s="15" t="n">
        <f aca="false">IF(A2847="","",IF(O2847&lt;&gt;"",O2847,IF(L2847&lt;&gt;"",L2847,F2847)))</f>
        <v>1</v>
      </c>
    </row>
    <row r="2848" customFormat="false" ht="15" hidden="false" customHeight="true" outlineLevel="0" collapsed="false">
      <c r="A2848" s="30" t="s">
        <v>330</v>
      </c>
      <c r="B2848" s="30" t="s">
        <v>331</v>
      </c>
      <c r="C2848" s="21" t="n">
        <f aca="false">IF(A2848="","",IFERROR(VLOOKUP(A2848,'Recert Status'!$A$8:$C$400,3,FALSE()),""))</f>
        <v>46387</v>
      </c>
      <c r="D2848" s="31" t="s">
        <v>1388</v>
      </c>
      <c r="E2848" s="30" t="n">
        <v>29740</v>
      </c>
      <c r="F2848" s="32" t="n">
        <v>3</v>
      </c>
      <c r="G2848" s="33" t="n">
        <v>46083</v>
      </c>
      <c r="H2848" s="33" t="n">
        <v>46083</v>
      </c>
      <c r="I2848" s="31" t="s">
        <v>1389</v>
      </c>
      <c r="J2848" s="30" t="s">
        <v>394</v>
      </c>
      <c r="K2848" s="31" t="s">
        <v>391</v>
      </c>
      <c r="L2848" s="32" t="n">
        <v>3</v>
      </c>
      <c r="M2848" s="35" t="s">
        <v>386</v>
      </c>
      <c r="N2848" s="31" t="s">
        <v>387</v>
      </c>
      <c r="O2848" s="32" t="n">
        <v>3</v>
      </c>
      <c r="P2848" s="15" t="n">
        <f aca="false">IF(A2848="","",IF(O2848&lt;&gt;"",O2848,IF(L2848&lt;&gt;"",L2848,F2848)))</f>
        <v>3</v>
      </c>
    </row>
    <row r="2849" customFormat="false" ht="15" hidden="false" customHeight="true" outlineLevel="0" collapsed="false">
      <c r="A2849" s="26" t="s">
        <v>330</v>
      </c>
      <c r="B2849" s="26" t="s">
        <v>331</v>
      </c>
      <c r="C2849" s="14" t="n">
        <f aca="false">IF(A2849="","",IFERROR(VLOOKUP(A2849,'Recert Status'!$A$8:$C$400,3,FALSE()),""))</f>
        <v>46387</v>
      </c>
      <c r="D2849" s="18" t="s">
        <v>387</v>
      </c>
      <c r="E2849" s="26" t="s">
        <v>389</v>
      </c>
      <c r="F2849" s="27" t="n">
        <v>1</v>
      </c>
      <c r="G2849" s="28" t="n">
        <v>46266</v>
      </c>
      <c r="H2849" s="28" t="n">
        <v>46266</v>
      </c>
      <c r="I2849" s="18" t="s">
        <v>1743</v>
      </c>
      <c r="J2849" s="26" t="s">
        <v>389</v>
      </c>
      <c r="K2849" s="18" t="s">
        <v>451</v>
      </c>
      <c r="L2849" s="27" t="n">
        <v>1</v>
      </c>
      <c r="M2849" s="35" t="s">
        <v>386</v>
      </c>
      <c r="N2849" s="18" t="s">
        <v>387</v>
      </c>
      <c r="O2849" s="27" t="n">
        <v>1</v>
      </c>
      <c r="P2849" s="15" t="n">
        <f aca="false">IF(A2849="","",IF(O2849&lt;&gt;"",O2849,IF(L2849&lt;&gt;"",L2849,F2849)))</f>
        <v>1</v>
      </c>
    </row>
    <row r="2850" customFormat="false" ht="15" hidden="false" customHeight="true" outlineLevel="0" collapsed="false">
      <c r="A2850" s="30" t="s">
        <v>330</v>
      </c>
      <c r="B2850" s="30" t="s">
        <v>331</v>
      </c>
      <c r="C2850" s="21" t="n">
        <f aca="false">IF(A2850="","",IFERROR(VLOOKUP(A2850,'Recert Status'!$A$8:$C$400,3,FALSE()),""))</f>
        <v>46387</v>
      </c>
      <c r="D2850" s="31" t="s">
        <v>662</v>
      </c>
      <c r="E2850" s="30" t="s">
        <v>452</v>
      </c>
      <c r="F2850" s="32" t="n">
        <v>1</v>
      </c>
      <c r="G2850" s="33" t="n">
        <v>45882</v>
      </c>
      <c r="H2850" s="33" t="n">
        <v>45882</v>
      </c>
      <c r="I2850" s="31" t="s">
        <v>663</v>
      </c>
      <c r="J2850" s="30" t="s">
        <v>452</v>
      </c>
      <c r="K2850" s="31" t="s">
        <v>385</v>
      </c>
      <c r="L2850" s="32" t="n">
        <v>1</v>
      </c>
      <c r="M2850" s="36" t="s">
        <v>396</v>
      </c>
      <c r="N2850" s="31" t="s">
        <v>397</v>
      </c>
      <c r="O2850" s="32" t="n">
        <v>1</v>
      </c>
      <c r="P2850" s="15" t="n">
        <f aca="false">IF(A2850="","",IF(O2850&lt;&gt;"",O2850,IF(L2850&lt;&gt;"",L2850,F2850)))</f>
        <v>1</v>
      </c>
    </row>
    <row r="2851" customFormat="false" ht="15" hidden="false" customHeight="true" outlineLevel="0" collapsed="false">
      <c r="A2851" s="26" t="s">
        <v>330</v>
      </c>
      <c r="B2851" s="26" t="s">
        <v>331</v>
      </c>
      <c r="C2851" s="14" t="n">
        <f aca="false">IF(A2851="","",IFERROR(VLOOKUP(A2851,'Recert Status'!$A$8:$C$400,3,FALSE()),""))</f>
        <v>46387</v>
      </c>
      <c r="D2851" s="18" t="s">
        <v>1744</v>
      </c>
      <c r="E2851" s="26" t="s">
        <v>452</v>
      </c>
      <c r="F2851" s="27" t="n">
        <v>1</v>
      </c>
      <c r="G2851" s="28" t="n">
        <v>46164</v>
      </c>
      <c r="H2851" s="28" t="n">
        <v>46164</v>
      </c>
      <c r="I2851" s="18" t="s">
        <v>1745</v>
      </c>
      <c r="J2851" s="26" t="s">
        <v>452</v>
      </c>
      <c r="K2851" s="18" t="s">
        <v>735</v>
      </c>
      <c r="L2851" s="27" t="n">
        <v>1</v>
      </c>
      <c r="M2851" s="36" t="s">
        <v>396</v>
      </c>
      <c r="N2851" s="18" t="s">
        <v>397</v>
      </c>
      <c r="O2851" s="27" t="n">
        <v>1</v>
      </c>
      <c r="P2851" s="15" t="n">
        <f aca="false">IF(A2851="","",IF(O2851&lt;&gt;"",O2851,IF(L2851&lt;&gt;"",L2851,F2851)))</f>
        <v>1</v>
      </c>
    </row>
    <row r="2852" customFormat="false" ht="15" hidden="false" customHeight="true" outlineLevel="0" collapsed="false">
      <c r="A2852" s="30" t="s">
        <v>330</v>
      </c>
      <c r="B2852" s="30" t="s">
        <v>331</v>
      </c>
      <c r="C2852" s="21" t="n">
        <f aca="false">IF(A2852="","",IFERROR(VLOOKUP(A2852,'Recert Status'!$A$8:$C$400,3,FALSE()),""))</f>
        <v>46387</v>
      </c>
      <c r="D2852" s="31" t="s">
        <v>1746</v>
      </c>
      <c r="E2852" s="30" t="n">
        <v>29740</v>
      </c>
      <c r="F2852" s="32" t="n">
        <v>1</v>
      </c>
      <c r="G2852" s="33" t="n">
        <v>46164</v>
      </c>
      <c r="H2852" s="33" t="n">
        <v>46164</v>
      </c>
      <c r="I2852" s="31" t="s">
        <v>1747</v>
      </c>
      <c r="J2852" s="30" t="s">
        <v>394</v>
      </c>
      <c r="K2852" s="31" t="s">
        <v>1748</v>
      </c>
      <c r="L2852" s="32" t="n">
        <v>1</v>
      </c>
      <c r="M2852" s="36" t="s">
        <v>396</v>
      </c>
      <c r="N2852" s="31" t="s">
        <v>397</v>
      </c>
      <c r="O2852" s="32" t="n">
        <v>1</v>
      </c>
      <c r="P2852" s="15" t="n">
        <f aca="false">IF(A2852="","",IF(O2852&lt;&gt;"",O2852,IF(L2852&lt;&gt;"",L2852,F2852)))</f>
        <v>1</v>
      </c>
    </row>
    <row r="2853" customFormat="false" ht="15" hidden="false" customHeight="true" outlineLevel="0" collapsed="false">
      <c r="A2853" s="26" t="s">
        <v>330</v>
      </c>
      <c r="B2853" s="26" t="s">
        <v>331</v>
      </c>
      <c r="C2853" s="14" t="n">
        <f aca="false">IF(A2853="","",IFERROR(VLOOKUP(A2853,'Recert Status'!$A$8:$C$400,3,FALSE()),""))</f>
        <v>46387</v>
      </c>
      <c r="D2853" s="18" t="s">
        <v>397</v>
      </c>
      <c r="E2853" s="26" t="s">
        <v>452</v>
      </c>
      <c r="F2853" s="27" t="n">
        <v>1</v>
      </c>
      <c r="G2853" s="28" t="n">
        <v>46245</v>
      </c>
      <c r="H2853" s="28" t="n">
        <v>46245</v>
      </c>
      <c r="I2853" s="18" t="s">
        <v>605</v>
      </c>
      <c r="J2853" s="26" t="s">
        <v>452</v>
      </c>
      <c r="K2853" s="18" t="s">
        <v>385</v>
      </c>
      <c r="L2853" s="27" t="n">
        <v>1</v>
      </c>
      <c r="M2853" s="36" t="s">
        <v>396</v>
      </c>
      <c r="N2853" s="18" t="s">
        <v>397</v>
      </c>
      <c r="O2853" s="27" t="n">
        <v>1</v>
      </c>
      <c r="P2853" s="15" t="n">
        <f aca="false">IF(A2853="","",IF(O2853&lt;&gt;"",O2853,IF(L2853&lt;&gt;"",L2853,F2853)))</f>
        <v>1</v>
      </c>
    </row>
    <row r="2854" customFormat="false" ht="15" hidden="false" customHeight="true" outlineLevel="0" collapsed="false">
      <c r="A2854" s="30" t="s">
        <v>330</v>
      </c>
      <c r="B2854" s="30" t="s">
        <v>331</v>
      </c>
      <c r="C2854" s="21" t="n">
        <f aca="false">IF(A2854="","",IFERROR(VLOOKUP(A2854,'Recert Status'!$A$8:$C$400,3,FALSE()),""))</f>
        <v>46387</v>
      </c>
      <c r="D2854" s="31" t="s">
        <v>449</v>
      </c>
      <c r="E2854" s="30" t="s">
        <v>416</v>
      </c>
      <c r="F2854" s="32" t="n">
        <v>1</v>
      </c>
      <c r="G2854" s="33" t="n">
        <v>45826</v>
      </c>
      <c r="H2854" s="33" t="n">
        <v>45826</v>
      </c>
      <c r="I2854" s="31" t="s">
        <v>1080</v>
      </c>
      <c r="J2854" s="30" t="s">
        <v>416</v>
      </c>
      <c r="K2854" s="31" t="s">
        <v>674</v>
      </c>
      <c r="L2854" s="32" t="n">
        <v>1</v>
      </c>
      <c r="M2854" s="39" t="s">
        <v>413</v>
      </c>
      <c r="N2854" s="31" t="s">
        <v>414</v>
      </c>
      <c r="O2854" s="32" t="n">
        <v>1</v>
      </c>
      <c r="P2854" s="15" t="n">
        <f aca="false">IF(A2854="","",IF(O2854&lt;&gt;"",O2854,IF(L2854&lt;&gt;"",L2854,F2854)))</f>
        <v>1</v>
      </c>
    </row>
    <row r="2855" customFormat="false" ht="15" hidden="false" customHeight="true" outlineLevel="0" collapsed="false">
      <c r="A2855" s="26" t="s">
        <v>330</v>
      </c>
      <c r="B2855" s="26" t="s">
        <v>331</v>
      </c>
      <c r="C2855" s="14" t="n">
        <f aca="false">IF(A2855="","",IFERROR(VLOOKUP(A2855,'Recert Status'!$A$8:$C$400,3,FALSE()),""))</f>
        <v>46387</v>
      </c>
      <c r="D2855" s="18" t="s">
        <v>457</v>
      </c>
      <c r="E2855" s="26" t="s">
        <v>416</v>
      </c>
      <c r="F2855" s="27" t="n">
        <v>2</v>
      </c>
      <c r="G2855" s="28" t="n">
        <v>45861</v>
      </c>
      <c r="H2855" s="28" t="n">
        <v>45861</v>
      </c>
      <c r="I2855" s="18" t="s">
        <v>921</v>
      </c>
      <c r="J2855" s="26" t="s">
        <v>416</v>
      </c>
      <c r="K2855" s="18" t="s">
        <v>418</v>
      </c>
      <c r="L2855" s="27" t="n">
        <v>2</v>
      </c>
      <c r="M2855" s="39" t="s">
        <v>413</v>
      </c>
      <c r="N2855" s="18" t="s">
        <v>414</v>
      </c>
      <c r="O2855" s="27" t="n">
        <v>2</v>
      </c>
      <c r="P2855" s="15" t="n">
        <f aca="false">IF(A2855="","",IF(O2855&lt;&gt;"",O2855,IF(L2855&lt;&gt;"",L2855,F2855)))</f>
        <v>2</v>
      </c>
    </row>
    <row r="2856" customFormat="false" ht="15" hidden="false" customHeight="true" outlineLevel="0" collapsed="false">
      <c r="A2856" s="30" t="s">
        <v>332</v>
      </c>
      <c r="B2856" s="30" t="s">
        <v>333</v>
      </c>
      <c r="C2856" s="21" t="n">
        <f aca="false">IF(A2856="","",IFERROR(VLOOKUP(A2856,'Recert Status'!$A$8:$C$400,3,FALSE()),""))</f>
        <v>46387</v>
      </c>
      <c r="D2856" s="31" t="s">
        <v>1161</v>
      </c>
      <c r="E2856" s="30" t="s">
        <v>363</v>
      </c>
      <c r="F2856" s="32" t="n">
        <v>1</v>
      </c>
      <c r="G2856" s="33" t="n">
        <v>45761</v>
      </c>
      <c r="H2856" s="33" t="n">
        <v>45761</v>
      </c>
      <c r="I2856" s="31" t="s">
        <v>1162</v>
      </c>
      <c r="J2856" s="30" t="s">
        <v>363</v>
      </c>
      <c r="K2856" s="31" t="s">
        <v>1036</v>
      </c>
      <c r="L2856" s="32" t="n">
        <v>1</v>
      </c>
      <c r="M2856" s="29" t="s">
        <v>366</v>
      </c>
      <c r="N2856" s="31" t="s">
        <v>367</v>
      </c>
      <c r="O2856" s="32" t="n">
        <v>1</v>
      </c>
      <c r="P2856" s="15" t="n">
        <f aca="false">IF(A2856="","",IF(O2856&lt;&gt;"",O2856,IF(L2856&lt;&gt;"",L2856,F2856)))</f>
        <v>1</v>
      </c>
    </row>
    <row r="2857" customFormat="false" ht="15" hidden="false" customHeight="true" outlineLevel="0" collapsed="false">
      <c r="A2857" s="26" t="s">
        <v>332</v>
      </c>
      <c r="B2857" s="26" t="s">
        <v>333</v>
      </c>
      <c r="C2857" s="14" t="n">
        <f aca="false">IF(A2857="","",IFERROR(VLOOKUP(A2857,'Recert Status'!$A$8:$C$400,3,FALSE()),""))</f>
        <v>46387</v>
      </c>
      <c r="D2857" s="18" t="s">
        <v>1565</v>
      </c>
      <c r="E2857" s="26" t="n">
        <v>29675</v>
      </c>
      <c r="F2857" s="27" t="n">
        <v>1</v>
      </c>
      <c r="G2857" s="28" t="n">
        <v>45876</v>
      </c>
      <c r="H2857" s="28" t="n">
        <v>45876</v>
      </c>
      <c r="I2857" s="18" t="s">
        <v>1749</v>
      </c>
      <c r="J2857" s="26" t="s">
        <v>406</v>
      </c>
      <c r="K2857" s="18" t="s">
        <v>370</v>
      </c>
      <c r="L2857" s="27" t="n">
        <v>1</v>
      </c>
      <c r="M2857" s="29" t="s">
        <v>366</v>
      </c>
      <c r="N2857" s="18" t="s">
        <v>367</v>
      </c>
      <c r="O2857" s="27" t="n">
        <v>1</v>
      </c>
      <c r="P2857" s="15" t="n">
        <f aca="false">IF(A2857="","",IF(O2857&lt;&gt;"",O2857,IF(L2857&lt;&gt;"",L2857,F2857)))</f>
        <v>1</v>
      </c>
    </row>
    <row r="2858" customFormat="false" ht="15" hidden="false" customHeight="true" outlineLevel="0" collapsed="false">
      <c r="A2858" s="30" t="s">
        <v>332</v>
      </c>
      <c r="B2858" s="30" t="s">
        <v>333</v>
      </c>
      <c r="C2858" s="21" t="n">
        <f aca="false">IF(A2858="","",IFERROR(VLOOKUP(A2858,'Recert Status'!$A$8:$C$400,3,FALSE()),""))</f>
        <v>46387</v>
      </c>
      <c r="D2858" s="31" t="s">
        <v>1143</v>
      </c>
      <c r="E2858" s="30" t="s">
        <v>363</v>
      </c>
      <c r="F2858" s="32" t="n">
        <v>1</v>
      </c>
      <c r="G2858" s="33" t="n">
        <v>45880</v>
      </c>
      <c r="H2858" s="33" t="n">
        <v>45880</v>
      </c>
      <c r="I2858" s="31" t="s">
        <v>1143</v>
      </c>
      <c r="J2858" s="30" t="s">
        <v>363</v>
      </c>
      <c r="K2858" s="31" t="s">
        <v>370</v>
      </c>
      <c r="L2858" s="32" t="n">
        <v>1</v>
      </c>
      <c r="M2858" s="29" t="s">
        <v>366</v>
      </c>
      <c r="N2858" s="31" t="s">
        <v>367</v>
      </c>
      <c r="O2858" s="32" t="n">
        <v>1</v>
      </c>
      <c r="P2858" s="15" t="n">
        <f aca="false">IF(A2858="","",IF(O2858&lt;&gt;"",O2858,IF(L2858&lt;&gt;"",L2858,F2858)))</f>
        <v>1</v>
      </c>
    </row>
    <row r="2859" customFormat="false" ht="15" hidden="false" customHeight="true" outlineLevel="0" collapsed="false">
      <c r="A2859" s="26" t="s">
        <v>332</v>
      </c>
      <c r="B2859" s="26" t="s">
        <v>333</v>
      </c>
      <c r="C2859" s="14" t="n">
        <f aca="false">IF(A2859="","",IFERROR(VLOOKUP(A2859,'Recert Status'!$A$8:$C$400,3,FALSE()),""))</f>
        <v>46387</v>
      </c>
      <c r="D2859" s="18" t="s">
        <v>362</v>
      </c>
      <c r="E2859" s="26" t="n">
        <v>57394</v>
      </c>
      <c r="F2859" s="27" t="n">
        <v>3</v>
      </c>
      <c r="G2859" s="28" t="n">
        <v>45971</v>
      </c>
      <c r="H2859" s="28" t="n">
        <v>45971</v>
      </c>
      <c r="I2859" s="18" t="s">
        <v>922</v>
      </c>
      <c r="J2859" s="26" t="s">
        <v>503</v>
      </c>
      <c r="K2859" s="18" t="s">
        <v>365</v>
      </c>
      <c r="L2859" s="27" t="n">
        <v>1.5</v>
      </c>
      <c r="M2859" s="29" t="s">
        <v>366</v>
      </c>
      <c r="N2859" s="18" t="s">
        <v>367</v>
      </c>
      <c r="O2859" s="27" t="n">
        <v>1.5</v>
      </c>
      <c r="P2859" s="15" t="n">
        <f aca="false">IF(A2859="","",IF(O2859&lt;&gt;"",O2859,IF(L2859&lt;&gt;"",L2859,F2859)))</f>
        <v>1.5</v>
      </c>
    </row>
    <row r="2860" customFormat="false" ht="15" hidden="false" customHeight="true" outlineLevel="0" collapsed="false">
      <c r="A2860" s="30" t="s">
        <v>332</v>
      </c>
      <c r="B2860" s="30" t="s">
        <v>333</v>
      </c>
      <c r="C2860" s="21" t="n">
        <f aca="false">IF(A2860="","",IFERROR(VLOOKUP(A2860,'Recert Status'!$A$8:$C$400,3,FALSE()),""))</f>
        <v>46387</v>
      </c>
      <c r="D2860" s="31" t="s">
        <v>1165</v>
      </c>
      <c r="E2860" s="30" t="s">
        <v>426</v>
      </c>
      <c r="F2860" s="32" t="n">
        <v>1</v>
      </c>
      <c r="G2860" s="33" t="n">
        <v>45761</v>
      </c>
      <c r="H2860" s="33" t="n">
        <v>45761</v>
      </c>
      <c r="I2860" s="31" t="s">
        <v>1166</v>
      </c>
      <c r="J2860" s="30" t="s">
        <v>426</v>
      </c>
      <c r="K2860" s="31" t="s">
        <v>526</v>
      </c>
      <c r="L2860" s="32" t="n">
        <v>1</v>
      </c>
      <c r="M2860" s="41" t="s">
        <v>429</v>
      </c>
      <c r="N2860" s="31" t="s">
        <v>430</v>
      </c>
      <c r="O2860" s="32" t="n">
        <v>1</v>
      </c>
      <c r="P2860" s="15" t="n">
        <f aca="false">IF(A2860="","",IF(O2860&lt;&gt;"",O2860,IF(L2860&lt;&gt;"",L2860,F2860)))</f>
        <v>1</v>
      </c>
    </row>
    <row r="2861" customFormat="false" ht="15" hidden="false" customHeight="true" outlineLevel="0" collapsed="false">
      <c r="A2861" s="26" t="s">
        <v>332</v>
      </c>
      <c r="B2861" s="26" t="s">
        <v>333</v>
      </c>
      <c r="C2861" s="14" t="n">
        <f aca="false">IF(A2861="","",IFERROR(VLOOKUP(A2861,'Recert Status'!$A$8:$C$400,3,FALSE()),""))</f>
        <v>46387</v>
      </c>
      <c r="D2861" s="18" t="s">
        <v>362</v>
      </c>
      <c r="E2861" s="26" t="n">
        <v>57394</v>
      </c>
      <c r="F2861" s="27" t="n">
        <v>3</v>
      </c>
      <c r="G2861" s="28" t="n">
        <v>45971</v>
      </c>
      <c r="H2861" s="28" t="n">
        <v>45971</v>
      </c>
      <c r="I2861" s="18" t="s">
        <v>922</v>
      </c>
      <c r="J2861" s="26" t="s">
        <v>503</v>
      </c>
      <c r="K2861" s="18" t="s">
        <v>365</v>
      </c>
      <c r="L2861" s="27" t="n">
        <v>1.5</v>
      </c>
      <c r="M2861" s="41" t="s">
        <v>429</v>
      </c>
      <c r="N2861" s="18" t="s">
        <v>367</v>
      </c>
      <c r="O2861" s="27" t="n">
        <v>1.5</v>
      </c>
      <c r="P2861" s="15" t="n">
        <f aca="false">IF(A2861="","",IF(O2861&lt;&gt;"",O2861,IF(L2861&lt;&gt;"",L2861,F2861)))</f>
        <v>1.5</v>
      </c>
    </row>
    <row r="2862" customFormat="false" ht="15" hidden="false" customHeight="true" outlineLevel="0" collapsed="false">
      <c r="A2862" s="30" t="s">
        <v>332</v>
      </c>
      <c r="B2862" s="30" t="s">
        <v>333</v>
      </c>
      <c r="C2862" s="21" t="n">
        <f aca="false">IF(A2862="","",IFERROR(VLOOKUP(A2862,'Recert Status'!$A$8:$C$400,3,FALSE()),""))</f>
        <v>46387</v>
      </c>
      <c r="D2862" s="31" t="s">
        <v>876</v>
      </c>
      <c r="E2862" s="30" t="s">
        <v>426</v>
      </c>
      <c r="F2862" s="32" t="n">
        <v>1</v>
      </c>
      <c r="G2862" s="33" t="n">
        <v>46001</v>
      </c>
      <c r="H2862" s="33" t="n">
        <v>46001</v>
      </c>
      <c r="I2862" s="31" t="s">
        <v>1617</v>
      </c>
      <c r="J2862" s="30" t="s">
        <v>426</v>
      </c>
      <c r="K2862" s="31" t="s">
        <v>428</v>
      </c>
      <c r="L2862" s="32" t="n">
        <v>1</v>
      </c>
      <c r="M2862" s="41" t="s">
        <v>429</v>
      </c>
      <c r="N2862" s="31" t="s">
        <v>430</v>
      </c>
      <c r="O2862" s="32" t="n">
        <v>1</v>
      </c>
      <c r="P2862" s="15" t="n">
        <f aca="false">IF(A2862="","",IF(O2862&lt;&gt;"",O2862,IF(L2862&lt;&gt;"",L2862,F2862)))</f>
        <v>1</v>
      </c>
    </row>
    <row r="2863" customFormat="false" ht="15" hidden="false" customHeight="true" outlineLevel="0" collapsed="false">
      <c r="A2863" s="26" t="s">
        <v>332</v>
      </c>
      <c r="B2863" s="26" t="s">
        <v>333</v>
      </c>
      <c r="C2863" s="14" t="n">
        <f aca="false">IF(A2863="","",IFERROR(VLOOKUP(A2863,'Recert Status'!$A$8:$C$400,3,FALSE()),""))</f>
        <v>46387</v>
      </c>
      <c r="D2863" s="18" t="s">
        <v>1168</v>
      </c>
      <c r="E2863" s="26" t="s">
        <v>389</v>
      </c>
      <c r="F2863" s="27" t="n">
        <v>2</v>
      </c>
      <c r="G2863" s="28" t="n">
        <v>45761</v>
      </c>
      <c r="H2863" s="28" t="n">
        <v>45761</v>
      </c>
      <c r="I2863" s="18" t="s">
        <v>1169</v>
      </c>
      <c r="J2863" s="26" t="s">
        <v>389</v>
      </c>
      <c r="K2863" s="18" t="s">
        <v>1170</v>
      </c>
      <c r="L2863" s="27" t="n">
        <v>2</v>
      </c>
      <c r="M2863" s="35" t="s">
        <v>386</v>
      </c>
      <c r="N2863" s="18" t="s">
        <v>387</v>
      </c>
      <c r="O2863" s="27" t="n">
        <v>2</v>
      </c>
      <c r="P2863" s="15" t="n">
        <f aca="false">IF(A2863="","",IF(O2863&lt;&gt;"",O2863,IF(L2863&lt;&gt;"",L2863,F2863)))</f>
        <v>2</v>
      </c>
    </row>
    <row r="2864" customFormat="false" ht="15" hidden="false" customHeight="true" outlineLevel="0" collapsed="false">
      <c r="A2864" s="30" t="s">
        <v>332</v>
      </c>
      <c r="B2864" s="30" t="s">
        <v>333</v>
      </c>
      <c r="C2864" s="21" t="n">
        <f aca="false">IF(A2864="","",IFERROR(VLOOKUP(A2864,'Recert Status'!$A$8:$C$400,3,FALSE()),""))</f>
        <v>46387</v>
      </c>
      <c r="D2864" s="31" t="s">
        <v>1182</v>
      </c>
      <c r="E2864" s="30" t="n">
        <v>29743</v>
      </c>
      <c r="F2864" s="32" t="n">
        <v>1.5</v>
      </c>
      <c r="G2864" s="33" t="n">
        <v>45911</v>
      </c>
      <c r="H2864" s="33" t="n">
        <v>45911</v>
      </c>
      <c r="I2864" s="31" t="s">
        <v>1183</v>
      </c>
      <c r="J2864" s="30" t="s">
        <v>439</v>
      </c>
      <c r="K2864" s="31" t="s">
        <v>385</v>
      </c>
      <c r="L2864" s="32" t="n">
        <v>1.5</v>
      </c>
      <c r="M2864" s="35" t="s">
        <v>386</v>
      </c>
      <c r="N2864" s="31" t="s">
        <v>387</v>
      </c>
      <c r="O2864" s="32" t="n">
        <v>1.5</v>
      </c>
      <c r="P2864" s="15" t="n">
        <f aca="false">IF(A2864="","",IF(O2864&lt;&gt;"",O2864,IF(L2864&lt;&gt;"",L2864,F2864)))</f>
        <v>1.5</v>
      </c>
    </row>
    <row r="2865" customFormat="false" ht="15" hidden="false" customHeight="true" outlineLevel="0" collapsed="false">
      <c r="A2865" s="26" t="s">
        <v>332</v>
      </c>
      <c r="B2865" s="26" t="s">
        <v>333</v>
      </c>
      <c r="C2865" s="14" t="n">
        <f aca="false">IF(A2865="","",IFERROR(VLOOKUP(A2865,'Recert Status'!$A$8:$C$400,3,FALSE()),""))</f>
        <v>46387</v>
      </c>
      <c r="D2865" s="18" t="s">
        <v>1289</v>
      </c>
      <c r="E2865" s="26" t="n">
        <v>29675</v>
      </c>
      <c r="F2865" s="27" t="n">
        <v>4</v>
      </c>
      <c r="G2865" s="28" t="n">
        <v>45986</v>
      </c>
      <c r="H2865" s="28" t="n">
        <v>45986</v>
      </c>
      <c r="I2865" s="18" t="s">
        <v>1074</v>
      </c>
      <c r="J2865" s="26" t="s">
        <v>406</v>
      </c>
      <c r="K2865" s="18" t="s">
        <v>446</v>
      </c>
      <c r="L2865" s="27" t="n">
        <v>1</v>
      </c>
      <c r="M2865" s="35" t="s">
        <v>386</v>
      </c>
      <c r="N2865" s="18" t="s">
        <v>387</v>
      </c>
      <c r="O2865" s="27" t="n">
        <v>1</v>
      </c>
      <c r="P2865" s="15" t="n">
        <f aca="false">IF(A2865="","",IF(O2865&lt;&gt;"",O2865,IF(L2865&lt;&gt;"",L2865,F2865)))</f>
        <v>1</v>
      </c>
    </row>
    <row r="2866" customFormat="false" ht="15" hidden="false" customHeight="true" outlineLevel="0" collapsed="false">
      <c r="A2866" s="30" t="s">
        <v>332</v>
      </c>
      <c r="B2866" s="30" t="s">
        <v>333</v>
      </c>
      <c r="C2866" s="21" t="n">
        <f aca="false">IF(A2866="","",IFERROR(VLOOKUP(A2866,'Recert Status'!$A$8:$C$400,3,FALSE()),""))</f>
        <v>46387</v>
      </c>
      <c r="D2866" s="31" t="s">
        <v>387</v>
      </c>
      <c r="E2866" s="30" t="s">
        <v>389</v>
      </c>
      <c r="F2866" s="32" t="n">
        <v>0.5</v>
      </c>
      <c r="G2866" s="33" t="n">
        <v>46211</v>
      </c>
      <c r="H2866" s="33" t="n">
        <v>46211</v>
      </c>
      <c r="I2866" s="31" t="s">
        <v>1171</v>
      </c>
      <c r="J2866" s="30" t="s">
        <v>389</v>
      </c>
      <c r="K2866" s="31" t="s">
        <v>395</v>
      </c>
      <c r="L2866" s="32" t="n">
        <v>0.5</v>
      </c>
      <c r="M2866" s="35" t="s">
        <v>386</v>
      </c>
      <c r="N2866" s="31" t="s">
        <v>387</v>
      </c>
      <c r="O2866" s="32" t="n">
        <v>0.5</v>
      </c>
      <c r="P2866" s="15" t="n">
        <f aca="false">IF(A2866="","",IF(O2866&lt;&gt;"",O2866,IF(L2866&lt;&gt;"",L2866,F2866)))</f>
        <v>0.5</v>
      </c>
    </row>
    <row r="2867" customFormat="false" ht="15" hidden="false" customHeight="true" outlineLevel="0" collapsed="false">
      <c r="A2867" s="26" t="s">
        <v>332</v>
      </c>
      <c r="B2867" s="26" t="s">
        <v>333</v>
      </c>
      <c r="C2867" s="14" t="n">
        <f aca="false">IF(A2867="","",IFERROR(VLOOKUP(A2867,'Recert Status'!$A$8:$C$400,3,FALSE()),""))</f>
        <v>46387</v>
      </c>
      <c r="D2867" s="18" t="s">
        <v>387</v>
      </c>
      <c r="E2867" s="26" t="s">
        <v>389</v>
      </c>
      <c r="F2867" s="27" t="n">
        <v>1</v>
      </c>
      <c r="G2867" s="28" t="n">
        <v>46232</v>
      </c>
      <c r="H2867" s="28" t="n">
        <v>46232</v>
      </c>
      <c r="I2867" s="18" t="s">
        <v>1063</v>
      </c>
      <c r="J2867" s="26" t="s">
        <v>389</v>
      </c>
      <c r="K2867" s="18" t="s">
        <v>451</v>
      </c>
      <c r="L2867" s="27" t="n">
        <v>1</v>
      </c>
      <c r="M2867" s="35" t="s">
        <v>386</v>
      </c>
      <c r="N2867" s="18" t="s">
        <v>387</v>
      </c>
      <c r="O2867" s="27" t="n">
        <v>1</v>
      </c>
      <c r="P2867" s="15" t="n">
        <f aca="false">IF(A2867="","",IF(O2867&lt;&gt;"",O2867,IF(L2867&lt;&gt;"",L2867,F2867)))</f>
        <v>1</v>
      </c>
    </row>
    <row r="2868" customFormat="false" ht="15" hidden="false" customHeight="true" outlineLevel="0" collapsed="false">
      <c r="A2868" s="30" t="s">
        <v>332</v>
      </c>
      <c r="B2868" s="30" t="s">
        <v>333</v>
      </c>
      <c r="C2868" s="21" t="n">
        <f aca="false">IF(A2868="","",IFERROR(VLOOKUP(A2868,'Recert Status'!$A$8:$C$400,3,FALSE()),""))</f>
        <v>46387</v>
      </c>
      <c r="D2868" s="31" t="s">
        <v>397</v>
      </c>
      <c r="E2868" s="30" t="s">
        <v>452</v>
      </c>
      <c r="F2868" s="32" t="n">
        <v>1</v>
      </c>
      <c r="G2868" s="33" t="n">
        <v>46244</v>
      </c>
      <c r="H2868" s="33" t="n">
        <v>46244</v>
      </c>
      <c r="I2868" s="31" t="s">
        <v>577</v>
      </c>
      <c r="J2868" s="30" t="s">
        <v>452</v>
      </c>
      <c r="K2868" s="31" t="s">
        <v>385</v>
      </c>
      <c r="L2868" s="32" t="n">
        <v>1</v>
      </c>
      <c r="M2868" s="36" t="s">
        <v>396</v>
      </c>
      <c r="N2868" s="31" t="s">
        <v>397</v>
      </c>
      <c r="O2868" s="32" t="n">
        <v>1</v>
      </c>
      <c r="P2868" s="15" t="n">
        <f aca="false">IF(A2868="","",IF(O2868&lt;&gt;"",O2868,IF(L2868&lt;&gt;"",L2868,F2868)))</f>
        <v>1</v>
      </c>
    </row>
    <row r="2869" customFormat="false" ht="15" hidden="false" customHeight="true" outlineLevel="0" collapsed="false">
      <c r="A2869" s="26" t="s">
        <v>332</v>
      </c>
      <c r="B2869" s="26" t="s">
        <v>333</v>
      </c>
      <c r="C2869" s="14" t="n">
        <f aca="false">IF(A2869="","",IFERROR(VLOOKUP(A2869,'Recert Status'!$A$8:$C$400,3,FALSE()),""))</f>
        <v>46387</v>
      </c>
      <c r="D2869" s="18" t="s">
        <v>403</v>
      </c>
      <c r="E2869" s="26" t="s">
        <v>399</v>
      </c>
      <c r="F2869" s="27" t="n">
        <v>1</v>
      </c>
      <c r="G2869" s="28" t="n">
        <v>46172</v>
      </c>
      <c r="H2869" s="28" t="n">
        <v>46172</v>
      </c>
      <c r="I2869" s="18" t="s">
        <v>479</v>
      </c>
      <c r="J2869" s="26" t="s">
        <v>399</v>
      </c>
      <c r="K2869" s="18" t="s">
        <v>401</v>
      </c>
      <c r="L2869" s="27" t="n">
        <v>1</v>
      </c>
      <c r="M2869" s="37" t="s">
        <v>402</v>
      </c>
      <c r="N2869" s="18" t="s">
        <v>403</v>
      </c>
      <c r="O2869" s="27" t="n">
        <v>1</v>
      </c>
      <c r="P2869" s="15" t="n">
        <f aca="false">IF(A2869="","",IF(O2869&lt;&gt;"",O2869,IF(L2869&lt;&gt;"",L2869,F2869)))</f>
        <v>1</v>
      </c>
    </row>
    <row r="2870" customFormat="false" ht="15" hidden="false" customHeight="true" outlineLevel="0" collapsed="false">
      <c r="A2870" s="30" t="s">
        <v>332</v>
      </c>
      <c r="B2870" s="30" t="s">
        <v>333</v>
      </c>
      <c r="C2870" s="21" t="n">
        <f aca="false">IF(A2870="","",IFERROR(VLOOKUP(A2870,'Recert Status'!$A$8:$C$400,3,FALSE()),""))</f>
        <v>46387</v>
      </c>
      <c r="D2870" s="31" t="s">
        <v>409</v>
      </c>
      <c r="E2870" s="30" t="s">
        <v>480</v>
      </c>
      <c r="F2870" s="32" t="n">
        <v>1</v>
      </c>
      <c r="G2870" s="33" t="n">
        <v>46262</v>
      </c>
      <c r="H2870" s="33" t="n">
        <v>46262</v>
      </c>
      <c r="I2870" s="31" t="s">
        <v>481</v>
      </c>
      <c r="J2870" s="30" t="s">
        <v>480</v>
      </c>
      <c r="K2870" s="31" t="s">
        <v>482</v>
      </c>
      <c r="L2870" s="32" t="n">
        <v>1</v>
      </c>
      <c r="M2870" s="38" t="s">
        <v>408</v>
      </c>
      <c r="N2870" s="31" t="s">
        <v>409</v>
      </c>
      <c r="O2870" s="32" t="n">
        <v>1</v>
      </c>
      <c r="P2870" s="15" t="n">
        <f aca="false">IF(A2870="","",IF(O2870&lt;&gt;"",O2870,IF(L2870&lt;&gt;"",L2870,F2870)))</f>
        <v>1</v>
      </c>
    </row>
    <row r="2871" customFormat="false" ht="15" hidden="false" customHeight="true" outlineLevel="0" collapsed="false">
      <c r="A2871" s="26" t="s">
        <v>332</v>
      </c>
      <c r="B2871" s="26" t="s">
        <v>333</v>
      </c>
      <c r="C2871" s="14" t="n">
        <f aca="false">IF(A2871="","",IFERROR(VLOOKUP(A2871,'Recert Status'!$A$8:$C$400,3,FALSE()),""))</f>
        <v>46387</v>
      </c>
      <c r="D2871" s="18" t="s">
        <v>488</v>
      </c>
      <c r="E2871" s="26" t="s">
        <v>416</v>
      </c>
      <c r="F2871" s="27" t="n">
        <v>1</v>
      </c>
      <c r="G2871" s="28" t="n">
        <v>46139</v>
      </c>
      <c r="H2871" s="28" t="n">
        <v>46139</v>
      </c>
      <c r="I2871" s="18" t="s">
        <v>610</v>
      </c>
      <c r="J2871" s="26" t="s">
        <v>416</v>
      </c>
      <c r="K2871" s="18" t="s">
        <v>490</v>
      </c>
      <c r="L2871" s="27" t="n">
        <v>1</v>
      </c>
      <c r="M2871" s="39" t="s">
        <v>413</v>
      </c>
      <c r="N2871" s="18" t="s">
        <v>414</v>
      </c>
      <c r="O2871" s="27" t="n">
        <v>1</v>
      </c>
      <c r="P2871" s="15" t="n">
        <f aca="false">IF(A2871="","",IF(O2871&lt;&gt;"",O2871,IF(L2871&lt;&gt;"",L2871,F2871)))</f>
        <v>1</v>
      </c>
    </row>
    <row r="2872" customFormat="false" ht="15" hidden="false" customHeight="true" outlineLevel="0" collapsed="false">
      <c r="A2872" s="30" t="s">
        <v>332</v>
      </c>
      <c r="B2872" s="30" t="s">
        <v>333</v>
      </c>
      <c r="C2872" s="21" t="n">
        <f aca="false">IF(A2872="","",IFERROR(VLOOKUP(A2872,'Recert Status'!$A$8:$C$400,3,FALSE()),""))</f>
        <v>46387</v>
      </c>
      <c r="D2872" s="31" t="s">
        <v>414</v>
      </c>
      <c r="E2872" s="30" t="s">
        <v>416</v>
      </c>
      <c r="F2872" s="32" t="n">
        <v>2</v>
      </c>
      <c r="G2872" s="33" t="n">
        <v>46217</v>
      </c>
      <c r="H2872" s="33" t="n">
        <v>46217</v>
      </c>
      <c r="I2872" s="31" t="s">
        <v>460</v>
      </c>
      <c r="J2872" s="30" t="s">
        <v>416</v>
      </c>
      <c r="K2872" s="31" t="s">
        <v>418</v>
      </c>
      <c r="L2872" s="32" t="n">
        <v>2</v>
      </c>
      <c r="M2872" s="39" t="s">
        <v>413</v>
      </c>
      <c r="N2872" s="31" t="s">
        <v>414</v>
      </c>
      <c r="O2872" s="32" t="n">
        <v>2</v>
      </c>
      <c r="P2872" s="15" t="n">
        <f aca="false">IF(A2872="","",IF(O2872&lt;&gt;"",O2872,IF(L2872&lt;&gt;"",L2872,F2872)))</f>
        <v>2</v>
      </c>
    </row>
    <row r="2873" customFormat="false" ht="15" hidden="false" customHeight="true" outlineLevel="0" collapsed="false">
      <c r="A2873" s="26" t="s">
        <v>334</v>
      </c>
      <c r="B2873" s="26" t="s">
        <v>335</v>
      </c>
      <c r="C2873" s="14" t="n">
        <f aca="false">IF(A2873="","",IFERROR(VLOOKUP(A2873,'Recert Status'!$A$8:$C$400,3,FALSE()),""))</f>
        <v>46752</v>
      </c>
      <c r="D2873" s="18" t="s">
        <v>876</v>
      </c>
      <c r="E2873" s="26" t="s">
        <v>363</v>
      </c>
      <c r="F2873" s="27" t="n">
        <v>1</v>
      </c>
      <c r="G2873" s="28" t="n">
        <v>45723</v>
      </c>
      <c r="H2873" s="28" t="n">
        <v>45723</v>
      </c>
      <c r="I2873" s="18" t="s">
        <v>1750</v>
      </c>
      <c r="J2873" s="26" t="s">
        <v>363</v>
      </c>
      <c r="K2873" s="18" t="s">
        <v>370</v>
      </c>
      <c r="L2873" s="27" t="n">
        <v>1</v>
      </c>
      <c r="M2873" s="29" t="s">
        <v>366</v>
      </c>
      <c r="N2873" s="18" t="s">
        <v>367</v>
      </c>
      <c r="O2873" s="27" t="n">
        <v>1</v>
      </c>
      <c r="P2873" s="15" t="n">
        <f aca="false">IF(A2873="","",IF(O2873&lt;&gt;"",O2873,IF(L2873&lt;&gt;"",L2873,F2873)))</f>
        <v>1</v>
      </c>
    </row>
    <row r="2874" customFormat="false" ht="15" hidden="false" customHeight="true" outlineLevel="0" collapsed="false">
      <c r="A2874" s="30" t="s">
        <v>334</v>
      </c>
      <c r="B2874" s="30" t="s">
        <v>335</v>
      </c>
      <c r="C2874" s="21" t="n">
        <f aca="false">IF(A2874="","",IFERROR(VLOOKUP(A2874,'Recert Status'!$A$8:$C$400,3,FALSE()),""))</f>
        <v>46752</v>
      </c>
      <c r="D2874" s="31" t="s">
        <v>946</v>
      </c>
      <c r="E2874" s="30" t="s">
        <v>363</v>
      </c>
      <c r="F2874" s="32" t="n">
        <v>1</v>
      </c>
      <c r="G2874" s="33" t="n">
        <v>45867</v>
      </c>
      <c r="H2874" s="33" t="n">
        <v>45867</v>
      </c>
      <c r="I2874" s="31" t="s">
        <v>947</v>
      </c>
      <c r="J2874" s="30" t="s">
        <v>363</v>
      </c>
      <c r="K2874" s="31" t="s">
        <v>370</v>
      </c>
      <c r="L2874" s="32" t="n">
        <v>1</v>
      </c>
      <c r="M2874" s="29" t="s">
        <v>366</v>
      </c>
      <c r="N2874" s="31" t="s">
        <v>367</v>
      </c>
      <c r="O2874" s="32" t="n">
        <v>1</v>
      </c>
      <c r="P2874" s="15" t="n">
        <f aca="false">IF(A2874="","",IF(O2874&lt;&gt;"",O2874,IF(L2874&lt;&gt;"",L2874,F2874)))</f>
        <v>1</v>
      </c>
    </row>
    <row r="2875" customFormat="false" ht="15" hidden="false" customHeight="true" outlineLevel="0" collapsed="false">
      <c r="A2875" s="26" t="s">
        <v>334</v>
      </c>
      <c r="B2875" s="26" t="s">
        <v>335</v>
      </c>
      <c r="C2875" s="14" t="n">
        <f aca="false">IF(A2875="","",IFERROR(VLOOKUP(A2875,'Recert Status'!$A$8:$C$400,3,FALSE()),""))</f>
        <v>46752</v>
      </c>
      <c r="D2875" s="18" t="s">
        <v>541</v>
      </c>
      <c r="E2875" s="26" t="s">
        <v>542</v>
      </c>
      <c r="F2875" s="27" t="n">
        <v>1</v>
      </c>
      <c r="G2875" s="28" t="n">
        <v>45811</v>
      </c>
      <c r="H2875" s="28" t="n">
        <v>45811</v>
      </c>
      <c r="I2875" s="18" t="s">
        <v>543</v>
      </c>
      <c r="J2875" s="26" t="s">
        <v>542</v>
      </c>
      <c r="K2875" s="18" t="s">
        <v>422</v>
      </c>
      <c r="L2875" s="27" t="n">
        <v>1</v>
      </c>
      <c r="M2875" s="40" t="s">
        <v>423</v>
      </c>
      <c r="N2875" s="18" t="s">
        <v>424</v>
      </c>
      <c r="O2875" s="27" t="n">
        <v>1</v>
      </c>
      <c r="P2875" s="15" t="n">
        <f aca="false">IF(A2875="","",IF(O2875&lt;&gt;"",O2875,IF(L2875&lt;&gt;"",L2875,F2875)))</f>
        <v>1</v>
      </c>
    </row>
    <row r="2876" customFormat="false" ht="15" hidden="false" customHeight="true" outlineLevel="0" collapsed="false">
      <c r="A2876" s="30" t="s">
        <v>334</v>
      </c>
      <c r="B2876" s="30" t="s">
        <v>335</v>
      </c>
      <c r="C2876" s="21" t="n">
        <f aca="false">IF(A2876="","",IFERROR(VLOOKUP(A2876,'Recert Status'!$A$8:$C$400,3,FALSE()),""))</f>
        <v>46752</v>
      </c>
      <c r="D2876" s="31" t="s">
        <v>949</v>
      </c>
      <c r="E2876" s="30" t="s">
        <v>542</v>
      </c>
      <c r="F2876" s="32" t="n">
        <v>1</v>
      </c>
      <c r="G2876" s="33" t="n">
        <v>46056</v>
      </c>
      <c r="H2876" s="33" t="n">
        <v>46056</v>
      </c>
      <c r="I2876" s="31" t="s">
        <v>950</v>
      </c>
      <c r="J2876" s="30" t="s">
        <v>542</v>
      </c>
      <c r="K2876" s="31" t="s">
        <v>422</v>
      </c>
      <c r="L2876" s="32" t="n">
        <v>1</v>
      </c>
      <c r="M2876" s="40" t="s">
        <v>423</v>
      </c>
      <c r="N2876" s="31" t="s">
        <v>424</v>
      </c>
      <c r="O2876" s="32" t="n">
        <v>1</v>
      </c>
      <c r="P2876" s="15" t="n">
        <f aca="false">IF(A2876="","",IF(O2876&lt;&gt;"",O2876,IF(L2876&lt;&gt;"",L2876,F2876)))</f>
        <v>1</v>
      </c>
    </row>
    <row r="2877" customFormat="false" ht="15" hidden="false" customHeight="true" outlineLevel="0" collapsed="false">
      <c r="A2877" s="26" t="s">
        <v>334</v>
      </c>
      <c r="B2877" s="26" t="s">
        <v>335</v>
      </c>
      <c r="C2877" s="14" t="n">
        <f aca="false">IF(A2877="","",IFERROR(VLOOKUP(A2877,'Recert Status'!$A$8:$C$400,3,FALSE()),""))</f>
        <v>46752</v>
      </c>
      <c r="D2877" s="18" t="s">
        <v>951</v>
      </c>
      <c r="E2877" s="26" t="s">
        <v>426</v>
      </c>
      <c r="F2877" s="27" t="n">
        <v>1</v>
      </c>
      <c r="G2877" s="28" t="n">
        <v>45912</v>
      </c>
      <c r="H2877" s="28" t="n">
        <v>45912</v>
      </c>
      <c r="I2877" s="18" t="s">
        <v>952</v>
      </c>
      <c r="J2877" s="26" t="s">
        <v>426</v>
      </c>
      <c r="K2877" s="18" t="s">
        <v>428</v>
      </c>
      <c r="L2877" s="27" t="n">
        <v>1</v>
      </c>
      <c r="M2877" s="41" t="s">
        <v>429</v>
      </c>
      <c r="N2877" s="18" t="s">
        <v>430</v>
      </c>
      <c r="O2877" s="27" t="n">
        <v>1</v>
      </c>
      <c r="P2877" s="15" t="n">
        <f aca="false">IF(A2877="","",IF(O2877&lt;&gt;"",O2877,IF(L2877&lt;&gt;"",L2877,F2877)))</f>
        <v>1</v>
      </c>
    </row>
    <row r="2878" customFormat="false" ht="15" hidden="false" customHeight="true" outlineLevel="0" collapsed="false">
      <c r="A2878" s="30" t="s">
        <v>334</v>
      </c>
      <c r="B2878" s="30" t="s">
        <v>335</v>
      </c>
      <c r="C2878" s="21" t="n">
        <f aca="false">IF(A2878="","",IFERROR(VLOOKUP(A2878,'Recert Status'!$A$8:$C$400,3,FALSE()),""))</f>
        <v>46752</v>
      </c>
      <c r="D2878" s="31" t="s">
        <v>1024</v>
      </c>
      <c r="E2878" s="30" t="n">
        <v>57433</v>
      </c>
      <c r="F2878" s="32" t="n">
        <v>2</v>
      </c>
      <c r="G2878" s="33" t="n">
        <v>45960</v>
      </c>
      <c r="H2878" s="33" t="n">
        <v>45960</v>
      </c>
      <c r="I2878" s="31" t="s">
        <v>1025</v>
      </c>
      <c r="J2878" s="30" t="s">
        <v>421</v>
      </c>
      <c r="K2878" s="31" t="s">
        <v>428</v>
      </c>
      <c r="L2878" s="32" t="n">
        <v>2</v>
      </c>
      <c r="M2878" s="41" t="s">
        <v>429</v>
      </c>
      <c r="N2878" s="31" t="s">
        <v>430</v>
      </c>
      <c r="O2878" s="32" t="n">
        <v>2</v>
      </c>
      <c r="P2878" s="15" t="n">
        <f aca="false">IF(A2878="","",IF(O2878&lt;&gt;"",O2878,IF(L2878&lt;&gt;"",L2878,F2878)))</f>
        <v>2</v>
      </c>
    </row>
    <row r="2879" customFormat="false" ht="15" hidden="false" customHeight="true" outlineLevel="0" collapsed="false">
      <c r="A2879" s="26" t="s">
        <v>334</v>
      </c>
      <c r="B2879" s="26" t="s">
        <v>335</v>
      </c>
      <c r="C2879" s="14" t="n">
        <f aca="false">IF(A2879="","",IFERROR(VLOOKUP(A2879,'Recert Status'!$A$8:$C$400,3,FALSE()),""))</f>
        <v>46752</v>
      </c>
      <c r="D2879" s="18" t="s">
        <v>1751</v>
      </c>
      <c r="E2879" s="26" t="s">
        <v>426</v>
      </c>
      <c r="F2879" s="27" t="n">
        <v>1</v>
      </c>
      <c r="G2879" s="28" t="n">
        <v>45997</v>
      </c>
      <c r="H2879" s="28" t="n">
        <v>45997</v>
      </c>
      <c r="I2879" s="18" t="s">
        <v>1752</v>
      </c>
      <c r="J2879" s="26" t="s">
        <v>426</v>
      </c>
      <c r="K2879" s="18" t="s">
        <v>428</v>
      </c>
      <c r="L2879" s="27" t="n">
        <v>1</v>
      </c>
      <c r="M2879" s="41" t="s">
        <v>429</v>
      </c>
      <c r="N2879" s="18" t="s">
        <v>430</v>
      </c>
      <c r="O2879" s="27" t="n">
        <v>1</v>
      </c>
      <c r="P2879" s="15" t="n">
        <f aca="false">IF(A2879="","",IF(O2879&lt;&gt;"",O2879,IF(L2879&lt;&gt;"",L2879,F2879)))</f>
        <v>1</v>
      </c>
    </row>
    <row r="2880" customFormat="false" ht="15" hidden="false" customHeight="true" outlineLevel="0" collapsed="false">
      <c r="A2880" s="30" t="s">
        <v>334</v>
      </c>
      <c r="B2880" s="30" t="s">
        <v>335</v>
      </c>
      <c r="C2880" s="21" t="n">
        <f aca="false">IF(A2880="","",IFERROR(VLOOKUP(A2880,'Recert Status'!$A$8:$C$400,3,FALSE()),""))</f>
        <v>46752</v>
      </c>
      <c r="D2880" s="31" t="s">
        <v>1751</v>
      </c>
      <c r="E2880" s="30" t="s">
        <v>426</v>
      </c>
      <c r="F2880" s="32" t="n">
        <v>1</v>
      </c>
      <c r="G2880" s="33" t="n">
        <v>45997</v>
      </c>
      <c r="H2880" s="33" t="n">
        <v>45997</v>
      </c>
      <c r="I2880" s="31" t="s">
        <v>1752</v>
      </c>
      <c r="J2880" s="30" t="s">
        <v>426</v>
      </c>
      <c r="K2880" s="31" t="s">
        <v>428</v>
      </c>
      <c r="L2880" s="32" t="n">
        <v>1</v>
      </c>
      <c r="M2880" s="41" t="s">
        <v>429</v>
      </c>
      <c r="N2880" s="31" t="s">
        <v>430</v>
      </c>
      <c r="O2880" s="32" t="n">
        <v>1</v>
      </c>
      <c r="P2880" s="15" t="n">
        <f aca="false">IF(A2880="","",IF(O2880&lt;&gt;"",O2880,IF(L2880&lt;&gt;"",L2880,F2880)))</f>
        <v>1</v>
      </c>
    </row>
    <row r="2881" customFormat="false" ht="15" hidden="false" customHeight="true" outlineLevel="0" collapsed="false">
      <c r="A2881" s="26" t="s">
        <v>334</v>
      </c>
      <c r="B2881" s="26" t="s">
        <v>335</v>
      </c>
      <c r="C2881" s="14" t="n">
        <f aca="false">IF(A2881="","",IFERROR(VLOOKUP(A2881,'Recert Status'!$A$8:$C$400,3,FALSE()),""))</f>
        <v>46752</v>
      </c>
      <c r="D2881" s="18" t="s">
        <v>1310</v>
      </c>
      <c r="E2881" s="26" t="s">
        <v>426</v>
      </c>
      <c r="F2881" s="27" t="n">
        <v>2</v>
      </c>
      <c r="G2881" s="28" t="n">
        <v>46021</v>
      </c>
      <c r="H2881" s="28" t="n">
        <v>46021</v>
      </c>
      <c r="I2881" s="18" t="s">
        <v>1753</v>
      </c>
      <c r="J2881" s="26" t="s">
        <v>426</v>
      </c>
      <c r="K2881" s="18" t="s">
        <v>428</v>
      </c>
      <c r="L2881" s="27" t="n">
        <v>2</v>
      </c>
      <c r="M2881" s="41" t="s">
        <v>429</v>
      </c>
      <c r="N2881" s="18" t="s">
        <v>430</v>
      </c>
      <c r="O2881" s="27" t="n">
        <v>2</v>
      </c>
      <c r="P2881" s="15" t="n">
        <f aca="false">IF(A2881="","",IF(O2881&lt;&gt;"",O2881,IF(L2881&lt;&gt;"",L2881,F2881)))</f>
        <v>2</v>
      </c>
    </row>
    <row r="2882" customFormat="false" ht="15" hidden="false" customHeight="true" outlineLevel="0" collapsed="false">
      <c r="A2882" s="30" t="s">
        <v>334</v>
      </c>
      <c r="B2882" s="30" t="s">
        <v>335</v>
      </c>
      <c r="C2882" s="21" t="n">
        <f aca="false">IF(A2882="","",IFERROR(VLOOKUP(A2882,'Recert Status'!$A$8:$C$400,3,FALSE()),""))</f>
        <v>46752</v>
      </c>
      <c r="D2882" s="31" t="s">
        <v>876</v>
      </c>
      <c r="E2882" s="30" t="s">
        <v>389</v>
      </c>
      <c r="F2882" s="32" t="n">
        <v>1</v>
      </c>
      <c r="G2882" s="33" t="n">
        <v>45732</v>
      </c>
      <c r="H2882" s="33" t="n">
        <v>45732</v>
      </c>
      <c r="I2882" s="31" t="s">
        <v>1754</v>
      </c>
      <c r="J2882" s="30" t="s">
        <v>389</v>
      </c>
      <c r="K2882" s="31" t="s">
        <v>451</v>
      </c>
      <c r="L2882" s="32" t="n">
        <v>1</v>
      </c>
      <c r="M2882" s="35" t="s">
        <v>386</v>
      </c>
      <c r="N2882" s="31" t="s">
        <v>387</v>
      </c>
      <c r="O2882" s="32" t="n">
        <v>1</v>
      </c>
      <c r="P2882" s="15" t="n">
        <f aca="false">IF(A2882="","",IF(O2882&lt;&gt;"",O2882,IF(L2882&lt;&gt;"",L2882,F2882)))</f>
        <v>1</v>
      </c>
    </row>
    <row r="2883" customFormat="false" ht="15" hidden="false" customHeight="true" outlineLevel="0" collapsed="false">
      <c r="A2883" s="26" t="s">
        <v>334</v>
      </c>
      <c r="B2883" s="26" t="s">
        <v>335</v>
      </c>
      <c r="C2883" s="14" t="n">
        <f aca="false">IF(A2883="","",IFERROR(VLOOKUP(A2883,'Recert Status'!$A$8:$C$400,3,FALSE()),""))</f>
        <v>46752</v>
      </c>
      <c r="D2883" s="18" t="s">
        <v>876</v>
      </c>
      <c r="E2883" s="26" t="s">
        <v>389</v>
      </c>
      <c r="F2883" s="27" t="n">
        <v>1</v>
      </c>
      <c r="G2883" s="28" t="n">
        <v>45739</v>
      </c>
      <c r="H2883" s="28" t="n">
        <v>45739</v>
      </c>
      <c r="I2883" s="18" t="s">
        <v>1755</v>
      </c>
      <c r="J2883" s="26" t="s">
        <v>389</v>
      </c>
      <c r="K2883" s="18" t="s">
        <v>476</v>
      </c>
      <c r="L2883" s="27" t="n">
        <v>1</v>
      </c>
      <c r="M2883" s="35" t="s">
        <v>386</v>
      </c>
      <c r="N2883" s="18" t="s">
        <v>387</v>
      </c>
      <c r="O2883" s="27" t="n">
        <v>1</v>
      </c>
      <c r="P2883" s="15" t="n">
        <f aca="false">IF(A2883="","",IF(O2883&lt;&gt;"",O2883,IF(L2883&lt;&gt;"",L2883,F2883)))</f>
        <v>1</v>
      </c>
    </row>
    <row r="2884" customFormat="false" ht="15" hidden="false" customHeight="true" outlineLevel="0" collapsed="false">
      <c r="A2884" s="30" t="s">
        <v>334</v>
      </c>
      <c r="B2884" s="30" t="s">
        <v>335</v>
      </c>
      <c r="C2884" s="21" t="n">
        <f aca="false">IF(A2884="","",IFERROR(VLOOKUP(A2884,'Recert Status'!$A$8:$C$400,3,FALSE()),""))</f>
        <v>46752</v>
      </c>
      <c r="D2884" s="31" t="s">
        <v>953</v>
      </c>
      <c r="E2884" s="30" t="n">
        <v>29668</v>
      </c>
      <c r="F2884" s="32" t="n">
        <v>1</v>
      </c>
      <c r="G2884" s="33" t="n">
        <v>45867</v>
      </c>
      <c r="H2884" s="33" t="n">
        <v>45867</v>
      </c>
      <c r="I2884" s="31" t="s">
        <v>954</v>
      </c>
      <c r="J2884" s="30" t="s">
        <v>511</v>
      </c>
      <c r="K2884" s="31" t="s">
        <v>509</v>
      </c>
      <c r="L2884" s="32" t="n">
        <v>1</v>
      </c>
      <c r="M2884" s="35" t="s">
        <v>386</v>
      </c>
      <c r="N2884" s="31" t="s">
        <v>387</v>
      </c>
      <c r="O2884" s="32" t="n">
        <v>1</v>
      </c>
      <c r="P2884" s="15" t="n">
        <f aca="false">IF(A2884="","",IF(O2884&lt;&gt;"",O2884,IF(L2884&lt;&gt;"",L2884,F2884)))</f>
        <v>1</v>
      </c>
    </row>
    <row r="2885" customFormat="false" ht="15" hidden="false" customHeight="true" outlineLevel="0" collapsed="false">
      <c r="A2885" s="26" t="s">
        <v>334</v>
      </c>
      <c r="B2885" s="26" t="s">
        <v>335</v>
      </c>
      <c r="C2885" s="14" t="n">
        <f aca="false">IF(A2885="","",IFERROR(VLOOKUP(A2885,'Recert Status'!$A$8:$C$400,3,FALSE()),""))</f>
        <v>46752</v>
      </c>
      <c r="D2885" s="18" t="s">
        <v>1297</v>
      </c>
      <c r="E2885" s="26" t="s">
        <v>389</v>
      </c>
      <c r="F2885" s="27" t="n">
        <v>1.5</v>
      </c>
      <c r="G2885" s="28" t="n">
        <v>46011</v>
      </c>
      <c r="H2885" s="28" t="n">
        <v>46011</v>
      </c>
      <c r="I2885" s="18" t="s">
        <v>1298</v>
      </c>
      <c r="J2885" s="26" t="s">
        <v>389</v>
      </c>
      <c r="K2885" s="18" t="s">
        <v>451</v>
      </c>
      <c r="L2885" s="27" t="n">
        <v>1.5</v>
      </c>
      <c r="M2885" s="35" t="s">
        <v>386</v>
      </c>
      <c r="N2885" s="18" t="s">
        <v>387</v>
      </c>
      <c r="O2885" s="27" t="n">
        <v>1.5</v>
      </c>
      <c r="P2885" s="15" t="n">
        <f aca="false">IF(A2885="","",IF(O2885&lt;&gt;"",O2885,IF(L2885&lt;&gt;"",L2885,F2885)))</f>
        <v>1.5</v>
      </c>
    </row>
    <row r="2886" customFormat="false" ht="15" hidden="false" customHeight="true" outlineLevel="0" collapsed="false">
      <c r="A2886" s="30" t="s">
        <v>334</v>
      </c>
      <c r="B2886" s="30" t="s">
        <v>335</v>
      </c>
      <c r="C2886" s="21" t="n">
        <f aca="false">IF(A2886="","",IFERROR(VLOOKUP(A2886,'Recert Status'!$A$8:$C$400,3,FALSE()),""))</f>
        <v>46752</v>
      </c>
      <c r="D2886" s="31" t="s">
        <v>1297</v>
      </c>
      <c r="E2886" s="30" t="s">
        <v>389</v>
      </c>
      <c r="F2886" s="32" t="n">
        <v>1.5</v>
      </c>
      <c r="G2886" s="33" t="n">
        <v>46011</v>
      </c>
      <c r="H2886" s="33" t="n">
        <v>46011</v>
      </c>
      <c r="I2886" s="31" t="s">
        <v>1298</v>
      </c>
      <c r="J2886" s="30" t="s">
        <v>389</v>
      </c>
      <c r="K2886" s="31" t="s">
        <v>451</v>
      </c>
      <c r="L2886" s="32" t="n">
        <v>1.5</v>
      </c>
      <c r="M2886" s="35" t="s">
        <v>386</v>
      </c>
      <c r="N2886" s="31" t="s">
        <v>387</v>
      </c>
      <c r="O2886" s="32" t="n">
        <v>1.5</v>
      </c>
      <c r="P2886" s="15" t="n">
        <f aca="false">IF(A2886="","",IF(O2886&lt;&gt;"",O2886,IF(L2886&lt;&gt;"",L2886,F2886)))</f>
        <v>1.5</v>
      </c>
    </row>
    <row r="2887" customFormat="false" ht="15" hidden="false" customHeight="true" outlineLevel="0" collapsed="false">
      <c r="A2887" s="26" t="s">
        <v>334</v>
      </c>
      <c r="B2887" s="26" t="s">
        <v>335</v>
      </c>
      <c r="C2887" s="14" t="n">
        <f aca="false">IF(A2887="","",IFERROR(VLOOKUP(A2887,'Recert Status'!$A$8:$C$400,3,FALSE()),""))</f>
        <v>46752</v>
      </c>
      <c r="D2887" s="18" t="s">
        <v>787</v>
      </c>
      <c r="E2887" s="26" t="n">
        <v>29784</v>
      </c>
      <c r="F2887" s="27" t="n">
        <v>1.5</v>
      </c>
      <c r="G2887" s="28" t="n">
        <v>46011</v>
      </c>
      <c r="H2887" s="28" t="n">
        <v>46011</v>
      </c>
      <c r="I2887" s="18" t="s">
        <v>1299</v>
      </c>
      <c r="J2887" s="26" t="s">
        <v>435</v>
      </c>
      <c r="K2887" s="18" t="s">
        <v>468</v>
      </c>
      <c r="L2887" s="27" t="n">
        <v>1.5</v>
      </c>
      <c r="M2887" s="35" t="s">
        <v>386</v>
      </c>
      <c r="N2887" s="18" t="s">
        <v>387</v>
      </c>
      <c r="O2887" s="27" t="n">
        <v>1.5</v>
      </c>
      <c r="P2887" s="15" t="n">
        <f aca="false">IF(A2887="","",IF(O2887&lt;&gt;"",O2887,IF(L2887&lt;&gt;"",L2887,F2887)))</f>
        <v>1.5</v>
      </c>
    </row>
    <row r="2888" customFormat="false" ht="15" hidden="false" customHeight="true" outlineLevel="0" collapsed="false">
      <c r="A2888" s="30" t="s">
        <v>334</v>
      </c>
      <c r="B2888" s="30" t="s">
        <v>335</v>
      </c>
      <c r="C2888" s="21" t="n">
        <f aca="false">IF(A2888="","",IFERROR(VLOOKUP(A2888,'Recert Status'!$A$8:$C$400,3,FALSE()),""))</f>
        <v>46752</v>
      </c>
      <c r="D2888" s="31" t="s">
        <v>1030</v>
      </c>
      <c r="E2888" s="30" t="s">
        <v>389</v>
      </c>
      <c r="F2888" s="32" t="n">
        <v>2</v>
      </c>
      <c r="G2888" s="33" t="n">
        <v>46071</v>
      </c>
      <c r="H2888" s="33" t="n">
        <v>46071</v>
      </c>
      <c r="I2888" s="31" t="s">
        <v>1031</v>
      </c>
      <c r="J2888" s="30" t="s">
        <v>389</v>
      </c>
      <c r="K2888" s="31" t="s">
        <v>395</v>
      </c>
      <c r="L2888" s="32" t="n">
        <v>2</v>
      </c>
      <c r="M2888" s="35" t="s">
        <v>386</v>
      </c>
      <c r="N2888" s="31" t="s">
        <v>387</v>
      </c>
      <c r="O2888" s="32" t="n">
        <v>2</v>
      </c>
      <c r="P2888" s="15" t="n">
        <f aca="false">IF(A2888="","",IF(O2888&lt;&gt;"",O2888,IF(L2888&lt;&gt;"",L2888,F2888)))</f>
        <v>2</v>
      </c>
    </row>
    <row r="2889" customFormat="false" ht="15" hidden="false" customHeight="true" outlineLevel="0" collapsed="false">
      <c r="A2889" s="26" t="s">
        <v>334</v>
      </c>
      <c r="B2889" s="26" t="s">
        <v>335</v>
      </c>
      <c r="C2889" s="14" t="n">
        <f aca="false">IF(A2889="","",IFERROR(VLOOKUP(A2889,'Recert Status'!$A$8:$C$400,3,FALSE()),""))</f>
        <v>46752</v>
      </c>
      <c r="D2889" s="18" t="s">
        <v>1756</v>
      </c>
      <c r="E2889" s="26" t="s">
        <v>389</v>
      </c>
      <c r="F2889" s="27" t="n">
        <v>1</v>
      </c>
      <c r="G2889" s="28" t="n">
        <v>46152</v>
      </c>
      <c r="H2889" s="28" t="n">
        <v>46152</v>
      </c>
      <c r="I2889" s="18" t="s">
        <v>1757</v>
      </c>
      <c r="J2889" s="26" t="s">
        <v>389</v>
      </c>
      <c r="K2889" s="18" t="s">
        <v>1758</v>
      </c>
      <c r="L2889" s="27" t="n">
        <v>1</v>
      </c>
      <c r="M2889" s="35" t="s">
        <v>386</v>
      </c>
      <c r="N2889" s="18" t="s">
        <v>387</v>
      </c>
      <c r="O2889" s="27" t="n">
        <v>1</v>
      </c>
      <c r="P2889" s="15" t="n">
        <f aca="false">IF(A2889="","",IF(O2889&lt;&gt;"",O2889,IF(L2889&lt;&gt;"",L2889,F2889)))</f>
        <v>1</v>
      </c>
    </row>
    <row r="2890" customFormat="false" ht="15" hidden="false" customHeight="true" outlineLevel="0" collapsed="false">
      <c r="A2890" s="30" t="s">
        <v>334</v>
      </c>
      <c r="B2890" s="30" t="s">
        <v>335</v>
      </c>
      <c r="C2890" s="21" t="n">
        <f aca="false">IF(A2890="","",IFERROR(VLOOKUP(A2890,'Recert Status'!$A$8:$C$400,3,FALSE()),""))</f>
        <v>46752</v>
      </c>
      <c r="D2890" s="31" t="s">
        <v>387</v>
      </c>
      <c r="E2890" s="30" t="s">
        <v>389</v>
      </c>
      <c r="F2890" s="32" t="n">
        <v>1</v>
      </c>
      <c r="G2890" s="33" t="n">
        <v>46230</v>
      </c>
      <c r="H2890" s="33" t="n">
        <v>46230</v>
      </c>
      <c r="I2890" s="31" t="s">
        <v>1224</v>
      </c>
      <c r="J2890" s="30" t="s">
        <v>389</v>
      </c>
      <c r="K2890" s="31" t="s">
        <v>451</v>
      </c>
      <c r="L2890" s="32" t="n">
        <v>1</v>
      </c>
      <c r="M2890" s="35" t="s">
        <v>386</v>
      </c>
      <c r="N2890" s="31" t="s">
        <v>387</v>
      </c>
      <c r="O2890" s="32" t="n">
        <v>1</v>
      </c>
      <c r="P2890" s="15" t="n">
        <f aca="false">IF(A2890="","",IF(O2890&lt;&gt;"",O2890,IF(L2890&lt;&gt;"",L2890,F2890)))</f>
        <v>1</v>
      </c>
    </row>
    <row r="2891" customFormat="false" ht="15" hidden="false" customHeight="true" outlineLevel="0" collapsed="false">
      <c r="A2891" s="26" t="s">
        <v>334</v>
      </c>
      <c r="B2891" s="26" t="s">
        <v>335</v>
      </c>
      <c r="C2891" s="14" t="n">
        <f aca="false">IF(A2891="","",IFERROR(VLOOKUP(A2891,'Recert Status'!$A$8:$C$400,3,FALSE()),""))</f>
        <v>46752</v>
      </c>
      <c r="D2891" s="18" t="s">
        <v>800</v>
      </c>
      <c r="E2891" s="26" t="n">
        <v>35513</v>
      </c>
      <c r="F2891" s="27" t="n">
        <v>1</v>
      </c>
      <c r="G2891" s="28" t="n">
        <v>45969</v>
      </c>
      <c r="H2891" s="28" t="n">
        <v>45969</v>
      </c>
      <c r="I2891" s="18" t="s">
        <v>1730</v>
      </c>
      <c r="J2891" s="26" t="s">
        <v>384</v>
      </c>
      <c r="K2891" s="18" t="s">
        <v>385</v>
      </c>
      <c r="L2891" s="27" t="n">
        <v>1</v>
      </c>
      <c r="M2891" s="36" t="s">
        <v>396</v>
      </c>
      <c r="N2891" s="18" t="s">
        <v>397</v>
      </c>
      <c r="O2891" s="27" t="n">
        <v>1</v>
      </c>
      <c r="P2891" s="15" t="n">
        <f aca="false">IF(A2891="","",IF(O2891&lt;&gt;"",O2891,IF(L2891&lt;&gt;"",L2891,F2891)))</f>
        <v>1</v>
      </c>
    </row>
    <row r="2892" customFormat="false" ht="15" hidden="false" customHeight="true" outlineLevel="0" collapsed="false">
      <c r="A2892" s="30" t="s">
        <v>334</v>
      </c>
      <c r="B2892" s="30" t="s">
        <v>335</v>
      </c>
      <c r="C2892" s="21" t="n">
        <f aca="false">IF(A2892="","",IFERROR(VLOOKUP(A2892,'Recert Status'!$A$8:$C$400,3,FALSE()),""))</f>
        <v>46752</v>
      </c>
      <c r="D2892" s="31" t="s">
        <v>1248</v>
      </c>
      <c r="E2892" s="30" t="s">
        <v>452</v>
      </c>
      <c r="F2892" s="32" t="n">
        <v>2</v>
      </c>
      <c r="G2892" s="33" t="n">
        <v>45972</v>
      </c>
      <c r="H2892" s="33" t="n">
        <v>45972</v>
      </c>
      <c r="I2892" s="31" t="s">
        <v>1249</v>
      </c>
      <c r="J2892" s="30" t="s">
        <v>452</v>
      </c>
      <c r="K2892" s="31" t="s">
        <v>385</v>
      </c>
      <c r="L2892" s="32" t="n">
        <v>2</v>
      </c>
      <c r="M2892" s="36" t="s">
        <v>396</v>
      </c>
      <c r="N2892" s="31" t="s">
        <v>397</v>
      </c>
      <c r="O2892" s="32" t="n">
        <v>2</v>
      </c>
      <c r="P2892" s="15" t="n">
        <f aca="false">IF(A2892="","",IF(O2892&lt;&gt;"",O2892,IF(L2892&lt;&gt;"",L2892,F2892)))</f>
        <v>2</v>
      </c>
    </row>
    <row r="2893" customFormat="false" ht="15" hidden="false" customHeight="true" outlineLevel="0" collapsed="false">
      <c r="A2893" s="26" t="s">
        <v>334</v>
      </c>
      <c r="B2893" s="26" t="s">
        <v>335</v>
      </c>
      <c r="C2893" s="14" t="n">
        <f aca="false">IF(A2893="","",IFERROR(VLOOKUP(A2893,'Recert Status'!$A$8:$C$400,3,FALSE()),""))</f>
        <v>46752</v>
      </c>
      <c r="D2893" s="18" t="s">
        <v>492</v>
      </c>
      <c r="E2893" s="26" t="n">
        <v>35513</v>
      </c>
      <c r="F2893" s="27" t="n">
        <v>2</v>
      </c>
      <c r="G2893" s="28" t="n">
        <v>45973</v>
      </c>
      <c r="H2893" s="28" t="n">
        <v>45973</v>
      </c>
      <c r="I2893" s="18" t="s">
        <v>1759</v>
      </c>
      <c r="J2893" s="26" t="s">
        <v>384</v>
      </c>
      <c r="K2893" s="18" t="s">
        <v>385</v>
      </c>
      <c r="L2893" s="27" t="n">
        <v>2</v>
      </c>
      <c r="M2893" s="36" t="s">
        <v>396</v>
      </c>
      <c r="N2893" s="18" t="s">
        <v>397</v>
      </c>
      <c r="O2893" s="27" t="n">
        <v>2</v>
      </c>
      <c r="P2893" s="15" t="n">
        <f aca="false">IF(A2893="","",IF(O2893&lt;&gt;"",O2893,IF(L2893&lt;&gt;"",L2893,F2893)))</f>
        <v>2</v>
      </c>
    </row>
    <row r="2894" customFormat="false" ht="15" hidden="false" customHeight="true" outlineLevel="0" collapsed="false">
      <c r="A2894" s="30" t="s">
        <v>334</v>
      </c>
      <c r="B2894" s="30" t="s">
        <v>335</v>
      </c>
      <c r="C2894" s="21" t="n">
        <f aca="false">IF(A2894="","",IFERROR(VLOOKUP(A2894,'Recert Status'!$A$8:$C$400,3,FALSE()),""))</f>
        <v>46752</v>
      </c>
      <c r="D2894" s="31" t="s">
        <v>1300</v>
      </c>
      <c r="E2894" s="30" t="s">
        <v>452</v>
      </c>
      <c r="F2894" s="32" t="n">
        <v>1.5</v>
      </c>
      <c r="G2894" s="33" t="n">
        <v>46011</v>
      </c>
      <c r="H2894" s="33" t="n">
        <v>46011</v>
      </c>
      <c r="I2894" s="31" t="s">
        <v>1301</v>
      </c>
      <c r="J2894" s="30" t="s">
        <v>452</v>
      </c>
      <c r="K2894" s="31" t="s">
        <v>385</v>
      </c>
      <c r="L2894" s="32" t="n">
        <v>1.5</v>
      </c>
      <c r="M2894" s="36" t="s">
        <v>396</v>
      </c>
      <c r="N2894" s="31" t="s">
        <v>397</v>
      </c>
      <c r="O2894" s="32" t="n">
        <v>1.5</v>
      </c>
      <c r="P2894" s="15" t="n">
        <f aca="false">IF(A2894="","",IF(O2894&lt;&gt;"",O2894,IF(L2894&lt;&gt;"",L2894,F2894)))</f>
        <v>1.5</v>
      </c>
    </row>
    <row r="2895" customFormat="false" ht="15" hidden="false" customHeight="true" outlineLevel="0" collapsed="false">
      <c r="A2895" s="26" t="s">
        <v>334</v>
      </c>
      <c r="B2895" s="26" t="s">
        <v>335</v>
      </c>
      <c r="C2895" s="14" t="n">
        <f aca="false">IF(A2895="","",IFERROR(VLOOKUP(A2895,'Recert Status'!$A$8:$C$400,3,FALSE()),""))</f>
        <v>46752</v>
      </c>
      <c r="D2895" s="18" t="s">
        <v>1302</v>
      </c>
      <c r="E2895" s="26" t="s">
        <v>452</v>
      </c>
      <c r="F2895" s="27" t="n">
        <v>1</v>
      </c>
      <c r="G2895" s="28" t="n">
        <v>46017</v>
      </c>
      <c r="H2895" s="28" t="n">
        <v>46017</v>
      </c>
      <c r="I2895" s="18" t="s">
        <v>1303</v>
      </c>
      <c r="J2895" s="26" t="s">
        <v>452</v>
      </c>
      <c r="K2895" s="18" t="s">
        <v>385</v>
      </c>
      <c r="L2895" s="27" t="n">
        <v>1</v>
      </c>
      <c r="M2895" s="36" t="s">
        <v>396</v>
      </c>
      <c r="N2895" s="18" t="s">
        <v>397</v>
      </c>
      <c r="O2895" s="27" t="n">
        <v>1</v>
      </c>
      <c r="P2895" s="15" t="n">
        <f aca="false">IF(A2895="","",IF(O2895&lt;&gt;"",O2895,IF(L2895&lt;&gt;"",L2895,F2895)))</f>
        <v>1</v>
      </c>
    </row>
    <row r="2896" customFormat="false" ht="15" hidden="false" customHeight="true" outlineLevel="0" collapsed="false">
      <c r="A2896" s="30" t="s">
        <v>334</v>
      </c>
      <c r="B2896" s="30" t="s">
        <v>335</v>
      </c>
      <c r="C2896" s="21" t="n">
        <f aca="false">IF(A2896="","",IFERROR(VLOOKUP(A2896,'Recert Status'!$A$8:$C$400,3,FALSE()),""))</f>
        <v>46752</v>
      </c>
      <c r="D2896" s="31" t="s">
        <v>560</v>
      </c>
      <c r="E2896" s="30" t="s">
        <v>452</v>
      </c>
      <c r="F2896" s="32" t="n">
        <v>1</v>
      </c>
      <c r="G2896" s="33" t="n">
        <v>46173</v>
      </c>
      <c r="H2896" s="33" t="n">
        <v>46173</v>
      </c>
      <c r="I2896" s="31" t="s">
        <v>1760</v>
      </c>
      <c r="J2896" s="30" t="s">
        <v>452</v>
      </c>
      <c r="K2896" s="31" t="s">
        <v>385</v>
      </c>
      <c r="L2896" s="32" t="n">
        <v>1</v>
      </c>
      <c r="M2896" s="36" t="s">
        <v>396</v>
      </c>
      <c r="N2896" s="31" t="s">
        <v>397</v>
      </c>
      <c r="O2896" s="32" t="n">
        <v>1</v>
      </c>
      <c r="P2896" s="15" t="n">
        <f aca="false">IF(A2896="","",IF(O2896&lt;&gt;"",O2896,IF(L2896&lt;&gt;"",L2896,F2896)))</f>
        <v>1</v>
      </c>
    </row>
    <row r="2897" customFormat="false" ht="15" hidden="false" customHeight="true" outlineLevel="0" collapsed="false">
      <c r="A2897" s="26" t="s">
        <v>334</v>
      </c>
      <c r="B2897" s="26" t="s">
        <v>335</v>
      </c>
      <c r="C2897" s="14" t="n">
        <f aca="false">IF(A2897="","",IFERROR(VLOOKUP(A2897,'Recert Status'!$A$8:$C$400,3,FALSE()),""))</f>
        <v>46752</v>
      </c>
      <c r="D2897" s="18" t="s">
        <v>397</v>
      </c>
      <c r="E2897" s="26" t="s">
        <v>452</v>
      </c>
      <c r="F2897" s="27" t="n">
        <v>2</v>
      </c>
      <c r="G2897" s="28" t="n">
        <v>46236</v>
      </c>
      <c r="H2897" s="28" t="n">
        <v>46236</v>
      </c>
      <c r="I2897" s="18" t="s">
        <v>966</v>
      </c>
      <c r="J2897" s="26" t="s">
        <v>452</v>
      </c>
      <c r="K2897" s="18" t="s">
        <v>385</v>
      </c>
      <c r="L2897" s="27" t="n">
        <v>2</v>
      </c>
      <c r="M2897" s="36" t="s">
        <v>396</v>
      </c>
      <c r="N2897" s="18" t="s">
        <v>397</v>
      </c>
      <c r="O2897" s="27" t="n">
        <v>2</v>
      </c>
      <c r="P2897" s="15" t="n">
        <f aca="false">IF(A2897="","",IF(O2897&lt;&gt;"",O2897,IF(L2897&lt;&gt;"",L2897,F2897)))</f>
        <v>2</v>
      </c>
    </row>
    <row r="2898" customFormat="false" ht="15" hidden="false" customHeight="true" outlineLevel="0" collapsed="false">
      <c r="A2898" s="30" t="s">
        <v>334</v>
      </c>
      <c r="B2898" s="30" t="s">
        <v>335</v>
      </c>
      <c r="C2898" s="21" t="n">
        <f aca="false">IF(A2898="","",IFERROR(VLOOKUP(A2898,'Recert Status'!$A$8:$C$400,3,FALSE()),""))</f>
        <v>46752</v>
      </c>
      <c r="D2898" s="31" t="s">
        <v>397</v>
      </c>
      <c r="E2898" s="30" t="s">
        <v>452</v>
      </c>
      <c r="F2898" s="32" t="n">
        <v>1</v>
      </c>
      <c r="G2898" s="33" t="n">
        <v>46245</v>
      </c>
      <c r="H2898" s="33" t="n">
        <v>46245</v>
      </c>
      <c r="I2898" s="31" t="s">
        <v>605</v>
      </c>
      <c r="J2898" s="30" t="s">
        <v>452</v>
      </c>
      <c r="K2898" s="31" t="s">
        <v>385</v>
      </c>
      <c r="L2898" s="32" t="n">
        <v>1</v>
      </c>
      <c r="M2898" s="36" t="s">
        <v>396</v>
      </c>
      <c r="N2898" s="31" t="s">
        <v>397</v>
      </c>
      <c r="O2898" s="32" t="n">
        <v>1</v>
      </c>
      <c r="P2898" s="15" t="n">
        <f aca="false">IF(A2898="","",IF(O2898&lt;&gt;"",O2898,IF(L2898&lt;&gt;"",L2898,F2898)))</f>
        <v>1</v>
      </c>
    </row>
    <row r="2899" customFormat="false" ht="15" hidden="false" customHeight="true" outlineLevel="0" collapsed="false">
      <c r="A2899" s="26" t="s">
        <v>334</v>
      </c>
      <c r="B2899" s="26" t="s">
        <v>335</v>
      </c>
      <c r="C2899" s="14" t="n">
        <f aca="false">IF(A2899="","",IFERROR(VLOOKUP(A2899,'Recert Status'!$A$8:$C$400,3,FALSE()),""))</f>
        <v>46752</v>
      </c>
      <c r="D2899" s="18" t="s">
        <v>876</v>
      </c>
      <c r="E2899" s="26" t="s">
        <v>416</v>
      </c>
      <c r="F2899" s="27" t="n">
        <v>1</v>
      </c>
      <c r="G2899" s="28" t="n">
        <v>45721</v>
      </c>
      <c r="H2899" s="28" t="n">
        <v>45721</v>
      </c>
      <c r="I2899" s="18" t="s">
        <v>1761</v>
      </c>
      <c r="J2899" s="26" t="s">
        <v>416</v>
      </c>
      <c r="K2899" s="18" t="s">
        <v>418</v>
      </c>
      <c r="L2899" s="27" t="n">
        <v>1</v>
      </c>
      <c r="M2899" s="39" t="s">
        <v>413</v>
      </c>
      <c r="N2899" s="18" t="s">
        <v>414</v>
      </c>
      <c r="O2899" s="27" t="n">
        <v>1</v>
      </c>
      <c r="P2899" s="15" t="n">
        <f aca="false">IF(A2899="","",IF(O2899&lt;&gt;"",O2899,IF(L2899&lt;&gt;"",L2899,F2899)))</f>
        <v>1</v>
      </c>
    </row>
    <row r="2900" customFormat="false" ht="15" hidden="false" customHeight="true" outlineLevel="0" collapsed="false">
      <c r="A2900" s="30" t="s">
        <v>334</v>
      </c>
      <c r="B2900" s="30" t="s">
        <v>335</v>
      </c>
      <c r="C2900" s="21" t="n">
        <f aca="false">IF(A2900="","",IFERROR(VLOOKUP(A2900,'Recert Status'!$A$8:$C$400,3,FALSE()),""))</f>
        <v>46752</v>
      </c>
      <c r="D2900" s="31" t="s">
        <v>692</v>
      </c>
      <c r="E2900" s="30" t="s">
        <v>416</v>
      </c>
      <c r="F2900" s="32" t="n">
        <v>0.5</v>
      </c>
      <c r="G2900" s="33" t="n">
        <v>45780</v>
      </c>
      <c r="H2900" s="33" t="n">
        <v>45780</v>
      </c>
      <c r="I2900" s="31" t="s">
        <v>693</v>
      </c>
      <c r="J2900" s="30" t="s">
        <v>416</v>
      </c>
      <c r="K2900" s="31" t="s">
        <v>490</v>
      </c>
      <c r="L2900" s="32" t="n">
        <v>0.5</v>
      </c>
      <c r="M2900" s="39" t="s">
        <v>413</v>
      </c>
      <c r="N2900" s="31" t="s">
        <v>414</v>
      </c>
      <c r="O2900" s="32" t="n">
        <v>0.5</v>
      </c>
      <c r="P2900" s="15" t="n">
        <f aca="false">IF(A2900="","",IF(O2900&lt;&gt;"",O2900,IF(L2900&lt;&gt;"",L2900,F2900)))</f>
        <v>0.5</v>
      </c>
    </row>
    <row r="2901" customFormat="false" ht="15" hidden="false" customHeight="true" outlineLevel="0" collapsed="false">
      <c r="A2901" s="26" t="s">
        <v>334</v>
      </c>
      <c r="B2901" s="26" t="s">
        <v>335</v>
      </c>
      <c r="C2901" s="14" t="n">
        <f aca="false">IF(A2901="","",IFERROR(VLOOKUP(A2901,'Recert Status'!$A$8:$C$400,3,FALSE()),""))</f>
        <v>46752</v>
      </c>
      <c r="D2901" s="18" t="s">
        <v>672</v>
      </c>
      <c r="E2901" s="26" t="s">
        <v>416</v>
      </c>
      <c r="F2901" s="27" t="n">
        <v>1</v>
      </c>
      <c r="G2901" s="28" t="n">
        <v>45825</v>
      </c>
      <c r="H2901" s="28" t="n">
        <v>45825</v>
      </c>
      <c r="I2901" s="18" t="s">
        <v>694</v>
      </c>
      <c r="J2901" s="26" t="s">
        <v>416</v>
      </c>
      <c r="K2901" s="18" t="s">
        <v>490</v>
      </c>
      <c r="L2901" s="27" t="n">
        <v>1</v>
      </c>
      <c r="M2901" s="39" t="s">
        <v>413</v>
      </c>
      <c r="N2901" s="18" t="s">
        <v>414</v>
      </c>
      <c r="O2901" s="27" t="n">
        <v>1</v>
      </c>
      <c r="P2901" s="15" t="n">
        <f aca="false">IF(A2901="","",IF(O2901&lt;&gt;"",O2901,IF(L2901&lt;&gt;"",L2901,F2901)))</f>
        <v>1</v>
      </c>
    </row>
    <row r="2902" customFormat="false" ht="15" hidden="false" customHeight="true" outlineLevel="0" collapsed="false">
      <c r="A2902" s="30" t="s">
        <v>334</v>
      </c>
      <c r="B2902" s="30" t="s">
        <v>335</v>
      </c>
      <c r="C2902" s="21" t="n">
        <f aca="false">IF(A2902="","",IFERROR(VLOOKUP(A2902,'Recert Status'!$A$8:$C$400,3,FALSE()),""))</f>
        <v>46752</v>
      </c>
      <c r="D2902" s="31" t="s">
        <v>1252</v>
      </c>
      <c r="E2902" s="30" t="s">
        <v>416</v>
      </c>
      <c r="F2902" s="32" t="n">
        <v>2</v>
      </c>
      <c r="G2902" s="33" t="n">
        <v>45972</v>
      </c>
      <c r="H2902" s="33" t="n">
        <v>45972</v>
      </c>
      <c r="I2902" s="31" t="s">
        <v>1253</v>
      </c>
      <c r="J2902" s="30" t="s">
        <v>416</v>
      </c>
      <c r="K2902" s="31" t="s">
        <v>523</v>
      </c>
      <c r="L2902" s="32" t="n">
        <v>2</v>
      </c>
      <c r="M2902" s="39" t="s">
        <v>413</v>
      </c>
      <c r="N2902" s="31" t="s">
        <v>414</v>
      </c>
      <c r="O2902" s="32" t="n">
        <v>2</v>
      </c>
      <c r="P2902" s="15" t="n">
        <f aca="false">IF(A2902="","",IF(O2902&lt;&gt;"",O2902,IF(L2902&lt;&gt;"",L2902,F2902)))</f>
        <v>2</v>
      </c>
    </row>
    <row r="2903" customFormat="false" ht="15" hidden="false" customHeight="true" outlineLevel="0" collapsed="false">
      <c r="A2903" s="26" t="s">
        <v>334</v>
      </c>
      <c r="B2903" s="26" t="s">
        <v>335</v>
      </c>
      <c r="C2903" s="14" t="n">
        <f aca="false">IF(A2903="","",IFERROR(VLOOKUP(A2903,'Recert Status'!$A$8:$C$400,3,FALSE()),""))</f>
        <v>46752</v>
      </c>
      <c r="D2903" s="18" t="s">
        <v>488</v>
      </c>
      <c r="E2903" s="26" t="s">
        <v>416</v>
      </c>
      <c r="F2903" s="27" t="n">
        <v>1</v>
      </c>
      <c r="G2903" s="28" t="n">
        <v>46128</v>
      </c>
      <c r="H2903" s="28" t="n">
        <v>46128</v>
      </c>
      <c r="I2903" s="18" t="s">
        <v>609</v>
      </c>
      <c r="J2903" s="26" t="s">
        <v>416</v>
      </c>
      <c r="K2903" s="18" t="s">
        <v>490</v>
      </c>
      <c r="L2903" s="27" t="n">
        <v>1</v>
      </c>
      <c r="M2903" s="39" t="s">
        <v>413</v>
      </c>
      <c r="N2903" s="18" t="s">
        <v>414</v>
      </c>
      <c r="O2903" s="27" t="n">
        <v>1</v>
      </c>
      <c r="P2903" s="15" t="n">
        <f aca="false">IF(A2903="","",IF(O2903&lt;&gt;"",O2903,IF(L2903&lt;&gt;"",L2903,F2903)))</f>
        <v>1</v>
      </c>
    </row>
    <row r="2904" customFormat="false" ht="15" hidden="false" customHeight="true" outlineLevel="0" collapsed="false">
      <c r="A2904" s="30" t="s">
        <v>334</v>
      </c>
      <c r="B2904" s="30" t="s">
        <v>335</v>
      </c>
      <c r="C2904" s="21" t="n">
        <f aca="false">IF(A2904="","",IFERROR(VLOOKUP(A2904,'Recert Status'!$A$8:$C$400,3,FALSE()),""))</f>
        <v>46752</v>
      </c>
      <c r="D2904" s="31" t="s">
        <v>414</v>
      </c>
      <c r="E2904" s="30" t="s">
        <v>416</v>
      </c>
      <c r="F2904" s="32" t="n">
        <v>2</v>
      </c>
      <c r="G2904" s="33" t="n">
        <v>46218</v>
      </c>
      <c r="H2904" s="33" t="n">
        <v>46218</v>
      </c>
      <c r="I2904" s="31" t="s">
        <v>535</v>
      </c>
      <c r="J2904" s="30" t="s">
        <v>416</v>
      </c>
      <c r="K2904" s="31" t="s">
        <v>418</v>
      </c>
      <c r="L2904" s="32" t="n">
        <v>2</v>
      </c>
      <c r="M2904" s="39" t="s">
        <v>413</v>
      </c>
      <c r="N2904" s="31" t="s">
        <v>414</v>
      </c>
      <c r="O2904" s="32" t="n">
        <v>2</v>
      </c>
      <c r="P2904" s="15" t="n">
        <f aca="false">IF(A2904="","",IF(O2904&lt;&gt;"",O2904,IF(L2904&lt;&gt;"",L2904,F2904)))</f>
        <v>2</v>
      </c>
    </row>
    <row r="2905" customFormat="false" ht="15" hidden="false" customHeight="true" outlineLevel="0" collapsed="false">
      <c r="A2905" s="26" t="s">
        <v>336</v>
      </c>
      <c r="B2905" s="26" t="s">
        <v>337</v>
      </c>
      <c r="C2905" s="14" t="n">
        <f aca="false">IF(A2905="","",IFERROR(VLOOKUP(A2905,'Recert Status'!$A$8:$C$400,3,FALSE()),""))</f>
        <v>46387</v>
      </c>
      <c r="D2905" s="18" t="s">
        <v>367</v>
      </c>
      <c r="E2905" s="26" t="s">
        <v>363</v>
      </c>
      <c r="F2905" s="27" t="n">
        <v>1</v>
      </c>
      <c r="G2905" s="28" t="n">
        <v>46239</v>
      </c>
      <c r="H2905" s="28" t="n">
        <v>46239</v>
      </c>
      <c r="I2905" s="18" t="s">
        <v>1762</v>
      </c>
      <c r="J2905" s="26" t="s">
        <v>363</v>
      </c>
      <c r="K2905" s="18" t="s">
        <v>370</v>
      </c>
      <c r="L2905" s="27" t="n">
        <v>1</v>
      </c>
      <c r="M2905" s="29" t="s">
        <v>366</v>
      </c>
      <c r="N2905" s="18" t="s">
        <v>367</v>
      </c>
      <c r="O2905" s="27" t="n">
        <v>1</v>
      </c>
      <c r="P2905" s="15" t="n">
        <f aca="false">IF(A2905="","",IF(O2905&lt;&gt;"",O2905,IF(L2905&lt;&gt;"",L2905,F2905)))</f>
        <v>1</v>
      </c>
    </row>
    <row r="2906" customFormat="false" ht="15" hidden="false" customHeight="true" outlineLevel="0" collapsed="false">
      <c r="A2906" s="30" t="s">
        <v>336</v>
      </c>
      <c r="B2906" s="30" t="s">
        <v>337</v>
      </c>
      <c r="C2906" s="21" t="n">
        <f aca="false">IF(A2906="","",IFERROR(VLOOKUP(A2906,'Recert Status'!$A$8:$C$400,3,FALSE()),""))</f>
        <v>46387</v>
      </c>
      <c r="D2906" s="31" t="s">
        <v>367</v>
      </c>
      <c r="E2906" s="30" t="s">
        <v>363</v>
      </c>
      <c r="F2906" s="32" t="n">
        <v>1</v>
      </c>
      <c r="G2906" s="33" t="n">
        <v>46239</v>
      </c>
      <c r="H2906" s="33" t="n">
        <v>46239</v>
      </c>
      <c r="I2906" s="31" t="s">
        <v>1763</v>
      </c>
      <c r="J2906" s="30" t="s">
        <v>363</v>
      </c>
      <c r="K2906" s="31" t="s">
        <v>370</v>
      </c>
      <c r="L2906" s="32" t="n">
        <v>1</v>
      </c>
      <c r="M2906" s="29" t="s">
        <v>366</v>
      </c>
      <c r="N2906" s="31" t="s">
        <v>367</v>
      </c>
      <c r="O2906" s="32" t="n">
        <v>1</v>
      </c>
      <c r="P2906" s="15" t="n">
        <f aca="false">IF(A2906="","",IF(O2906&lt;&gt;"",O2906,IF(L2906&lt;&gt;"",L2906,F2906)))</f>
        <v>1</v>
      </c>
    </row>
    <row r="2907" customFormat="false" ht="15" hidden="false" customHeight="true" outlineLevel="0" collapsed="false">
      <c r="A2907" s="26" t="s">
        <v>336</v>
      </c>
      <c r="B2907" s="26" t="s">
        <v>337</v>
      </c>
      <c r="C2907" s="14" t="n">
        <f aca="false">IF(A2907="","",IFERROR(VLOOKUP(A2907,'Recert Status'!$A$8:$C$400,3,FALSE()),""))</f>
        <v>46387</v>
      </c>
      <c r="D2907" s="18" t="s">
        <v>449</v>
      </c>
      <c r="E2907" s="26" t="s">
        <v>426</v>
      </c>
      <c r="F2907" s="27" t="n">
        <v>2</v>
      </c>
      <c r="G2907" s="28" t="n">
        <v>45912</v>
      </c>
      <c r="H2907" s="28" t="n">
        <v>45912</v>
      </c>
      <c r="I2907" s="18" t="s">
        <v>1764</v>
      </c>
      <c r="J2907" s="26" t="s">
        <v>426</v>
      </c>
      <c r="K2907" s="18" t="s">
        <v>523</v>
      </c>
      <c r="L2907" s="27" t="n">
        <v>2</v>
      </c>
      <c r="M2907" s="41" t="s">
        <v>429</v>
      </c>
      <c r="N2907" s="18" t="s">
        <v>430</v>
      </c>
      <c r="O2907" s="27" t="n">
        <v>2</v>
      </c>
      <c r="P2907" s="15" t="n">
        <f aca="false">IF(A2907="","",IF(O2907&lt;&gt;"",O2907,IF(L2907&lt;&gt;"",L2907,F2907)))</f>
        <v>2</v>
      </c>
    </row>
    <row r="2908" customFormat="false" ht="15" hidden="false" customHeight="true" outlineLevel="0" collapsed="false">
      <c r="A2908" s="30" t="s">
        <v>336</v>
      </c>
      <c r="B2908" s="30" t="s">
        <v>337</v>
      </c>
      <c r="C2908" s="21" t="n">
        <f aca="false">IF(A2908="","",IFERROR(VLOOKUP(A2908,'Recert Status'!$A$8:$C$400,3,FALSE()),""))</f>
        <v>46387</v>
      </c>
      <c r="D2908" s="31" t="s">
        <v>430</v>
      </c>
      <c r="E2908" s="30" t="s">
        <v>426</v>
      </c>
      <c r="F2908" s="32" t="n">
        <v>2</v>
      </c>
      <c r="G2908" s="33" t="n">
        <v>46245</v>
      </c>
      <c r="H2908" s="33" t="n">
        <v>46245</v>
      </c>
      <c r="I2908" s="31" t="s">
        <v>1765</v>
      </c>
      <c r="J2908" s="30" t="s">
        <v>426</v>
      </c>
      <c r="K2908" s="31" t="s">
        <v>428</v>
      </c>
      <c r="L2908" s="32" t="n">
        <v>2</v>
      </c>
      <c r="M2908" s="41" t="s">
        <v>429</v>
      </c>
      <c r="N2908" s="31" t="s">
        <v>430</v>
      </c>
      <c r="O2908" s="32" t="n">
        <v>2</v>
      </c>
      <c r="P2908" s="15" t="n">
        <f aca="false">IF(A2908="","",IF(O2908&lt;&gt;"",O2908,IF(L2908&lt;&gt;"",L2908,F2908)))</f>
        <v>2</v>
      </c>
    </row>
    <row r="2909" customFormat="false" ht="15" hidden="false" customHeight="true" outlineLevel="0" collapsed="false">
      <c r="A2909" s="26" t="s">
        <v>336</v>
      </c>
      <c r="B2909" s="26" t="s">
        <v>337</v>
      </c>
      <c r="C2909" s="14" t="n">
        <f aca="false">IF(A2909="","",IFERROR(VLOOKUP(A2909,'Recert Status'!$A$8:$C$400,3,FALSE()),""))</f>
        <v>46387</v>
      </c>
      <c r="D2909" s="18" t="s">
        <v>376</v>
      </c>
      <c r="E2909" s="26" t="s">
        <v>372</v>
      </c>
      <c r="F2909" s="27" t="n">
        <v>0.5</v>
      </c>
      <c r="G2909" s="28" t="n">
        <v>46233</v>
      </c>
      <c r="H2909" s="28" t="n">
        <v>46233</v>
      </c>
      <c r="I2909" s="18" t="s">
        <v>1367</v>
      </c>
      <c r="J2909" s="26" t="s">
        <v>372</v>
      </c>
      <c r="K2909" s="18" t="s">
        <v>374</v>
      </c>
      <c r="L2909" s="27" t="n">
        <v>0.5</v>
      </c>
      <c r="M2909" s="34" t="s">
        <v>375</v>
      </c>
      <c r="N2909" s="18" t="s">
        <v>376</v>
      </c>
      <c r="O2909" s="27" t="n">
        <v>0.5</v>
      </c>
      <c r="P2909" s="15" t="n">
        <f aca="false">IF(A2909="","",IF(O2909&lt;&gt;"",O2909,IF(L2909&lt;&gt;"",L2909,F2909)))</f>
        <v>0.5</v>
      </c>
    </row>
    <row r="2910" customFormat="false" ht="15" hidden="false" customHeight="true" outlineLevel="0" collapsed="false">
      <c r="A2910" s="30" t="s">
        <v>336</v>
      </c>
      <c r="B2910" s="30" t="s">
        <v>337</v>
      </c>
      <c r="C2910" s="21" t="n">
        <f aca="false">IF(A2910="","",IFERROR(VLOOKUP(A2910,'Recert Status'!$A$8:$C$400,3,FALSE()),""))</f>
        <v>46387</v>
      </c>
      <c r="D2910" s="31" t="s">
        <v>387</v>
      </c>
      <c r="E2910" s="30" t="s">
        <v>389</v>
      </c>
      <c r="F2910" s="32" t="n">
        <v>1</v>
      </c>
      <c r="G2910" s="33" t="n">
        <v>46233</v>
      </c>
      <c r="H2910" s="33" t="n">
        <v>46233</v>
      </c>
      <c r="I2910" s="31" t="s">
        <v>1766</v>
      </c>
      <c r="J2910" s="30" t="s">
        <v>389</v>
      </c>
      <c r="K2910" s="31" t="s">
        <v>735</v>
      </c>
      <c r="L2910" s="32" t="n">
        <v>1</v>
      </c>
      <c r="M2910" s="35" t="s">
        <v>386</v>
      </c>
      <c r="N2910" s="31" t="s">
        <v>387</v>
      </c>
      <c r="O2910" s="32" t="n">
        <v>1</v>
      </c>
      <c r="P2910" s="15" t="n">
        <f aca="false">IF(A2910="","",IF(O2910&lt;&gt;"",O2910,IF(L2910&lt;&gt;"",L2910,F2910)))</f>
        <v>1</v>
      </c>
    </row>
    <row r="2911" customFormat="false" ht="15" hidden="false" customHeight="true" outlineLevel="0" collapsed="false">
      <c r="A2911" s="26" t="s">
        <v>336</v>
      </c>
      <c r="B2911" s="26" t="s">
        <v>337</v>
      </c>
      <c r="C2911" s="14" t="n">
        <f aca="false">IF(A2911="","",IFERROR(VLOOKUP(A2911,'Recert Status'!$A$8:$C$400,3,FALSE()),""))</f>
        <v>46387</v>
      </c>
      <c r="D2911" s="18" t="s">
        <v>387</v>
      </c>
      <c r="E2911" s="26" t="s">
        <v>389</v>
      </c>
      <c r="F2911" s="27" t="n">
        <v>1</v>
      </c>
      <c r="G2911" s="28" t="n">
        <v>46239</v>
      </c>
      <c r="H2911" s="28" t="n">
        <v>46239</v>
      </c>
      <c r="I2911" s="18" t="s">
        <v>1767</v>
      </c>
      <c r="J2911" s="26" t="s">
        <v>389</v>
      </c>
      <c r="K2911" s="18" t="s">
        <v>451</v>
      </c>
      <c r="L2911" s="27" t="n">
        <v>1</v>
      </c>
      <c r="M2911" s="35" t="s">
        <v>386</v>
      </c>
      <c r="N2911" s="18" t="s">
        <v>387</v>
      </c>
      <c r="O2911" s="27" t="n">
        <v>1</v>
      </c>
      <c r="P2911" s="15" t="n">
        <f aca="false">IF(A2911="","",IF(O2911&lt;&gt;"",O2911,IF(L2911&lt;&gt;"",L2911,F2911)))</f>
        <v>1</v>
      </c>
    </row>
    <row r="2912" customFormat="false" ht="15" hidden="false" customHeight="true" outlineLevel="0" collapsed="false">
      <c r="A2912" s="30" t="s">
        <v>336</v>
      </c>
      <c r="B2912" s="30" t="s">
        <v>337</v>
      </c>
      <c r="C2912" s="21" t="n">
        <f aca="false">IF(A2912="","",IFERROR(VLOOKUP(A2912,'Recert Status'!$A$8:$C$400,3,FALSE()),""))</f>
        <v>46387</v>
      </c>
      <c r="D2912" s="31" t="s">
        <v>387</v>
      </c>
      <c r="E2912" s="30" t="s">
        <v>389</v>
      </c>
      <c r="F2912" s="32" t="n">
        <v>1</v>
      </c>
      <c r="G2912" s="33" t="n">
        <v>46239</v>
      </c>
      <c r="H2912" s="33" t="n">
        <v>46239</v>
      </c>
      <c r="I2912" s="31" t="s">
        <v>1768</v>
      </c>
      <c r="J2912" s="30" t="s">
        <v>389</v>
      </c>
      <c r="K2912" s="31" t="s">
        <v>451</v>
      </c>
      <c r="L2912" s="32" t="n">
        <v>1</v>
      </c>
      <c r="M2912" s="35" t="s">
        <v>386</v>
      </c>
      <c r="N2912" s="31" t="s">
        <v>387</v>
      </c>
      <c r="O2912" s="32" t="n">
        <v>1</v>
      </c>
      <c r="P2912" s="15" t="n">
        <f aca="false">IF(A2912="","",IF(O2912&lt;&gt;"",O2912,IF(L2912&lt;&gt;"",L2912,F2912)))</f>
        <v>1</v>
      </c>
    </row>
    <row r="2913" customFormat="false" ht="15" hidden="false" customHeight="true" outlineLevel="0" collapsed="false">
      <c r="A2913" s="26" t="s">
        <v>336</v>
      </c>
      <c r="B2913" s="26" t="s">
        <v>337</v>
      </c>
      <c r="C2913" s="14" t="n">
        <f aca="false">IF(A2913="","",IFERROR(VLOOKUP(A2913,'Recert Status'!$A$8:$C$400,3,FALSE()),""))</f>
        <v>46387</v>
      </c>
      <c r="D2913" s="18" t="s">
        <v>387</v>
      </c>
      <c r="E2913" s="26" t="s">
        <v>389</v>
      </c>
      <c r="F2913" s="27" t="n">
        <v>1</v>
      </c>
      <c r="G2913" s="28" t="n">
        <v>46242</v>
      </c>
      <c r="H2913" s="28" t="n">
        <v>46242</v>
      </c>
      <c r="I2913" s="18" t="s">
        <v>1769</v>
      </c>
      <c r="J2913" s="26" t="s">
        <v>389</v>
      </c>
      <c r="K2913" s="18" t="s">
        <v>451</v>
      </c>
      <c r="L2913" s="27" t="n">
        <v>1</v>
      </c>
      <c r="M2913" s="35" t="s">
        <v>386</v>
      </c>
      <c r="N2913" s="18" t="s">
        <v>387</v>
      </c>
      <c r="O2913" s="27" t="n">
        <v>1</v>
      </c>
      <c r="P2913" s="15" t="n">
        <f aca="false">IF(A2913="","",IF(O2913&lt;&gt;"",O2913,IF(L2913&lt;&gt;"",L2913,F2913)))</f>
        <v>1</v>
      </c>
    </row>
    <row r="2914" customFormat="false" ht="15" hidden="false" customHeight="true" outlineLevel="0" collapsed="false">
      <c r="A2914" s="30" t="s">
        <v>336</v>
      </c>
      <c r="B2914" s="30" t="s">
        <v>337</v>
      </c>
      <c r="C2914" s="21" t="n">
        <f aca="false">IF(A2914="","",IFERROR(VLOOKUP(A2914,'Recert Status'!$A$8:$C$400,3,FALSE()),""))</f>
        <v>46387</v>
      </c>
      <c r="D2914" s="31" t="s">
        <v>387</v>
      </c>
      <c r="E2914" s="30" t="s">
        <v>389</v>
      </c>
      <c r="F2914" s="32" t="n">
        <v>1</v>
      </c>
      <c r="G2914" s="33" t="n">
        <v>46242</v>
      </c>
      <c r="H2914" s="33" t="n">
        <v>46242</v>
      </c>
      <c r="I2914" s="31" t="s">
        <v>1770</v>
      </c>
      <c r="J2914" s="30" t="s">
        <v>389</v>
      </c>
      <c r="K2914" s="31" t="s">
        <v>436</v>
      </c>
      <c r="L2914" s="32" t="n">
        <v>1</v>
      </c>
      <c r="M2914" s="35" t="s">
        <v>386</v>
      </c>
      <c r="N2914" s="31" t="s">
        <v>387</v>
      </c>
      <c r="O2914" s="32" t="n">
        <v>1</v>
      </c>
      <c r="P2914" s="15" t="n">
        <f aca="false">IF(A2914="","",IF(O2914&lt;&gt;"",O2914,IF(L2914&lt;&gt;"",L2914,F2914)))</f>
        <v>1</v>
      </c>
    </row>
    <row r="2915" customFormat="false" ht="15" hidden="false" customHeight="true" outlineLevel="0" collapsed="false">
      <c r="A2915" s="26" t="s">
        <v>336</v>
      </c>
      <c r="B2915" s="26" t="s">
        <v>337</v>
      </c>
      <c r="C2915" s="14" t="n">
        <f aca="false">IF(A2915="","",IFERROR(VLOOKUP(A2915,'Recert Status'!$A$8:$C$400,3,FALSE()),""))</f>
        <v>46387</v>
      </c>
      <c r="D2915" s="18" t="s">
        <v>387</v>
      </c>
      <c r="E2915" s="26" t="s">
        <v>389</v>
      </c>
      <c r="F2915" s="27" t="n">
        <v>1</v>
      </c>
      <c r="G2915" s="28" t="n">
        <v>46257</v>
      </c>
      <c r="H2915" s="28" t="n">
        <v>46257</v>
      </c>
      <c r="I2915" s="18" t="s">
        <v>1771</v>
      </c>
      <c r="J2915" s="26" t="s">
        <v>389</v>
      </c>
      <c r="K2915" s="18" t="s">
        <v>451</v>
      </c>
      <c r="L2915" s="27" t="n">
        <v>1</v>
      </c>
      <c r="M2915" s="35" t="s">
        <v>386</v>
      </c>
      <c r="N2915" s="18" t="s">
        <v>387</v>
      </c>
      <c r="O2915" s="27" t="n">
        <v>1</v>
      </c>
      <c r="P2915" s="15" t="n">
        <f aca="false">IF(A2915="","",IF(O2915&lt;&gt;"",O2915,IF(L2915&lt;&gt;"",L2915,F2915)))</f>
        <v>1</v>
      </c>
    </row>
    <row r="2916" customFormat="false" ht="15" hidden="false" customHeight="true" outlineLevel="0" collapsed="false">
      <c r="A2916" s="30" t="s">
        <v>336</v>
      </c>
      <c r="B2916" s="30" t="s">
        <v>337</v>
      </c>
      <c r="C2916" s="21" t="n">
        <f aca="false">IF(A2916="","",IFERROR(VLOOKUP(A2916,'Recert Status'!$A$8:$C$400,3,FALSE()),""))</f>
        <v>46387</v>
      </c>
      <c r="D2916" s="31" t="s">
        <v>397</v>
      </c>
      <c r="E2916" s="30" t="s">
        <v>452</v>
      </c>
      <c r="F2916" s="32" t="n">
        <v>1</v>
      </c>
      <c r="G2916" s="33" t="n">
        <v>46242</v>
      </c>
      <c r="H2916" s="33" t="n">
        <v>46242</v>
      </c>
      <c r="I2916" s="31" t="s">
        <v>1772</v>
      </c>
      <c r="J2916" s="30" t="s">
        <v>452</v>
      </c>
      <c r="K2916" s="31" t="s">
        <v>385</v>
      </c>
      <c r="L2916" s="32" t="n">
        <v>1</v>
      </c>
      <c r="M2916" s="36" t="s">
        <v>396</v>
      </c>
      <c r="N2916" s="31" t="s">
        <v>397</v>
      </c>
      <c r="O2916" s="32" t="n">
        <v>1</v>
      </c>
      <c r="P2916" s="15" t="n">
        <f aca="false">IF(A2916="","",IF(O2916&lt;&gt;"",O2916,IF(L2916&lt;&gt;"",L2916,F2916)))</f>
        <v>1</v>
      </c>
    </row>
    <row r="2917" customFormat="false" ht="15" hidden="false" customHeight="true" outlineLevel="0" collapsed="false">
      <c r="A2917" s="26" t="s">
        <v>336</v>
      </c>
      <c r="B2917" s="26" t="s">
        <v>337</v>
      </c>
      <c r="C2917" s="14" t="n">
        <f aca="false">IF(A2917="","",IFERROR(VLOOKUP(A2917,'Recert Status'!$A$8:$C$400,3,FALSE()),""))</f>
        <v>46387</v>
      </c>
      <c r="D2917" s="18" t="s">
        <v>397</v>
      </c>
      <c r="E2917" s="26" t="s">
        <v>452</v>
      </c>
      <c r="F2917" s="27" t="n">
        <v>1</v>
      </c>
      <c r="G2917" s="28" t="n">
        <v>46242</v>
      </c>
      <c r="H2917" s="28" t="n">
        <v>46242</v>
      </c>
      <c r="I2917" s="18" t="s">
        <v>1773</v>
      </c>
      <c r="J2917" s="26" t="s">
        <v>452</v>
      </c>
      <c r="K2917" s="18" t="s">
        <v>385</v>
      </c>
      <c r="L2917" s="27" t="n">
        <v>1</v>
      </c>
      <c r="M2917" s="36" t="s">
        <v>396</v>
      </c>
      <c r="N2917" s="18" t="s">
        <v>397</v>
      </c>
      <c r="O2917" s="27" t="n">
        <v>1</v>
      </c>
      <c r="P2917" s="15" t="n">
        <f aca="false">IF(A2917="","",IF(O2917&lt;&gt;"",O2917,IF(L2917&lt;&gt;"",L2917,F2917)))</f>
        <v>1</v>
      </c>
    </row>
    <row r="2918" customFormat="false" ht="15" hidden="false" customHeight="true" outlineLevel="0" collapsed="false">
      <c r="A2918" s="30" t="s">
        <v>336</v>
      </c>
      <c r="B2918" s="30" t="s">
        <v>337</v>
      </c>
      <c r="C2918" s="21" t="n">
        <f aca="false">IF(A2918="","",IFERROR(VLOOKUP(A2918,'Recert Status'!$A$8:$C$400,3,FALSE()),""))</f>
        <v>46387</v>
      </c>
      <c r="D2918" s="31" t="s">
        <v>397</v>
      </c>
      <c r="E2918" s="30" t="s">
        <v>452</v>
      </c>
      <c r="F2918" s="32" t="n">
        <v>1</v>
      </c>
      <c r="G2918" s="33" t="n">
        <v>46245</v>
      </c>
      <c r="H2918" s="33" t="n">
        <v>46245</v>
      </c>
      <c r="I2918" s="31" t="s">
        <v>1774</v>
      </c>
      <c r="J2918" s="30" t="s">
        <v>452</v>
      </c>
      <c r="K2918" s="31" t="s">
        <v>385</v>
      </c>
      <c r="L2918" s="32" t="n">
        <v>1</v>
      </c>
      <c r="M2918" s="36" t="s">
        <v>396</v>
      </c>
      <c r="N2918" s="31" t="s">
        <v>397</v>
      </c>
      <c r="O2918" s="32" t="n">
        <v>1</v>
      </c>
      <c r="P2918" s="15" t="n">
        <f aca="false">IF(A2918="","",IF(O2918&lt;&gt;"",O2918,IF(L2918&lt;&gt;"",L2918,F2918)))</f>
        <v>1</v>
      </c>
    </row>
    <row r="2919" customFormat="false" ht="15" hidden="false" customHeight="true" outlineLevel="0" collapsed="false">
      <c r="A2919" s="26" t="s">
        <v>336</v>
      </c>
      <c r="B2919" s="26" t="s">
        <v>337</v>
      </c>
      <c r="C2919" s="14" t="n">
        <f aca="false">IF(A2919="","",IFERROR(VLOOKUP(A2919,'Recert Status'!$A$8:$C$400,3,FALSE()),""))</f>
        <v>46387</v>
      </c>
      <c r="D2919" s="18" t="s">
        <v>397</v>
      </c>
      <c r="E2919" s="26" t="s">
        <v>452</v>
      </c>
      <c r="F2919" s="27" t="n">
        <v>1</v>
      </c>
      <c r="G2919" s="28" t="n">
        <v>46245</v>
      </c>
      <c r="H2919" s="28" t="n">
        <v>46245</v>
      </c>
      <c r="I2919" s="18" t="s">
        <v>1775</v>
      </c>
      <c r="J2919" s="26" t="s">
        <v>452</v>
      </c>
      <c r="K2919" s="18" t="s">
        <v>385</v>
      </c>
      <c r="L2919" s="27" t="n">
        <v>1</v>
      </c>
      <c r="M2919" s="36" t="s">
        <v>396</v>
      </c>
      <c r="N2919" s="18" t="s">
        <v>397</v>
      </c>
      <c r="O2919" s="27" t="n">
        <v>1</v>
      </c>
      <c r="P2919" s="15" t="n">
        <f aca="false">IF(A2919="","",IF(O2919&lt;&gt;"",O2919,IF(L2919&lt;&gt;"",L2919,F2919)))</f>
        <v>1</v>
      </c>
    </row>
    <row r="2920" customFormat="false" ht="15" hidden="false" customHeight="true" outlineLevel="0" collapsed="false">
      <c r="A2920" s="30" t="s">
        <v>336</v>
      </c>
      <c r="B2920" s="30" t="s">
        <v>337</v>
      </c>
      <c r="C2920" s="21" t="n">
        <f aca="false">IF(A2920="","",IFERROR(VLOOKUP(A2920,'Recert Status'!$A$8:$C$400,3,FALSE()),""))</f>
        <v>46387</v>
      </c>
      <c r="D2920" s="31" t="s">
        <v>397</v>
      </c>
      <c r="E2920" s="30" t="s">
        <v>452</v>
      </c>
      <c r="F2920" s="32" t="n">
        <v>1</v>
      </c>
      <c r="G2920" s="33" t="n">
        <v>46245</v>
      </c>
      <c r="H2920" s="33" t="n">
        <v>46245</v>
      </c>
      <c r="I2920" s="31" t="s">
        <v>1776</v>
      </c>
      <c r="J2920" s="30" t="s">
        <v>452</v>
      </c>
      <c r="K2920" s="31" t="s">
        <v>385</v>
      </c>
      <c r="L2920" s="32" t="n">
        <v>1</v>
      </c>
      <c r="M2920" s="36" t="s">
        <v>396</v>
      </c>
      <c r="N2920" s="31" t="s">
        <v>397</v>
      </c>
      <c r="O2920" s="32" t="n">
        <v>1</v>
      </c>
      <c r="P2920" s="15" t="n">
        <f aca="false">IF(A2920="","",IF(O2920&lt;&gt;"",O2920,IF(L2920&lt;&gt;"",L2920,F2920)))</f>
        <v>1</v>
      </c>
    </row>
    <row r="2921" customFormat="false" ht="15" hidden="false" customHeight="true" outlineLevel="0" collapsed="false">
      <c r="A2921" s="26" t="s">
        <v>336</v>
      </c>
      <c r="B2921" s="26" t="s">
        <v>337</v>
      </c>
      <c r="C2921" s="14" t="n">
        <f aca="false">IF(A2921="","",IFERROR(VLOOKUP(A2921,'Recert Status'!$A$8:$C$400,3,FALSE()),""))</f>
        <v>46387</v>
      </c>
      <c r="D2921" s="18" t="s">
        <v>403</v>
      </c>
      <c r="E2921" s="26" t="s">
        <v>399</v>
      </c>
      <c r="F2921" s="27" t="n">
        <v>1</v>
      </c>
      <c r="G2921" s="28" t="n">
        <v>46233</v>
      </c>
      <c r="H2921" s="28" t="n">
        <v>46233</v>
      </c>
      <c r="I2921" s="18" t="s">
        <v>479</v>
      </c>
      <c r="J2921" s="26" t="s">
        <v>399</v>
      </c>
      <c r="K2921" s="18" t="s">
        <v>401</v>
      </c>
      <c r="L2921" s="27" t="n">
        <v>1</v>
      </c>
      <c r="M2921" s="37" t="s">
        <v>402</v>
      </c>
      <c r="N2921" s="18" t="s">
        <v>403</v>
      </c>
      <c r="O2921" s="27" t="n">
        <v>1</v>
      </c>
      <c r="P2921" s="15" t="n">
        <f aca="false">IF(A2921="","",IF(O2921&lt;&gt;"",O2921,IF(L2921&lt;&gt;"",L2921,F2921)))</f>
        <v>1</v>
      </c>
    </row>
    <row r="2922" customFormat="false" ht="15" hidden="false" customHeight="true" outlineLevel="0" collapsed="false">
      <c r="A2922" s="30" t="s">
        <v>336</v>
      </c>
      <c r="B2922" s="30" t="s">
        <v>337</v>
      </c>
      <c r="C2922" s="21" t="n">
        <f aca="false">IF(A2922="","",IFERROR(VLOOKUP(A2922,'Recert Status'!$A$8:$C$400,3,FALSE()),""))</f>
        <v>46387</v>
      </c>
      <c r="D2922" s="31" t="s">
        <v>414</v>
      </c>
      <c r="E2922" s="30" t="s">
        <v>416</v>
      </c>
      <c r="F2922" s="32" t="n">
        <v>2</v>
      </c>
      <c r="G2922" s="33" t="n">
        <v>46218</v>
      </c>
      <c r="H2922" s="33" t="n">
        <v>46218</v>
      </c>
      <c r="I2922" s="31" t="s">
        <v>535</v>
      </c>
      <c r="J2922" s="30" t="s">
        <v>416</v>
      </c>
      <c r="K2922" s="31" t="s">
        <v>418</v>
      </c>
      <c r="L2922" s="32" t="n">
        <v>2</v>
      </c>
      <c r="M2922" s="39" t="s">
        <v>413</v>
      </c>
      <c r="N2922" s="31" t="s">
        <v>414</v>
      </c>
      <c r="O2922" s="32" t="n">
        <v>2</v>
      </c>
      <c r="P2922" s="15" t="n">
        <f aca="false">IF(A2922="","",IF(O2922&lt;&gt;"",O2922,IF(L2922&lt;&gt;"",L2922,F2922)))</f>
        <v>2</v>
      </c>
    </row>
    <row r="2923" customFormat="false" ht="15" hidden="false" customHeight="true" outlineLevel="0" collapsed="false">
      <c r="A2923" s="26" t="s">
        <v>338</v>
      </c>
      <c r="B2923" s="26" t="s">
        <v>339</v>
      </c>
      <c r="C2923" s="14" t="n">
        <f aca="false">IF(A2923="","",IFERROR(VLOOKUP(A2923,'Recert Status'!$A$8:$C$400,3,FALSE()),""))</f>
        <v>46752</v>
      </c>
      <c r="D2923" s="18" t="s">
        <v>621</v>
      </c>
      <c r="E2923" s="26" t="n">
        <v>29740</v>
      </c>
      <c r="F2923" s="27" t="n">
        <v>0.5</v>
      </c>
      <c r="G2923" s="28" t="n">
        <v>45783</v>
      </c>
      <c r="H2923" s="28" t="n">
        <v>45783</v>
      </c>
      <c r="I2923" s="18" t="s">
        <v>622</v>
      </c>
      <c r="J2923" s="26" t="s">
        <v>394</v>
      </c>
      <c r="K2923" s="18" t="s">
        <v>365</v>
      </c>
      <c r="L2923" s="27" t="n">
        <v>0.5</v>
      </c>
      <c r="M2923" s="29" t="s">
        <v>366</v>
      </c>
      <c r="N2923" s="18" t="s">
        <v>367</v>
      </c>
      <c r="O2923" s="27" t="n">
        <v>0.5</v>
      </c>
      <c r="P2923" s="15" t="n">
        <f aca="false">IF(A2923="","",IF(O2923&lt;&gt;"",O2923,IF(L2923&lt;&gt;"",L2923,F2923)))</f>
        <v>0.5</v>
      </c>
    </row>
    <row r="2924" customFormat="false" ht="15" hidden="false" customHeight="true" outlineLevel="0" collapsed="false">
      <c r="A2924" s="30" t="s">
        <v>338</v>
      </c>
      <c r="B2924" s="30" t="s">
        <v>339</v>
      </c>
      <c r="C2924" s="21" t="n">
        <f aca="false">IF(A2924="","",IFERROR(VLOOKUP(A2924,'Recert Status'!$A$8:$C$400,3,FALSE()),""))</f>
        <v>46752</v>
      </c>
      <c r="D2924" s="31" t="s">
        <v>827</v>
      </c>
      <c r="E2924" s="30" t="s">
        <v>389</v>
      </c>
      <c r="F2924" s="32" t="n">
        <v>2.5</v>
      </c>
      <c r="G2924" s="33" t="n">
        <v>45867</v>
      </c>
      <c r="H2924" s="33" t="n">
        <v>45867</v>
      </c>
      <c r="I2924" s="31" t="s">
        <v>828</v>
      </c>
      <c r="J2924" s="30" t="s">
        <v>389</v>
      </c>
      <c r="K2924" s="31" t="s">
        <v>829</v>
      </c>
      <c r="L2924" s="32" t="n">
        <v>1.5</v>
      </c>
      <c r="M2924" s="29" t="s">
        <v>366</v>
      </c>
      <c r="N2924" s="31" t="s">
        <v>830</v>
      </c>
      <c r="O2924" s="32" t="n">
        <v>2.5</v>
      </c>
      <c r="P2924" s="15" t="n">
        <f aca="false">IF(A2924="","",IF(O2924&lt;&gt;"",O2924,IF(L2924&lt;&gt;"",L2924,F2924)))</f>
        <v>2.5</v>
      </c>
    </row>
    <row r="2925" customFormat="false" ht="15" hidden="false" customHeight="true" outlineLevel="0" collapsed="false">
      <c r="A2925" s="26" t="s">
        <v>338</v>
      </c>
      <c r="B2925" s="26" t="s">
        <v>339</v>
      </c>
      <c r="C2925" s="14" t="n">
        <f aca="false">IF(A2925="","",IFERROR(VLOOKUP(A2925,'Recert Status'!$A$8:$C$400,3,FALSE()),""))</f>
        <v>46752</v>
      </c>
      <c r="D2925" s="18" t="s">
        <v>1645</v>
      </c>
      <c r="E2925" s="26" t="s">
        <v>363</v>
      </c>
      <c r="F2925" s="27" t="n">
        <v>1</v>
      </c>
      <c r="G2925" s="28" t="n">
        <v>45912</v>
      </c>
      <c r="H2925" s="28" t="n">
        <v>45912</v>
      </c>
      <c r="I2925" s="18" t="s">
        <v>1646</v>
      </c>
      <c r="J2925" s="26" t="s">
        <v>363</v>
      </c>
      <c r="K2925" s="18" t="s">
        <v>370</v>
      </c>
      <c r="L2925" s="27" t="n">
        <v>1</v>
      </c>
      <c r="M2925" s="29" t="s">
        <v>366</v>
      </c>
      <c r="N2925" s="18" t="s">
        <v>367</v>
      </c>
      <c r="O2925" s="27" t="n">
        <v>1</v>
      </c>
      <c r="P2925" s="15" t="n">
        <f aca="false">IF(A2925="","",IF(O2925&lt;&gt;"",O2925,IF(L2925&lt;&gt;"",L2925,F2925)))</f>
        <v>1</v>
      </c>
    </row>
    <row r="2926" customFormat="false" ht="15" hidden="false" customHeight="true" outlineLevel="0" collapsed="false">
      <c r="A2926" s="30" t="s">
        <v>338</v>
      </c>
      <c r="B2926" s="30" t="s">
        <v>339</v>
      </c>
      <c r="C2926" s="21" t="n">
        <f aca="false">IF(A2926="","",IFERROR(VLOOKUP(A2926,'Recert Status'!$A$8:$C$400,3,FALSE()),""))</f>
        <v>46752</v>
      </c>
      <c r="D2926" s="31" t="s">
        <v>632</v>
      </c>
      <c r="E2926" s="30" t="n">
        <v>29675</v>
      </c>
      <c r="F2926" s="32" t="n">
        <v>0.5</v>
      </c>
      <c r="G2926" s="33" t="n">
        <v>45855</v>
      </c>
      <c r="H2926" s="33" t="n">
        <v>45855</v>
      </c>
      <c r="I2926" s="31" t="s">
        <v>633</v>
      </c>
      <c r="J2926" s="30" t="s">
        <v>406</v>
      </c>
      <c r="K2926" s="31" t="s">
        <v>422</v>
      </c>
      <c r="L2926" s="32" t="n">
        <v>0.5</v>
      </c>
      <c r="M2926" s="40" t="s">
        <v>423</v>
      </c>
      <c r="N2926" s="31" t="s">
        <v>424</v>
      </c>
      <c r="O2926" s="32" t="n">
        <v>0.5</v>
      </c>
      <c r="P2926" s="15" t="n">
        <f aca="false">IF(A2926="","",IF(O2926&lt;&gt;"",O2926,IF(L2926&lt;&gt;"",L2926,F2926)))</f>
        <v>0.5</v>
      </c>
    </row>
    <row r="2927" customFormat="false" ht="15" hidden="false" customHeight="true" outlineLevel="0" collapsed="false">
      <c r="A2927" s="26" t="s">
        <v>338</v>
      </c>
      <c r="B2927" s="26" t="s">
        <v>339</v>
      </c>
      <c r="C2927" s="14" t="n">
        <f aca="false">IF(A2927="","",IFERROR(VLOOKUP(A2927,'Recert Status'!$A$8:$C$400,3,FALSE()),""))</f>
        <v>46752</v>
      </c>
      <c r="D2927" s="18" t="s">
        <v>1647</v>
      </c>
      <c r="E2927" s="26" t="s">
        <v>426</v>
      </c>
      <c r="F2927" s="27" t="n">
        <v>1</v>
      </c>
      <c r="G2927" s="28" t="n">
        <v>45912</v>
      </c>
      <c r="H2927" s="28" t="n">
        <v>45912</v>
      </c>
      <c r="I2927" s="18" t="s">
        <v>1648</v>
      </c>
      <c r="J2927" s="26" t="s">
        <v>426</v>
      </c>
      <c r="K2927" s="18" t="s">
        <v>428</v>
      </c>
      <c r="L2927" s="27" t="n">
        <v>1</v>
      </c>
      <c r="M2927" s="41" t="s">
        <v>429</v>
      </c>
      <c r="N2927" s="18" t="s">
        <v>430</v>
      </c>
      <c r="O2927" s="27" t="n">
        <v>1</v>
      </c>
      <c r="P2927" s="15" t="n">
        <f aca="false">IF(A2927="","",IF(O2927&lt;&gt;"",O2927,IF(L2927&lt;&gt;"",L2927,F2927)))</f>
        <v>1</v>
      </c>
    </row>
    <row r="2928" customFormat="false" ht="15" hidden="false" customHeight="true" outlineLevel="0" collapsed="false">
      <c r="A2928" s="30" t="s">
        <v>338</v>
      </c>
      <c r="B2928" s="30" t="s">
        <v>339</v>
      </c>
      <c r="C2928" s="21" t="n">
        <f aca="false">IF(A2928="","",IFERROR(VLOOKUP(A2928,'Recert Status'!$A$8:$C$400,3,FALSE()),""))</f>
        <v>46752</v>
      </c>
      <c r="D2928" s="31" t="s">
        <v>379</v>
      </c>
      <c r="E2928" s="30" t="s">
        <v>452</v>
      </c>
      <c r="F2928" s="32" t="n">
        <v>1</v>
      </c>
      <c r="G2928" s="33" t="n">
        <v>46140</v>
      </c>
      <c r="H2928" s="33" t="n">
        <v>46140</v>
      </c>
      <c r="I2928" s="31" t="s">
        <v>1380</v>
      </c>
      <c r="J2928" s="30" t="s">
        <v>452</v>
      </c>
      <c r="K2928" s="31" t="s">
        <v>735</v>
      </c>
      <c r="L2928" s="32" t="n">
        <v>1</v>
      </c>
      <c r="M2928" s="34" t="s">
        <v>375</v>
      </c>
      <c r="N2928" s="31" t="s">
        <v>376</v>
      </c>
      <c r="O2928" s="32" t="n">
        <v>1</v>
      </c>
      <c r="P2928" s="15" t="n">
        <f aca="false">IF(A2928="","",IF(O2928&lt;&gt;"",O2928,IF(L2928&lt;&gt;"",L2928,F2928)))</f>
        <v>1</v>
      </c>
    </row>
    <row r="2929" customFormat="false" ht="15" hidden="false" customHeight="true" outlineLevel="0" collapsed="false">
      <c r="A2929" s="26" t="s">
        <v>338</v>
      </c>
      <c r="B2929" s="26" t="s">
        <v>339</v>
      </c>
      <c r="C2929" s="14" t="n">
        <f aca="false">IF(A2929="","",IFERROR(VLOOKUP(A2929,'Recert Status'!$A$8:$C$400,3,FALSE()),""))</f>
        <v>46752</v>
      </c>
      <c r="D2929" s="18" t="s">
        <v>827</v>
      </c>
      <c r="E2929" s="26" t="s">
        <v>389</v>
      </c>
      <c r="F2929" s="27" t="n">
        <v>2.5</v>
      </c>
      <c r="G2929" s="28" t="n">
        <v>45867</v>
      </c>
      <c r="H2929" s="28" t="n">
        <v>45867</v>
      </c>
      <c r="I2929" s="18" t="s">
        <v>828</v>
      </c>
      <c r="J2929" s="26" t="s">
        <v>389</v>
      </c>
      <c r="K2929" s="18" t="s">
        <v>829</v>
      </c>
      <c r="L2929" s="27" t="n">
        <v>1</v>
      </c>
      <c r="M2929" s="35" t="s">
        <v>386</v>
      </c>
      <c r="N2929" s="18" t="s">
        <v>830</v>
      </c>
      <c r="O2929" s="27" t="n">
        <v>2.5</v>
      </c>
      <c r="P2929" s="15" t="n">
        <f aca="false">IF(A2929="","",IF(O2929&lt;&gt;"",O2929,IF(L2929&lt;&gt;"",L2929,F2929)))</f>
        <v>2.5</v>
      </c>
    </row>
    <row r="2930" customFormat="false" ht="15" hidden="false" customHeight="true" outlineLevel="0" collapsed="false">
      <c r="A2930" s="30" t="s">
        <v>338</v>
      </c>
      <c r="B2930" s="30" t="s">
        <v>339</v>
      </c>
      <c r="C2930" s="21" t="n">
        <f aca="false">IF(A2930="","",IFERROR(VLOOKUP(A2930,'Recert Status'!$A$8:$C$400,3,FALSE()),""))</f>
        <v>46752</v>
      </c>
      <c r="D2930" s="31" t="s">
        <v>816</v>
      </c>
      <c r="E2930" s="30" t="s">
        <v>817</v>
      </c>
      <c r="F2930" s="32" t="n">
        <v>2</v>
      </c>
      <c r="G2930" s="33" t="n">
        <v>45882</v>
      </c>
      <c r="H2930" s="33" t="n">
        <v>45882</v>
      </c>
      <c r="I2930" s="31" t="s">
        <v>818</v>
      </c>
      <c r="J2930" s="30" t="s">
        <v>817</v>
      </c>
      <c r="K2930" s="31" t="s">
        <v>819</v>
      </c>
      <c r="L2930" s="32" t="n">
        <v>2</v>
      </c>
      <c r="M2930" s="35" t="s">
        <v>386</v>
      </c>
      <c r="N2930" s="31" t="s">
        <v>387</v>
      </c>
      <c r="O2930" s="32" t="n">
        <v>2</v>
      </c>
      <c r="P2930" s="15" t="n">
        <f aca="false">IF(A2930="","",IF(O2930&lt;&gt;"",O2930,IF(L2930&lt;&gt;"",L2930,F2930)))</f>
        <v>2</v>
      </c>
    </row>
    <row r="2931" customFormat="false" ht="15" hidden="false" customHeight="true" outlineLevel="0" collapsed="false">
      <c r="A2931" s="26" t="s">
        <v>338</v>
      </c>
      <c r="B2931" s="26" t="s">
        <v>339</v>
      </c>
      <c r="C2931" s="14" t="n">
        <f aca="false">IF(A2931="","",IFERROR(VLOOKUP(A2931,'Recert Status'!$A$8:$C$400,3,FALSE()),""))</f>
        <v>46752</v>
      </c>
      <c r="D2931" s="18" t="s">
        <v>447</v>
      </c>
      <c r="E2931" s="26" t="n">
        <v>29675</v>
      </c>
      <c r="F2931" s="27" t="n">
        <v>1</v>
      </c>
      <c r="G2931" s="28" t="n">
        <v>45987</v>
      </c>
      <c r="H2931" s="28" t="n">
        <v>45987</v>
      </c>
      <c r="I2931" s="18" t="s">
        <v>683</v>
      </c>
      <c r="J2931" s="26" t="s">
        <v>406</v>
      </c>
      <c r="K2931" s="18" t="s">
        <v>446</v>
      </c>
      <c r="L2931" s="27" t="n">
        <v>1</v>
      </c>
      <c r="M2931" s="35" t="s">
        <v>386</v>
      </c>
      <c r="N2931" s="18" t="s">
        <v>387</v>
      </c>
      <c r="O2931" s="27" t="n">
        <v>1</v>
      </c>
      <c r="P2931" s="15" t="n">
        <f aca="false">IF(A2931="","",IF(O2931&lt;&gt;"",O2931,IF(L2931&lt;&gt;"",L2931,F2931)))</f>
        <v>1</v>
      </c>
    </row>
    <row r="2932" customFormat="false" ht="15" hidden="false" customHeight="true" outlineLevel="0" collapsed="false">
      <c r="A2932" s="30" t="s">
        <v>338</v>
      </c>
      <c r="B2932" s="30" t="s">
        <v>339</v>
      </c>
      <c r="C2932" s="21" t="n">
        <f aca="false">IF(A2932="","",IFERROR(VLOOKUP(A2932,'Recert Status'!$A$8:$C$400,3,FALSE()),""))</f>
        <v>46752</v>
      </c>
      <c r="D2932" s="31" t="s">
        <v>388</v>
      </c>
      <c r="E2932" s="30" t="s">
        <v>389</v>
      </c>
      <c r="F2932" s="32" t="n">
        <v>3</v>
      </c>
      <c r="G2932" s="33" t="n">
        <v>46083</v>
      </c>
      <c r="H2932" s="33" t="n">
        <v>46083</v>
      </c>
      <c r="I2932" s="31" t="s">
        <v>390</v>
      </c>
      <c r="J2932" s="30" t="s">
        <v>389</v>
      </c>
      <c r="K2932" s="31" t="s">
        <v>391</v>
      </c>
      <c r="L2932" s="32" t="n">
        <v>3</v>
      </c>
      <c r="M2932" s="35" t="s">
        <v>386</v>
      </c>
      <c r="N2932" s="31" t="s">
        <v>387</v>
      </c>
      <c r="O2932" s="32" t="n">
        <v>3</v>
      </c>
      <c r="P2932" s="15" t="n">
        <f aca="false">IF(A2932="","",IF(O2932&lt;&gt;"",O2932,IF(L2932&lt;&gt;"",L2932,F2932)))</f>
        <v>3</v>
      </c>
    </row>
    <row r="2933" customFormat="false" ht="15" hidden="false" customHeight="true" outlineLevel="0" collapsed="false">
      <c r="A2933" s="26" t="s">
        <v>338</v>
      </c>
      <c r="B2933" s="26" t="s">
        <v>339</v>
      </c>
      <c r="C2933" s="14" t="n">
        <f aca="false">IF(A2933="","",IFERROR(VLOOKUP(A2933,'Recert Status'!$A$8:$C$400,3,FALSE()),""))</f>
        <v>46752</v>
      </c>
      <c r="D2933" s="18" t="s">
        <v>847</v>
      </c>
      <c r="E2933" s="26" t="s">
        <v>452</v>
      </c>
      <c r="F2933" s="27" t="n">
        <v>1</v>
      </c>
      <c r="G2933" s="28" t="n">
        <v>45801</v>
      </c>
      <c r="H2933" s="28" t="n">
        <v>45801</v>
      </c>
      <c r="I2933" s="18" t="s">
        <v>848</v>
      </c>
      <c r="J2933" s="26" t="s">
        <v>452</v>
      </c>
      <c r="K2933" s="18" t="s">
        <v>385</v>
      </c>
      <c r="L2933" s="27" t="n">
        <v>1</v>
      </c>
      <c r="M2933" s="36" t="s">
        <v>396</v>
      </c>
      <c r="N2933" s="18" t="s">
        <v>397</v>
      </c>
      <c r="O2933" s="27" t="n">
        <v>1</v>
      </c>
      <c r="P2933" s="15" t="n">
        <f aca="false">IF(A2933="","",IF(O2933&lt;&gt;"",O2933,IF(L2933&lt;&gt;"",L2933,F2933)))</f>
        <v>1</v>
      </c>
    </row>
    <row r="2934" customFormat="false" ht="15" hidden="false" customHeight="true" outlineLevel="0" collapsed="false">
      <c r="A2934" s="30" t="s">
        <v>338</v>
      </c>
      <c r="B2934" s="30" t="s">
        <v>339</v>
      </c>
      <c r="C2934" s="21" t="n">
        <f aca="false">IF(A2934="","",IFERROR(VLOOKUP(A2934,'Recert Status'!$A$8:$C$400,3,FALSE()),""))</f>
        <v>46752</v>
      </c>
      <c r="D2934" s="31" t="s">
        <v>392</v>
      </c>
      <c r="E2934" s="30" t="n">
        <v>29740</v>
      </c>
      <c r="F2934" s="32" t="n">
        <v>1</v>
      </c>
      <c r="G2934" s="33" t="n">
        <v>46071</v>
      </c>
      <c r="H2934" s="33" t="n">
        <v>46071</v>
      </c>
      <c r="I2934" s="31" t="s">
        <v>393</v>
      </c>
      <c r="J2934" s="30" t="s">
        <v>394</v>
      </c>
      <c r="K2934" s="31" t="s">
        <v>395</v>
      </c>
      <c r="L2934" s="32" t="n">
        <v>1</v>
      </c>
      <c r="M2934" s="36" t="s">
        <v>396</v>
      </c>
      <c r="N2934" s="31" t="s">
        <v>397</v>
      </c>
      <c r="O2934" s="32" t="n">
        <v>1</v>
      </c>
      <c r="P2934" s="15" t="n">
        <f aca="false">IF(A2934="","",IF(O2934&lt;&gt;"",O2934,IF(L2934&lt;&gt;"",L2934,F2934)))</f>
        <v>1</v>
      </c>
    </row>
    <row r="2935" customFormat="false" ht="15" hidden="false" customHeight="true" outlineLevel="0" collapsed="false">
      <c r="A2935" s="26" t="s">
        <v>338</v>
      </c>
      <c r="B2935" s="26" t="s">
        <v>339</v>
      </c>
      <c r="C2935" s="14" t="n">
        <f aca="false">IF(A2935="","",IFERROR(VLOOKUP(A2935,'Recert Status'!$A$8:$C$400,3,FALSE()),""))</f>
        <v>46752</v>
      </c>
      <c r="D2935" s="18" t="s">
        <v>397</v>
      </c>
      <c r="E2935" s="26" t="s">
        <v>452</v>
      </c>
      <c r="F2935" s="27" t="n">
        <v>1</v>
      </c>
      <c r="G2935" s="28" t="n">
        <v>46245</v>
      </c>
      <c r="H2935" s="28" t="n">
        <v>46245</v>
      </c>
      <c r="I2935" s="18" t="s">
        <v>605</v>
      </c>
      <c r="J2935" s="26" t="s">
        <v>452</v>
      </c>
      <c r="K2935" s="18" t="s">
        <v>385</v>
      </c>
      <c r="L2935" s="27" t="n">
        <v>1</v>
      </c>
      <c r="M2935" s="36" t="s">
        <v>396</v>
      </c>
      <c r="N2935" s="18" t="s">
        <v>397</v>
      </c>
      <c r="O2935" s="27" t="n">
        <v>1</v>
      </c>
      <c r="P2935" s="15" t="n">
        <f aca="false">IF(A2935="","",IF(O2935&lt;&gt;"",O2935,IF(L2935&lt;&gt;"",L2935,F2935)))</f>
        <v>1</v>
      </c>
    </row>
    <row r="2936" customFormat="false" ht="15" hidden="false" customHeight="true" outlineLevel="0" collapsed="false">
      <c r="A2936" s="30" t="s">
        <v>338</v>
      </c>
      <c r="B2936" s="30" t="s">
        <v>339</v>
      </c>
      <c r="C2936" s="21" t="n">
        <f aca="false">IF(A2936="","",IFERROR(VLOOKUP(A2936,'Recert Status'!$A$8:$C$400,3,FALSE()),""))</f>
        <v>46752</v>
      </c>
      <c r="D2936" s="31" t="s">
        <v>582</v>
      </c>
      <c r="E2936" s="30" t="s">
        <v>416</v>
      </c>
      <c r="F2936" s="32" t="n">
        <v>2</v>
      </c>
      <c r="G2936" s="33" t="n">
        <v>45861</v>
      </c>
      <c r="H2936" s="33" t="n">
        <v>45861</v>
      </c>
      <c r="I2936" s="31" t="s">
        <v>583</v>
      </c>
      <c r="J2936" s="30" t="s">
        <v>416</v>
      </c>
      <c r="K2936" s="31" t="s">
        <v>418</v>
      </c>
      <c r="L2936" s="32" t="n">
        <v>2</v>
      </c>
      <c r="M2936" s="39" t="s">
        <v>413</v>
      </c>
      <c r="N2936" s="31" t="s">
        <v>414</v>
      </c>
      <c r="O2936" s="32" t="n">
        <v>2</v>
      </c>
      <c r="P2936" s="15" t="n">
        <f aca="false">IF(A2936="","",IF(O2936&lt;&gt;"",O2936,IF(L2936&lt;&gt;"",L2936,F2936)))</f>
        <v>2</v>
      </c>
    </row>
    <row r="2937" customFormat="false" ht="15" hidden="false" customHeight="true" outlineLevel="0" collapsed="false">
      <c r="A2937" s="26" t="s">
        <v>338</v>
      </c>
      <c r="B2937" s="26" t="s">
        <v>339</v>
      </c>
      <c r="C2937" s="14" t="n">
        <f aca="false">IF(A2937="","",IFERROR(VLOOKUP(A2937,'Recert Status'!$A$8:$C$400,3,FALSE()),""))</f>
        <v>46752</v>
      </c>
      <c r="D2937" s="18" t="s">
        <v>415</v>
      </c>
      <c r="E2937" s="26" t="s">
        <v>416</v>
      </c>
      <c r="F2937" s="27" t="n">
        <v>2</v>
      </c>
      <c r="G2937" s="28" t="n">
        <v>46071</v>
      </c>
      <c r="H2937" s="28" t="n">
        <v>46071</v>
      </c>
      <c r="I2937" s="18" t="s">
        <v>417</v>
      </c>
      <c r="J2937" s="26" t="s">
        <v>416</v>
      </c>
      <c r="K2937" s="18" t="s">
        <v>418</v>
      </c>
      <c r="L2937" s="27" t="n">
        <v>2</v>
      </c>
      <c r="M2937" s="39" t="s">
        <v>413</v>
      </c>
      <c r="N2937" s="18" t="s">
        <v>414</v>
      </c>
      <c r="O2937" s="27" t="n">
        <v>2</v>
      </c>
      <c r="P2937" s="15" t="n">
        <f aca="false">IF(A2937="","",IF(O2937&lt;&gt;"",O2937,IF(L2937&lt;&gt;"",L2937,F2937)))</f>
        <v>2</v>
      </c>
    </row>
    <row r="2938" customFormat="false" ht="15" hidden="false" customHeight="true" outlineLevel="0" collapsed="false">
      <c r="A2938" s="30" t="s">
        <v>340</v>
      </c>
      <c r="B2938" s="30" t="s">
        <v>341</v>
      </c>
      <c r="C2938" s="21" t="n">
        <f aca="false">IF(A2938="","",IFERROR(VLOOKUP(A2938,'Recert Status'!$A$8:$C$400,3,FALSE()),""))</f>
        <v>46752</v>
      </c>
      <c r="D2938" s="31" t="s">
        <v>621</v>
      </c>
      <c r="E2938" s="30" t="n">
        <v>29740</v>
      </c>
      <c r="F2938" s="32" t="n">
        <v>0.5</v>
      </c>
      <c r="G2938" s="33" t="n">
        <v>45783</v>
      </c>
      <c r="H2938" s="33" t="n">
        <v>45783</v>
      </c>
      <c r="I2938" s="31" t="s">
        <v>622</v>
      </c>
      <c r="J2938" s="30" t="s">
        <v>394</v>
      </c>
      <c r="K2938" s="31" t="s">
        <v>365</v>
      </c>
      <c r="L2938" s="32" t="n">
        <v>0.5</v>
      </c>
      <c r="M2938" s="29" t="s">
        <v>366</v>
      </c>
      <c r="N2938" s="31" t="s">
        <v>367</v>
      </c>
      <c r="O2938" s="32" t="n">
        <v>0.5</v>
      </c>
      <c r="P2938" s="15" t="n">
        <f aca="false">IF(A2938="","",IF(O2938&lt;&gt;"",O2938,IF(L2938&lt;&gt;"",L2938,F2938)))</f>
        <v>0.5</v>
      </c>
    </row>
    <row r="2939" customFormat="false" ht="15" hidden="false" customHeight="true" outlineLevel="0" collapsed="false">
      <c r="A2939" s="26" t="s">
        <v>340</v>
      </c>
      <c r="B2939" s="26" t="s">
        <v>341</v>
      </c>
      <c r="C2939" s="14" t="n">
        <f aca="false">IF(A2939="","",IFERROR(VLOOKUP(A2939,'Recert Status'!$A$8:$C$400,3,FALSE()),""))</f>
        <v>46752</v>
      </c>
      <c r="D2939" s="18" t="s">
        <v>824</v>
      </c>
      <c r="E2939" s="26" t="s">
        <v>363</v>
      </c>
      <c r="F2939" s="27" t="n">
        <v>0.5</v>
      </c>
      <c r="G2939" s="28" t="n">
        <v>45810</v>
      </c>
      <c r="H2939" s="28" t="n">
        <v>45810</v>
      </c>
      <c r="I2939" s="18" t="s">
        <v>825</v>
      </c>
      <c r="J2939" s="26" t="s">
        <v>363</v>
      </c>
      <c r="K2939" s="18" t="s">
        <v>370</v>
      </c>
      <c r="L2939" s="27" t="n">
        <v>0.5</v>
      </c>
      <c r="M2939" s="29" t="s">
        <v>366</v>
      </c>
      <c r="N2939" s="18" t="s">
        <v>367</v>
      </c>
      <c r="O2939" s="27" t="n">
        <v>0.5</v>
      </c>
      <c r="P2939" s="15" t="n">
        <f aca="false">IF(A2939="","",IF(O2939&lt;&gt;"",O2939,IF(L2939&lt;&gt;"",L2939,F2939)))</f>
        <v>0.5</v>
      </c>
    </row>
    <row r="2940" customFormat="false" ht="15" hidden="false" customHeight="true" outlineLevel="0" collapsed="false">
      <c r="A2940" s="30" t="s">
        <v>340</v>
      </c>
      <c r="B2940" s="30" t="s">
        <v>341</v>
      </c>
      <c r="C2940" s="21" t="n">
        <f aca="false">IF(A2940="","",IFERROR(VLOOKUP(A2940,'Recert Status'!$A$8:$C$400,3,FALSE()),""))</f>
        <v>46752</v>
      </c>
      <c r="D2940" s="31" t="s">
        <v>449</v>
      </c>
      <c r="E2940" s="30" t="s">
        <v>363</v>
      </c>
      <c r="F2940" s="32" t="n">
        <v>1</v>
      </c>
      <c r="G2940" s="33" t="n">
        <v>45813</v>
      </c>
      <c r="H2940" s="33" t="n">
        <v>45813</v>
      </c>
      <c r="I2940" s="31" t="s">
        <v>826</v>
      </c>
      <c r="J2940" s="30" t="s">
        <v>363</v>
      </c>
      <c r="K2940" s="31" t="s">
        <v>365</v>
      </c>
      <c r="L2940" s="32" t="n">
        <v>1</v>
      </c>
      <c r="M2940" s="29" t="s">
        <v>366</v>
      </c>
      <c r="N2940" s="31" t="s">
        <v>367</v>
      </c>
      <c r="O2940" s="32" t="n">
        <v>1</v>
      </c>
      <c r="P2940" s="15" t="n">
        <f aca="false">IF(A2940="","",IF(O2940&lt;&gt;"",O2940,IF(L2940&lt;&gt;"",L2940,F2940)))</f>
        <v>1</v>
      </c>
    </row>
    <row r="2941" customFormat="false" ht="15" hidden="false" customHeight="true" outlineLevel="0" collapsed="false">
      <c r="A2941" s="26" t="s">
        <v>340</v>
      </c>
      <c r="B2941" s="26" t="s">
        <v>341</v>
      </c>
      <c r="C2941" s="14" t="n">
        <f aca="false">IF(A2941="","",IFERROR(VLOOKUP(A2941,'Recert Status'!$A$8:$C$400,3,FALSE()),""))</f>
        <v>46752</v>
      </c>
      <c r="D2941" s="18" t="s">
        <v>1645</v>
      </c>
      <c r="E2941" s="26" t="s">
        <v>363</v>
      </c>
      <c r="F2941" s="27" t="n">
        <v>1</v>
      </c>
      <c r="G2941" s="28" t="n">
        <v>45912</v>
      </c>
      <c r="H2941" s="28" t="n">
        <v>45912</v>
      </c>
      <c r="I2941" s="18" t="s">
        <v>1646</v>
      </c>
      <c r="J2941" s="26" t="s">
        <v>363</v>
      </c>
      <c r="K2941" s="18" t="s">
        <v>370</v>
      </c>
      <c r="L2941" s="27" t="n">
        <v>1</v>
      </c>
      <c r="M2941" s="29" t="s">
        <v>366</v>
      </c>
      <c r="N2941" s="18" t="s">
        <v>367</v>
      </c>
      <c r="O2941" s="27" t="n">
        <v>1</v>
      </c>
      <c r="P2941" s="15" t="n">
        <f aca="false">IF(A2941="","",IF(O2941&lt;&gt;"",O2941,IF(L2941&lt;&gt;"",L2941,F2941)))</f>
        <v>1</v>
      </c>
    </row>
    <row r="2942" customFormat="false" ht="15" hidden="false" customHeight="true" outlineLevel="0" collapsed="false">
      <c r="A2942" s="30" t="s">
        <v>340</v>
      </c>
      <c r="B2942" s="30" t="s">
        <v>341</v>
      </c>
      <c r="C2942" s="21" t="n">
        <f aca="false">IF(A2942="","",IFERROR(VLOOKUP(A2942,'Recert Status'!$A$8:$C$400,3,FALSE()),""))</f>
        <v>46752</v>
      </c>
      <c r="D2942" s="31" t="s">
        <v>949</v>
      </c>
      <c r="E2942" s="30" t="s">
        <v>542</v>
      </c>
      <c r="F2942" s="32" t="n">
        <v>1</v>
      </c>
      <c r="G2942" s="33" t="n">
        <v>46056</v>
      </c>
      <c r="H2942" s="33" t="n">
        <v>46056</v>
      </c>
      <c r="I2942" s="31" t="s">
        <v>950</v>
      </c>
      <c r="J2942" s="30" t="s">
        <v>542</v>
      </c>
      <c r="K2942" s="31" t="s">
        <v>422</v>
      </c>
      <c r="L2942" s="32" t="n">
        <v>1</v>
      </c>
      <c r="M2942" s="40" t="s">
        <v>423</v>
      </c>
      <c r="N2942" s="31" t="s">
        <v>424</v>
      </c>
      <c r="O2942" s="32" t="n">
        <v>1</v>
      </c>
      <c r="P2942" s="15" t="n">
        <f aca="false">IF(A2942="","",IF(O2942&lt;&gt;"",O2942,IF(L2942&lt;&gt;"",L2942,F2942)))</f>
        <v>1</v>
      </c>
    </row>
    <row r="2943" customFormat="false" ht="15" hidden="false" customHeight="true" outlineLevel="0" collapsed="false">
      <c r="A2943" s="26" t="s">
        <v>340</v>
      </c>
      <c r="B2943" s="26" t="s">
        <v>341</v>
      </c>
      <c r="C2943" s="14" t="n">
        <f aca="false">IF(A2943="","",IFERROR(VLOOKUP(A2943,'Recert Status'!$A$8:$C$400,3,FALSE()),""))</f>
        <v>46752</v>
      </c>
      <c r="D2943" s="18" t="s">
        <v>1647</v>
      </c>
      <c r="E2943" s="26" t="s">
        <v>426</v>
      </c>
      <c r="F2943" s="27" t="n">
        <v>1</v>
      </c>
      <c r="G2943" s="28" t="n">
        <v>45912</v>
      </c>
      <c r="H2943" s="28" t="n">
        <v>45912</v>
      </c>
      <c r="I2943" s="18" t="s">
        <v>1648</v>
      </c>
      <c r="J2943" s="26" t="s">
        <v>426</v>
      </c>
      <c r="K2943" s="18" t="s">
        <v>428</v>
      </c>
      <c r="L2943" s="27" t="n">
        <v>1</v>
      </c>
      <c r="M2943" s="41" t="s">
        <v>429</v>
      </c>
      <c r="N2943" s="18" t="s">
        <v>430</v>
      </c>
      <c r="O2943" s="27" t="n">
        <v>1</v>
      </c>
      <c r="P2943" s="15" t="n">
        <f aca="false">IF(A2943="","",IF(O2943&lt;&gt;"",O2943,IF(L2943&lt;&gt;"",L2943,F2943)))</f>
        <v>1</v>
      </c>
    </row>
    <row r="2944" customFormat="false" ht="15" hidden="false" customHeight="true" outlineLevel="0" collapsed="false">
      <c r="A2944" s="30" t="s">
        <v>340</v>
      </c>
      <c r="B2944" s="30" t="s">
        <v>341</v>
      </c>
      <c r="C2944" s="21" t="n">
        <f aca="false">IF(A2944="","",IFERROR(VLOOKUP(A2944,'Recert Status'!$A$8:$C$400,3,FALSE()),""))</f>
        <v>46752</v>
      </c>
      <c r="D2944" s="31" t="s">
        <v>569</v>
      </c>
      <c r="E2944" s="30" t="s">
        <v>426</v>
      </c>
      <c r="F2944" s="32" t="n">
        <v>0.5</v>
      </c>
      <c r="G2944" s="33" t="n">
        <v>45918</v>
      </c>
      <c r="H2944" s="33" t="n">
        <v>45918</v>
      </c>
      <c r="I2944" s="31" t="s">
        <v>836</v>
      </c>
      <c r="J2944" s="30" t="s">
        <v>426</v>
      </c>
      <c r="K2944" s="31" t="s">
        <v>428</v>
      </c>
      <c r="L2944" s="32" t="n">
        <v>0.5</v>
      </c>
      <c r="M2944" s="41" t="s">
        <v>429</v>
      </c>
      <c r="N2944" s="31" t="s">
        <v>430</v>
      </c>
      <c r="O2944" s="32" t="n">
        <v>0.5</v>
      </c>
      <c r="P2944" s="15" t="n">
        <f aca="false">IF(A2944="","",IF(O2944&lt;&gt;"",O2944,IF(L2944&lt;&gt;"",L2944,F2944)))</f>
        <v>0.5</v>
      </c>
    </row>
    <row r="2945" customFormat="false" ht="15" hidden="false" customHeight="true" outlineLevel="0" collapsed="false">
      <c r="A2945" s="26" t="s">
        <v>340</v>
      </c>
      <c r="B2945" s="26" t="s">
        <v>341</v>
      </c>
      <c r="C2945" s="14" t="n">
        <f aca="false">IF(A2945="","",IFERROR(VLOOKUP(A2945,'Recert Status'!$A$8:$C$400,3,FALSE()),""))</f>
        <v>46752</v>
      </c>
      <c r="D2945" s="18" t="s">
        <v>379</v>
      </c>
      <c r="E2945" s="26" t="n">
        <v>35513</v>
      </c>
      <c r="F2945" s="27" t="n">
        <v>1</v>
      </c>
      <c r="G2945" s="28" t="n">
        <v>46140</v>
      </c>
      <c r="H2945" s="28" t="n">
        <v>46140</v>
      </c>
      <c r="I2945" s="18" t="s">
        <v>963</v>
      </c>
      <c r="J2945" s="26" t="s">
        <v>384</v>
      </c>
      <c r="K2945" s="18" t="s">
        <v>381</v>
      </c>
      <c r="L2945" s="27" t="n">
        <v>1</v>
      </c>
      <c r="M2945" s="34" t="s">
        <v>375</v>
      </c>
      <c r="N2945" s="18" t="s">
        <v>376</v>
      </c>
      <c r="O2945" s="27" t="n">
        <v>1</v>
      </c>
      <c r="P2945" s="15" t="n">
        <f aca="false">IF(A2945="","",IF(O2945&lt;&gt;"",O2945,IF(L2945&lt;&gt;"",L2945,F2945)))</f>
        <v>1</v>
      </c>
    </row>
    <row r="2946" customFormat="false" ht="15" hidden="false" customHeight="true" outlineLevel="0" collapsed="false">
      <c r="A2946" s="30" t="s">
        <v>340</v>
      </c>
      <c r="B2946" s="30" t="s">
        <v>341</v>
      </c>
      <c r="C2946" s="21" t="n">
        <f aca="false">IF(A2946="","",IFERROR(VLOOKUP(A2946,'Recert Status'!$A$8:$C$400,3,FALSE()),""))</f>
        <v>46752</v>
      </c>
      <c r="D2946" s="31" t="s">
        <v>449</v>
      </c>
      <c r="E2946" s="30" t="s">
        <v>389</v>
      </c>
      <c r="F2946" s="32" t="n">
        <v>1</v>
      </c>
      <c r="G2946" s="33" t="n">
        <v>45813</v>
      </c>
      <c r="H2946" s="33" t="n">
        <v>45813</v>
      </c>
      <c r="I2946" s="31" t="s">
        <v>844</v>
      </c>
      <c r="J2946" s="30" t="s">
        <v>389</v>
      </c>
      <c r="K2946" s="31" t="s">
        <v>845</v>
      </c>
      <c r="L2946" s="32" t="n">
        <v>1</v>
      </c>
      <c r="M2946" s="35" t="s">
        <v>386</v>
      </c>
      <c r="N2946" s="31" t="s">
        <v>387</v>
      </c>
      <c r="O2946" s="32" t="n">
        <v>1</v>
      </c>
      <c r="P2946" s="15" t="n">
        <f aca="false">IF(A2946="","",IF(O2946&lt;&gt;"",O2946,IF(L2946&lt;&gt;"",L2946,F2946)))</f>
        <v>1</v>
      </c>
    </row>
    <row r="2947" customFormat="false" ht="15" hidden="false" customHeight="true" outlineLevel="0" collapsed="false">
      <c r="A2947" s="26" t="s">
        <v>340</v>
      </c>
      <c r="B2947" s="26" t="s">
        <v>341</v>
      </c>
      <c r="C2947" s="14" t="n">
        <f aca="false">IF(A2947="","",IFERROR(VLOOKUP(A2947,'Recert Status'!$A$8:$C$400,3,FALSE()),""))</f>
        <v>46752</v>
      </c>
      <c r="D2947" s="18" t="s">
        <v>647</v>
      </c>
      <c r="E2947" s="26" t="n">
        <v>29675</v>
      </c>
      <c r="F2947" s="27" t="n">
        <v>1</v>
      </c>
      <c r="G2947" s="28" t="n">
        <v>45840</v>
      </c>
      <c r="H2947" s="28" t="n">
        <v>45840</v>
      </c>
      <c r="I2947" s="18" t="s">
        <v>648</v>
      </c>
      <c r="J2947" s="26" t="s">
        <v>406</v>
      </c>
      <c r="K2947" s="18" t="s">
        <v>385</v>
      </c>
      <c r="L2947" s="27" t="n">
        <v>1</v>
      </c>
      <c r="M2947" s="35" t="s">
        <v>386</v>
      </c>
      <c r="N2947" s="18" t="s">
        <v>387</v>
      </c>
      <c r="O2947" s="27" t="n">
        <v>1</v>
      </c>
      <c r="P2947" s="15" t="n">
        <f aca="false">IF(A2947="","",IF(O2947&lt;&gt;"",O2947,IF(L2947&lt;&gt;"",L2947,F2947)))</f>
        <v>1</v>
      </c>
    </row>
    <row r="2948" customFormat="false" ht="15" hidden="false" customHeight="true" outlineLevel="0" collapsed="false">
      <c r="A2948" s="30" t="s">
        <v>340</v>
      </c>
      <c r="B2948" s="30" t="s">
        <v>341</v>
      </c>
      <c r="C2948" s="21" t="n">
        <f aca="false">IF(A2948="","",IFERROR(VLOOKUP(A2948,'Recert Status'!$A$8:$C$400,3,FALSE()),""))</f>
        <v>46752</v>
      </c>
      <c r="D2948" s="31" t="s">
        <v>816</v>
      </c>
      <c r="E2948" s="30" t="s">
        <v>817</v>
      </c>
      <c r="F2948" s="32" t="n">
        <v>2</v>
      </c>
      <c r="G2948" s="33" t="n">
        <v>45882</v>
      </c>
      <c r="H2948" s="33" t="n">
        <v>45882</v>
      </c>
      <c r="I2948" s="31" t="s">
        <v>818</v>
      </c>
      <c r="J2948" s="30" t="s">
        <v>817</v>
      </c>
      <c r="K2948" s="31" t="s">
        <v>819</v>
      </c>
      <c r="L2948" s="32" t="n">
        <v>2</v>
      </c>
      <c r="M2948" s="35" t="s">
        <v>386</v>
      </c>
      <c r="N2948" s="31" t="s">
        <v>387</v>
      </c>
      <c r="O2948" s="32" t="n">
        <v>2</v>
      </c>
      <c r="P2948" s="15" t="n">
        <f aca="false">IF(A2948="","",IF(O2948&lt;&gt;"",O2948,IF(L2948&lt;&gt;"",L2948,F2948)))</f>
        <v>2</v>
      </c>
    </row>
    <row r="2949" customFormat="false" ht="15" hidden="false" customHeight="true" outlineLevel="0" collapsed="false">
      <c r="A2949" s="26" t="s">
        <v>340</v>
      </c>
      <c r="B2949" s="26" t="s">
        <v>341</v>
      </c>
      <c r="C2949" s="14" t="n">
        <f aca="false">IF(A2949="","",IFERROR(VLOOKUP(A2949,'Recert Status'!$A$8:$C$400,3,FALSE()),""))</f>
        <v>46752</v>
      </c>
      <c r="D2949" s="18" t="s">
        <v>573</v>
      </c>
      <c r="E2949" s="26" t="s">
        <v>389</v>
      </c>
      <c r="F2949" s="27" t="n">
        <v>1</v>
      </c>
      <c r="G2949" s="28" t="n">
        <v>45987</v>
      </c>
      <c r="H2949" s="28" t="n">
        <v>45987</v>
      </c>
      <c r="I2949" s="18" t="s">
        <v>574</v>
      </c>
      <c r="J2949" s="26" t="s">
        <v>389</v>
      </c>
      <c r="K2949" s="18" t="s">
        <v>451</v>
      </c>
      <c r="L2949" s="27" t="n">
        <v>1</v>
      </c>
      <c r="M2949" s="35" t="s">
        <v>386</v>
      </c>
      <c r="N2949" s="18" t="s">
        <v>387</v>
      </c>
      <c r="O2949" s="27" t="n">
        <v>1</v>
      </c>
      <c r="P2949" s="15" t="n">
        <f aca="false">IF(A2949="","",IF(O2949&lt;&gt;"",O2949,IF(L2949&lt;&gt;"",L2949,F2949)))</f>
        <v>1</v>
      </c>
    </row>
    <row r="2950" customFormat="false" ht="15" hidden="false" customHeight="true" outlineLevel="0" collapsed="false">
      <c r="A2950" s="30" t="s">
        <v>340</v>
      </c>
      <c r="B2950" s="30" t="s">
        <v>341</v>
      </c>
      <c r="C2950" s="21" t="n">
        <f aca="false">IF(A2950="","",IFERROR(VLOOKUP(A2950,'Recert Status'!$A$8:$C$400,3,FALSE()),""))</f>
        <v>46752</v>
      </c>
      <c r="D2950" s="31" t="s">
        <v>387</v>
      </c>
      <c r="E2950" s="30" t="s">
        <v>389</v>
      </c>
      <c r="F2950" s="32" t="n">
        <v>1</v>
      </c>
      <c r="G2950" s="33" t="n">
        <v>46230</v>
      </c>
      <c r="H2950" s="33" t="n">
        <v>46230</v>
      </c>
      <c r="I2950" s="31" t="s">
        <v>846</v>
      </c>
      <c r="J2950" s="30" t="s">
        <v>389</v>
      </c>
      <c r="K2950" s="31" t="s">
        <v>451</v>
      </c>
      <c r="L2950" s="32" t="n">
        <v>1</v>
      </c>
      <c r="M2950" s="35" t="s">
        <v>386</v>
      </c>
      <c r="N2950" s="31" t="s">
        <v>387</v>
      </c>
      <c r="O2950" s="32" t="n">
        <v>1</v>
      </c>
      <c r="P2950" s="15" t="n">
        <f aca="false">IF(A2950="","",IF(O2950&lt;&gt;"",O2950,IF(L2950&lt;&gt;"",L2950,F2950)))</f>
        <v>1</v>
      </c>
    </row>
    <row r="2951" customFormat="false" ht="15" hidden="false" customHeight="true" outlineLevel="0" collapsed="false">
      <c r="A2951" s="26" t="s">
        <v>340</v>
      </c>
      <c r="B2951" s="26" t="s">
        <v>341</v>
      </c>
      <c r="C2951" s="14" t="n">
        <f aca="false">IF(A2951="","",IFERROR(VLOOKUP(A2951,'Recert Status'!$A$8:$C$400,3,FALSE()),""))</f>
        <v>46752</v>
      </c>
      <c r="D2951" s="18" t="s">
        <v>847</v>
      </c>
      <c r="E2951" s="26" t="s">
        <v>452</v>
      </c>
      <c r="F2951" s="27" t="n">
        <v>1</v>
      </c>
      <c r="G2951" s="28" t="n">
        <v>45801</v>
      </c>
      <c r="H2951" s="28" t="n">
        <v>45801</v>
      </c>
      <c r="I2951" s="18" t="s">
        <v>848</v>
      </c>
      <c r="J2951" s="26" t="s">
        <v>452</v>
      </c>
      <c r="K2951" s="18" t="s">
        <v>385</v>
      </c>
      <c r="L2951" s="27" t="n">
        <v>1</v>
      </c>
      <c r="M2951" s="36" t="s">
        <v>396</v>
      </c>
      <c r="N2951" s="18" t="s">
        <v>397</v>
      </c>
      <c r="O2951" s="27" t="n">
        <v>1</v>
      </c>
      <c r="P2951" s="15" t="n">
        <f aca="false">IF(A2951="","",IF(O2951&lt;&gt;"",O2951,IF(L2951&lt;&gt;"",L2951,F2951)))</f>
        <v>1</v>
      </c>
    </row>
    <row r="2952" customFormat="false" ht="15" hidden="false" customHeight="true" outlineLevel="0" collapsed="false">
      <c r="A2952" s="30" t="s">
        <v>340</v>
      </c>
      <c r="B2952" s="30" t="s">
        <v>341</v>
      </c>
      <c r="C2952" s="21" t="n">
        <f aca="false">IF(A2952="","",IFERROR(VLOOKUP(A2952,'Recert Status'!$A$8:$C$400,3,FALSE()),""))</f>
        <v>46752</v>
      </c>
      <c r="D2952" s="31" t="s">
        <v>560</v>
      </c>
      <c r="E2952" s="30" t="n">
        <v>29740</v>
      </c>
      <c r="F2952" s="32" t="n">
        <v>1</v>
      </c>
      <c r="G2952" s="33" t="n">
        <v>46116</v>
      </c>
      <c r="H2952" s="33" t="n">
        <v>46116</v>
      </c>
      <c r="I2952" s="31" t="s">
        <v>1777</v>
      </c>
      <c r="J2952" s="30" t="s">
        <v>394</v>
      </c>
      <c r="K2952" s="31" t="s">
        <v>1748</v>
      </c>
      <c r="L2952" s="32" t="n">
        <v>1</v>
      </c>
      <c r="M2952" s="36" t="s">
        <v>396</v>
      </c>
      <c r="N2952" s="31" t="s">
        <v>514</v>
      </c>
      <c r="O2952" s="32" t="n">
        <v>1</v>
      </c>
      <c r="P2952" s="15" t="n">
        <f aca="false">IF(A2952="","",IF(O2952&lt;&gt;"",O2952,IF(L2952&lt;&gt;"",L2952,F2952)))</f>
        <v>1</v>
      </c>
    </row>
    <row r="2953" customFormat="false" ht="15" hidden="false" customHeight="true" outlineLevel="0" collapsed="false">
      <c r="A2953" s="26" t="s">
        <v>340</v>
      </c>
      <c r="B2953" s="26" t="s">
        <v>341</v>
      </c>
      <c r="C2953" s="14" t="n">
        <f aca="false">IF(A2953="","",IFERROR(VLOOKUP(A2953,'Recert Status'!$A$8:$C$400,3,FALSE()),""))</f>
        <v>46752</v>
      </c>
      <c r="D2953" s="18" t="s">
        <v>858</v>
      </c>
      <c r="E2953" s="26" t="s">
        <v>452</v>
      </c>
      <c r="F2953" s="27" t="n">
        <v>1.5</v>
      </c>
      <c r="G2953" s="28" t="n">
        <v>46170</v>
      </c>
      <c r="H2953" s="28" t="n">
        <v>46170</v>
      </c>
      <c r="I2953" s="18" t="s">
        <v>859</v>
      </c>
      <c r="J2953" s="26" t="s">
        <v>452</v>
      </c>
      <c r="K2953" s="18" t="s">
        <v>385</v>
      </c>
      <c r="L2953" s="27" t="n">
        <v>1.5</v>
      </c>
      <c r="M2953" s="36" t="s">
        <v>396</v>
      </c>
      <c r="N2953" s="18" t="s">
        <v>397</v>
      </c>
      <c r="O2953" s="27" t="n">
        <v>1.5</v>
      </c>
      <c r="P2953" s="15" t="n">
        <f aca="false">IF(A2953="","",IF(O2953&lt;&gt;"",O2953,IF(L2953&lt;&gt;"",L2953,F2953)))</f>
        <v>1.5</v>
      </c>
    </row>
    <row r="2954" customFormat="false" ht="15" hidden="false" customHeight="true" outlineLevel="0" collapsed="false">
      <c r="A2954" s="30" t="s">
        <v>340</v>
      </c>
      <c r="B2954" s="30" t="s">
        <v>341</v>
      </c>
      <c r="C2954" s="21" t="n">
        <f aca="false">IF(A2954="","",IFERROR(VLOOKUP(A2954,'Recert Status'!$A$8:$C$400,3,FALSE()),""))</f>
        <v>46752</v>
      </c>
      <c r="D2954" s="31" t="s">
        <v>397</v>
      </c>
      <c r="E2954" s="30" t="s">
        <v>452</v>
      </c>
      <c r="F2954" s="32" t="n">
        <v>1</v>
      </c>
      <c r="G2954" s="33" t="n">
        <v>46245</v>
      </c>
      <c r="H2954" s="33" t="n">
        <v>46245</v>
      </c>
      <c r="I2954" s="31" t="s">
        <v>605</v>
      </c>
      <c r="J2954" s="30" t="s">
        <v>452</v>
      </c>
      <c r="K2954" s="31" t="s">
        <v>385</v>
      </c>
      <c r="L2954" s="32" t="n">
        <v>1</v>
      </c>
      <c r="M2954" s="36" t="s">
        <v>396</v>
      </c>
      <c r="N2954" s="31" t="s">
        <v>397</v>
      </c>
      <c r="O2954" s="32" t="n">
        <v>1</v>
      </c>
      <c r="P2954" s="15" t="n">
        <f aca="false">IF(A2954="","",IF(O2954&lt;&gt;"",O2954,IF(L2954&lt;&gt;"",L2954,F2954)))</f>
        <v>1</v>
      </c>
    </row>
    <row r="2955" customFormat="false" ht="15" hidden="false" customHeight="true" outlineLevel="0" collapsed="false">
      <c r="A2955" s="26" t="s">
        <v>340</v>
      </c>
      <c r="B2955" s="26" t="s">
        <v>341</v>
      </c>
      <c r="C2955" s="14" t="n">
        <f aca="false">IF(A2955="","",IFERROR(VLOOKUP(A2955,'Recert Status'!$A$8:$C$400,3,FALSE()),""))</f>
        <v>46752</v>
      </c>
      <c r="D2955" s="18" t="s">
        <v>1778</v>
      </c>
      <c r="E2955" s="26" t="s">
        <v>399</v>
      </c>
      <c r="F2955" s="27" t="n">
        <v>1</v>
      </c>
      <c r="G2955" s="28" t="n">
        <v>46077</v>
      </c>
      <c r="H2955" s="28" t="n">
        <v>46077</v>
      </c>
      <c r="I2955" s="18" t="s">
        <v>1779</v>
      </c>
      <c r="J2955" s="26" t="s">
        <v>399</v>
      </c>
      <c r="K2955" s="18" t="s">
        <v>407</v>
      </c>
      <c r="L2955" s="27" t="n">
        <v>1</v>
      </c>
      <c r="M2955" s="37" t="s">
        <v>402</v>
      </c>
      <c r="N2955" s="18" t="s">
        <v>403</v>
      </c>
      <c r="O2955" s="27" t="n">
        <v>1</v>
      </c>
      <c r="P2955" s="15" t="n">
        <f aca="false">IF(A2955="","",IF(O2955&lt;&gt;"",O2955,IF(L2955&lt;&gt;"",L2955,F2955)))</f>
        <v>1</v>
      </c>
    </row>
    <row r="2956" customFormat="false" ht="15" hidden="false" customHeight="true" outlineLevel="0" collapsed="false">
      <c r="A2956" s="30" t="s">
        <v>340</v>
      </c>
      <c r="B2956" s="30" t="s">
        <v>341</v>
      </c>
      <c r="C2956" s="21" t="n">
        <f aca="false">IF(A2956="","",IFERROR(VLOOKUP(A2956,'Recert Status'!$A$8:$C$400,3,FALSE()),""))</f>
        <v>46752</v>
      </c>
      <c r="D2956" s="31" t="s">
        <v>415</v>
      </c>
      <c r="E2956" s="30" t="s">
        <v>416</v>
      </c>
      <c r="F2956" s="32" t="n">
        <v>1</v>
      </c>
      <c r="G2956" s="33" t="n">
        <v>45825</v>
      </c>
      <c r="H2956" s="33" t="n">
        <v>45825</v>
      </c>
      <c r="I2956" s="31" t="s">
        <v>820</v>
      </c>
      <c r="J2956" s="30" t="s">
        <v>416</v>
      </c>
      <c r="K2956" s="31" t="s">
        <v>412</v>
      </c>
      <c r="L2956" s="32" t="n">
        <v>1</v>
      </c>
      <c r="M2956" s="39" t="s">
        <v>413</v>
      </c>
      <c r="N2956" s="31" t="s">
        <v>414</v>
      </c>
      <c r="O2956" s="32" t="n">
        <v>1</v>
      </c>
      <c r="P2956" s="15" t="n">
        <f aca="false">IF(A2956="","",IF(O2956&lt;&gt;"",O2956,IF(L2956&lt;&gt;"",L2956,F2956)))</f>
        <v>1</v>
      </c>
    </row>
    <row r="2957" customFormat="false" ht="15" hidden="false" customHeight="true" outlineLevel="0" collapsed="false">
      <c r="A2957" s="26" t="s">
        <v>340</v>
      </c>
      <c r="B2957" s="26" t="s">
        <v>341</v>
      </c>
      <c r="C2957" s="14" t="n">
        <f aca="false">IF(A2957="","",IFERROR(VLOOKUP(A2957,'Recert Status'!$A$8:$C$400,3,FALSE()),""))</f>
        <v>46752</v>
      </c>
      <c r="D2957" s="18" t="s">
        <v>968</v>
      </c>
      <c r="E2957" s="26" t="s">
        <v>416</v>
      </c>
      <c r="F2957" s="27" t="n">
        <v>0.5</v>
      </c>
      <c r="G2957" s="28" t="n">
        <v>45906</v>
      </c>
      <c r="H2957" s="28" t="n">
        <v>45906</v>
      </c>
      <c r="I2957" s="18" t="s">
        <v>969</v>
      </c>
      <c r="J2957" s="26" t="s">
        <v>416</v>
      </c>
      <c r="K2957" s="18" t="s">
        <v>485</v>
      </c>
      <c r="L2957" s="27" t="n">
        <v>0.5</v>
      </c>
      <c r="M2957" s="39" t="s">
        <v>413</v>
      </c>
      <c r="N2957" s="18" t="s">
        <v>414</v>
      </c>
      <c r="O2957" s="27" t="n">
        <v>0.5</v>
      </c>
      <c r="P2957" s="15" t="n">
        <f aca="false">IF(A2957="","",IF(O2957&lt;&gt;"",O2957,IF(L2957&lt;&gt;"",L2957,F2957)))</f>
        <v>0.5</v>
      </c>
    </row>
    <row r="2958" customFormat="false" ht="15" hidden="false" customHeight="true" outlineLevel="0" collapsed="false">
      <c r="A2958" s="30" t="s">
        <v>340</v>
      </c>
      <c r="B2958" s="30" t="s">
        <v>341</v>
      </c>
      <c r="C2958" s="21" t="n">
        <f aca="false">IF(A2958="","",IFERROR(VLOOKUP(A2958,'Recert Status'!$A$8:$C$400,3,FALSE()),""))</f>
        <v>46752</v>
      </c>
      <c r="D2958" s="31" t="s">
        <v>672</v>
      </c>
      <c r="E2958" s="30" t="s">
        <v>416</v>
      </c>
      <c r="F2958" s="32" t="n">
        <v>1</v>
      </c>
      <c r="G2958" s="33" t="n">
        <v>45933</v>
      </c>
      <c r="H2958" s="33" t="n">
        <v>45933</v>
      </c>
      <c r="I2958" s="31" t="s">
        <v>675</v>
      </c>
      <c r="J2958" s="30" t="s">
        <v>416</v>
      </c>
      <c r="K2958" s="31" t="s">
        <v>674</v>
      </c>
      <c r="L2958" s="32" t="n">
        <v>1</v>
      </c>
      <c r="M2958" s="39" t="s">
        <v>413</v>
      </c>
      <c r="N2958" s="31" t="s">
        <v>414</v>
      </c>
      <c r="O2958" s="32" t="n">
        <v>1</v>
      </c>
      <c r="P2958" s="15" t="n">
        <f aca="false">IF(A2958="","",IF(O2958&lt;&gt;"",O2958,IF(L2958&lt;&gt;"",L2958,F2958)))</f>
        <v>1</v>
      </c>
    </row>
    <row r="2959" customFormat="false" ht="15" hidden="false" customHeight="true" outlineLevel="0" collapsed="false">
      <c r="A2959" s="26" t="s">
        <v>340</v>
      </c>
      <c r="B2959" s="26" t="s">
        <v>341</v>
      </c>
      <c r="C2959" s="14" t="n">
        <f aca="false">IF(A2959="","",IFERROR(VLOOKUP(A2959,'Recert Status'!$A$8:$C$400,3,FALSE()),""))</f>
        <v>46752</v>
      </c>
      <c r="D2959" s="18" t="s">
        <v>672</v>
      </c>
      <c r="E2959" s="26" t="s">
        <v>416</v>
      </c>
      <c r="F2959" s="27" t="n">
        <v>1</v>
      </c>
      <c r="G2959" s="28" t="n">
        <v>45987</v>
      </c>
      <c r="H2959" s="28" t="n">
        <v>45987</v>
      </c>
      <c r="I2959" s="18" t="s">
        <v>862</v>
      </c>
      <c r="J2959" s="26" t="s">
        <v>416</v>
      </c>
      <c r="K2959" s="18" t="s">
        <v>674</v>
      </c>
      <c r="L2959" s="27" t="n">
        <v>1</v>
      </c>
      <c r="M2959" s="39" t="s">
        <v>413</v>
      </c>
      <c r="N2959" s="18" t="s">
        <v>414</v>
      </c>
      <c r="O2959" s="27" t="n">
        <v>1</v>
      </c>
      <c r="P2959" s="15" t="n">
        <f aca="false">IF(A2959="","",IF(O2959&lt;&gt;"",O2959,IF(L2959&lt;&gt;"",L2959,F2959)))</f>
        <v>1</v>
      </c>
    </row>
    <row r="2960" customFormat="false" ht="15" hidden="false" customHeight="true" outlineLevel="0" collapsed="false">
      <c r="A2960" s="30" t="s">
        <v>340</v>
      </c>
      <c r="B2960" s="30" t="s">
        <v>341</v>
      </c>
      <c r="C2960" s="21" t="n">
        <f aca="false">IF(A2960="","",IFERROR(VLOOKUP(A2960,'Recert Status'!$A$8:$C$400,3,FALSE()),""))</f>
        <v>46752</v>
      </c>
      <c r="D2960" s="31" t="s">
        <v>672</v>
      </c>
      <c r="E2960" s="30" t="s">
        <v>416</v>
      </c>
      <c r="F2960" s="32" t="n">
        <v>0.75</v>
      </c>
      <c r="G2960" s="33" t="n">
        <v>45990</v>
      </c>
      <c r="H2960" s="33" t="n">
        <v>45990</v>
      </c>
      <c r="I2960" s="31" t="s">
        <v>863</v>
      </c>
      <c r="J2960" s="30" t="s">
        <v>416</v>
      </c>
      <c r="K2960" s="31" t="s">
        <v>674</v>
      </c>
      <c r="L2960" s="32" t="n">
        <v>0.75</v>
      </c>
      <c r="M2960" s="39" t="s">
        <v>413</v>
      </c>
      <c r="N2960" s="31" t="s">
        <v>414</v>
      </c>
      <c r="O2960" s="32" t="n">
        <v>0.75</v>
      </c>
      <c r="P2960" s="15" t="n">
        <f aca="false">IF(A2960="","",IF(O2960&lt;&gt;"",O2960,IF(L2960&lt;&gt;"",L2960,F2960)))</f>
        <v>0.75</v>
      </c>
    </row>
    <row r="2961" customFormat="false" ht="15" hidden="false" customHeight="true" outlineLevel="0" collapsed="false">
      <c r="A2961" s="26" t="s">
        <v>340</v>
      </c>
      <c r="B2961" s="26" t="s">
        <v>341</v>
      </c>
      <c r="C2961" s="14" t="n">
        <f aca="false">IF(A2961="","",IFERROR(VLOOKUP(A2961,'Recert Status'!$A$8:$C$400,3,FALSE()),""))</f>
        <v>46752</v>
      </c>
      <c r="D2961" s="18" t="s">
        <v>488</v>
      </c>
      <c r="E2961" s="26" t="s">
        <v>416</v>
      </c>
      <c r="F2961" s="27" t="n">
        <v>1</v>
      </c>
      <c r="G2961" s="28" t="n">
        <v>46128</v>
      </c>
      <c r="H2961" s="28" t="n">
        <v>46128</v>
      </c>
      <c r="I2961" s="18" t="s">
        <v>609</v>
      </c>
      <c r="J2961" s="26" t="s">
        <v>416</v>
      </c>
      <c r="K2961" s="18" t="s">
        <v>490</v>
      </c>
      <c r="L2961" s="27" t="n">
        <v>1</v>
      </c>
      <c r="M2961" s="39" t="s">
        <v>413</v>
      </c>
      <c r="N2961" s="18" t="s">
        <v>414</v>
      </c>
      <c r="O2961" s="27" t="n">
        <v>1</v>
      </c>
      <c r="P2961" s="15" t="n">
        <f aca="false">IF(A2961="","",IF(O2961&lt;&gt;"",O2961,IF(L2961&lt;&gt;"",L2961,F2961)))</f>
        <v>1</v>
      </c>
    </row>
    <row r="2962" customFormat="false" ht="15" hidden="false" customHeight="true" outlineLevel="0" collapsed="false">
      <c r="A2962" s="30" t="s">
        <v>340</v>
      </c>
      <c r="B2962" s="30" t="s">
        <v>341</v>
      </c>
      <c r="C2962" s="21" t="n">
        <f aca="false">IF(A2962="","",IFERROR(VLOOKUP(A2962,'Recert Status'!$A$8:$C$400,3,FALSE()),""))</f>
        <v>46752</v>
      </c>
      <c r="D2962" s="31" t="s">
        <v>414</v>
      </c>
      <c r="E2962" s="30" t="s">
        <v>416</v>
      </c>
      <c r="F2962" s="32" t="n">
        <v>2</v>
      </c>
      <c r="G2962" s="33" t="n">
        <v>46218</v>
      </c>
      <c r="H2962" s="33" t="n">
        <v>46218</v>
      </c>
      <c r="I2962" s="31" t="s">
        <v>535</v>
      </c>
      <c r="J2962" s="30" t="s">
        <v>416</v>
      </c>
      <c r="K2962" s="31" t="s">
        <v>418</v>
      </c>
      <c r="L2962" s="32" t="n">
        <v>2</v>
      </c>
      <c r="M2962" s="39" t="s">
        <v>413</v>
      </c>
      <c r="N2962" s="31" t="s">
        <v>414</v>
      </c>
      <c r="O2962" s="32" t="n">
        <v>2</v>
      </c>
      <c r="P2962" s="15" t="n">
        <f aca="false">IF(A2962="","",IF(O2962&lt;&gt;"",O2962,IF(L2962&lt;&gt;"",L2962,F2962)))</f>
        <v>2</v>
      </c>
    </row>
    <row r="2963" customFormat="false" ht="15" hidden="false" customHeight="true" outlineLevel="0" collapsed="false">
      <c r="A2963" s="26" t="s">
        <v>342</v>
      </c>
      <c r="B2963" s="26" t="s">
        <v>343</v>
      </c>
      <c r="C2963" s="14" t="n">
        <f aca="false">IF(A2963="","",IFERROR(VLOOKUP(A2963,'Recert Status'!$A$8:$C$400,3,FALSE()),""))</f>
        <v>46752</v>
      </c>
      <c r="D2963" s="18" t="s">
        <v>496</v>
      </c>
      <c r="E2963" s="26" t="s">
        <v>542</v>
      </c>
      <c r="F2963" s="27" t="n">
        <v>4</v>
      </c>
      <c r="G2963" s="28" t="n">
        <v>45961</v>
      </c>
      <c r="H2963" s="28" t="n">
        <v>45961</v>
      </c>
      <c r="I2963" s="18" t="s">
        <v>587</v>
      </c>
      <c r="J2963" s="26" t="s">
        <v>542</v>
      </c>
      <c r="K2963" s="18" t="s">
        <v>422</v>
      </c>
      <c r="L2963" s="27" t="n">
        <v>4</v>
      </c>
      <c r="M2963" s="40" t="s">
        <v>423</v>
      </c>
      <c r="N2963" s="18" t="s">
        <v>424</v>
      </c>
      <c r="O2963" s="27" t="n">
        <v>4</v>
      </c>
      <c r="P2963" s="15" t="n">
        <f aca="false">IF(A2963="","",IF(O2963&lt;&gt;"",O2963,IF(L2963&lt;&gt;"",L2963,F2963)))</f>
        <v>4</v>
      </c>
    </row>
    <row r="2964" customFormat="false" ht="15" hidden="false" customHeight="true" outlineLevel="0" collapsed="false">
      <c r="A2964" s="30" t="s">
        <v>342</v>
      </c>
      <c r="B2964" s="30" t="s">
        <v>343</v>
      </c>
      <c r="C2964" s="21" t="n">
        <f aca="false">IF(A2964="","",IFERROR(VLOOKUP(A2964,'Recert Status'!$A$8:$C$400,3,FALSE()),""))</f>
        <v>46752</v>
      </c>
      <c r="D2964" s="31" t="s">
        <v>474</v>
      </c>
      <c r="E2964" s="30" t="s">
        <v>389</v>
      </c>
      <c r="F2964" s="32" t="n">
        <v>1</v>
      </c>
      <c r="G2964" s="33" t="n">
        <v>46204</v>
      </c>
      <c r="H2964" s="33" t="n">
        <v>46204</v>
      </c>
      <c r="I2964" s="31" t="s">
        <v>475</v>
      </c>
      <c r="J2964" s="30" t="s">
        <v>389</v>
      </c>
      <c r="K2964" s="31" t="s">
        <v>476</v>
      </c>
      <c r="L2964" s="32" t="n">
        <v>1</v>
      </c>
      <c r="M2964" s="35" t="s">
        <v>386</v>
      </c>
      <c r="N2964" s="31" t="s">
        <v>387</v>
      </c>
      <c r="O2964" s="32" t="n">
        <v>1</v>
      </c>
      <c r="P2964" s="15" t="n">
        <f aca="false">IF(A2964="","",IF(O2964&lt;&gt;"",O2964,IF(L2964&lt;&gt;"",L2964,F2964)))</f>
        <v>1</v>
      </c>
    </row>
    <row r="2965" customFormat="false" ht="15" hidden="false" customHeight="true" outlineLevel="0" collapsed="false">
      <c r="A2965" s="26" t="s">
        <v>342</v>
      </c>
      <c r="B2965" s="26" t="s">
        <v>343</v>
      </c>
      <c r="C2965" s="14" t="n">
        <f aca="false">IF(A2965="","",IFERROR(VLOOKUP(A2965,'Recert Status'!$A$8:$C$400,3,FALSE()),""))</f>
        <v>46752</v>
      </c>
      <c r="D2965" s="18" t="s">
        <v>387</v>
      </c>
      <c r="E2965" s="26" t="s">
        <v>389</v>
      </c>
      <c r="F2965" s="27" t="n">
        <v>1</v>
      </c>
      <c r="G2965" s="28" t="n">
        <v>46230</v>
      </c>
      <c r="H2965" s="28" t="n">
        <v>46230</v>
      </c>
      <c r="I2965" s="18" t="s">
        <v>1224</v>
      </c>
      <c r="J2965" s="26" t="s">
        <v>389</v>
      </c>
      <c r="K2965" s="18" t="s">
        <v>451</v>
      </c>
      <c r="L2965" s="27" t="n">
        <v>1</v>
      </c>
      <c r="M2965" s="35" t="s">
        <v>386</v>
      </c>
      <c r="N2965" s="18" t="s">
        <v>387</v>
      </c>
      <c r="O2965" s="27" t="n">
        <v>1</v>
      </c>
      <c r="P2965" s="15" t="n">
        <f aca="false">IF(A2965="","",IF(O2965&lt;&gt;"",O2965,IF(L2965&lt;&gt;"",L2965,F2965)))</f>
        <v>1</v>
      </c>
    </row>
    <row r="2966" customFormat="false" ht="15" hidden="false" customHeight="true" outlineLevel="0" collapsed="false">
      <c r="A2966" s="30" t="s">
        <v>342</v>
      </c>
      <c r="B2966" s="30" t="s">
        <v>343</v>
      </c>
      <c r="C2966" s="21" t="n">
        <f aca="false">IF(A2966="","",IFERROR(VLOOKUP(A2966,'Recert Status'!$A$8:$C$400,3,FALSE()),""))</f>
        <v>46752</v>
      </c>
      <c r="D2966" s="31" t="s">
        <v>597</v>
      </c>
      <c r="E2966" s="30" t="n">
        <v>29735</v>
      </c>
      <c r="F2966" s="32" t="n">
        <v>4</v>
      </c>
      <c r="G2966" s="33" t="n">
        <v>45961</v>
      </c>
      <c r="H2966" s="33" t="n">
        <v>45961</v>
      </c>
      <c r="I2966" s="31" t="s">
        <v>598</v>
      </c>
      <c r="J2966" s="30" t="s">
        <v>599</v>
      </c>
      <c r="K2966" s="31" t="s">
        <v>600</v>
      </c>
      <c r="L2966" s="32" t="n">
        <v>4</v>
      </c>
      <c r="M2966" s="36" t="s">
        <v>396</v>
      </c>
      <c r="N2966" s="31" t="s">
        <v>397</v>
      </c>
      <c r="O2966" s="32" t="n">
        <v>4</v>
      </c>
      <c r="P2966" s="15" t="n">
        <f aca="false">IF(A2966="","",IF(O2966&lt;&gt;"",O2966,IF(L2966&lt;&gt;"",L2966,F2966)))</f>
        <v>4</v>
      </c>
    </row>
    <row r="2967" customFormat="false" ht="15" hidden="false" customHeight="true" outlineLevel="0" collapsed="false">
      <c r="A2967" s="26" t="s">
        <v>342</v>
      </c>
      <c r="B2967" s="26" t="s">
        <v>343</v>
      </c>
      <c r="C2967" s="14" t="n">
        <f aca="false">IF(A2967="","",IFERROR(VLOOKUP(A2967,'Recert Status'!$A$8:$C$400,3,FALSE()),""))</f>
        <v>46752</v>
      </c>
      <c r="D2967" s="18" t="s">
        <v>560</v>
      </c>
      <c r="E2967" s="26" t="s">
        <v>452</v>
      </c>
      <c r="F2967" s="27" t="n">
        <v>1</v>
      </c>
      <c r="G2967" s="28" t="n">
        <v>46113</v>
      </c>
      <c r="H2967" s="28" t="n">
        <v>46113</v>
      </c>
      <c r="I2967" s="18" t="s">
        <v>1780</v>
      </c>
      <c r="J2967" s="26" t="s">
        <v>452</v>
      </c>
      <c r="K2967" s="18" t="s">
        <v>385</v>
      </c>
      <c r="L2967" s="27" t="n">
        <v>1</v>
      </c>
      <c r="M2967" s="36" t="s">
        <v>396</v>
      </c>
      <c r="N2967" s="18" t="s">
        <v>397</v>
      </c>
      <c r="O2967" s="27" t="n">
        <v>1</v>
      </c>
      <c r="P2967" s="15" t="n">
        <f aca="false">IF(A2967="","",IF(O2967&lt;&gt;"",O2967,IF(L2967&lt;&gt;"",L2967,F2967)))</f>
        <v>1</v>
      </c>
    </row>
    <row r="2968" customFormat="false" ht="15" hidden="false" customHeight="true" outlineLevel="0" collapsed="false">
      <c r="A2968" s="30" t="s">
        <v>342</v>
      </c>
      <c r="B2968" s="30" t="s">
        <v>343</v>
      </c>
      <c r="C2968" s="21" t="n">
        <f aca="false">IF(A2968="","",IFERROR(VLOOKUP(A2968,'Recert Status'!$A$8:$C$400,3,FALSE()),""))</f>
        <v>46752</v>
      </c>
      <c r="D2968" s="31" t="s">
        <v>397</v>
      </c>
      <c r="E2968" s="30" t="s">
        <v>452</v>
      </c>
      <c r="F2968" s="32" t="n">
        <v>1</v>
      </c>
      <c r="G2968" s="33" t="n">
        <v>46245</v>
      </c>
      <c r="H2968" s="33" t="n">
        <v>46245</v>
      </c>
      <c r="I2968" s="31" t="s">
        <v>605</v>
      </c>
      <c r="J2968" s="30" t="s">
        <v>452</v>
      </c>
      <c r="K2968" s="31" t="s">
        <v>385</v>
      </c>
      <c r="L2968" s="32" t="n">
        <v>1</v>
      </c>
      <c r="M2968" s="36" t="s">
        <v>396</v>
      </c>
      <c r="N2968" s="31" t="s">
        <v>397</v>
      </c>
      <c r="O2968" s="32" t="n">
        <v>1</v>
      </c>
      <c r="P2968" s="15" t="n">
        <f aca="false">IF(A2968="","",IF(O2968&lt;&gt;"",O2968,IF(L2968&lt;&gt;"",L2968,F2968)))</f>
        <v>1</v>
      </c>
    </row>
    <row r="2969" customFormat="false" ht="15" hidden="false" customHeight="true" outlineLevel="0" collapsed="false">
      <c r="A2969" s="26" t="s">
        <v>342</v>
      </c>
      <c r="B2969" s="26" t="s">
        <v>343</v>
      </c>
      <c r="C2969" s="14" t="n">
        <f aca="false">IF(A2969="","",IFERROR(VLOOKUP(A2969,'Recert Status'!$A$8:$C$400,3,FALSE()),""))</f>
        <v>46752</v>
      </c>
      <c r="D2969" s="18" t="s">
        <v>488</v>
      </c>
      <c r="E2969" s="26" t="s">
        <v>416</v>
      </c>
      <c r="F2969" s="27" t="n">
        <v>1</v>
      </c>
      <c r="G2969" s="28" t="n">
        <v>46128</v>
      </c>
      <c r="H2969" s="28" t="n">
        <v>46128</v>
      </c>
      <c r="I2969" s="18" t="s">
        <v>609</v>
      </c>
      <c r="J2969" s="26" t="s">
        <v>416</v>
      </c>
      <c r="K2969" s="18" t="s">
        <v>490</v>
      </c>
      <c r="L2969" s="27" t="n">
        <v>1</v>
      </c>
      <c r="M2969" s="39" t="s">
        <v>413</v>
      </c>
      <c r="N2969" s="18" t="s">
        <v>414</v>
      </c>
      <c r="O2969" s="27" t="n">
        <v>1</v>
      </c>
      <c r="P2969" s="15" t="n">
        <f aca="false">IF(A2969="","",IF(O2969&lt;&gt;"",O2969,IF(L2969&lt;&gt;"",L2969,F2969)))</f>
        <v>1</v>
      </c>
    </row>
    <row r="2970" customFormat="false" ht="15" hidden="false" customHeight="true" outlineLevel="0" collapsed="false">
      <c r="A2970" s="30" t="s">
        <v>342</v>
      </c>
      <c r="B2970" s="30" t="s">
        <v>343</v>
      </c>
      <c r="C2970" s="21" t="n">
        <f aca="false">IF(A2970="","",IFERROR(VLOOKUP(A2970,'Recert Status'!$A$8:$C$400,3,FALSE()),""))</f>
        <v>46752</v>
      </c>
      <c r="D2970" s="31" t="s">
        <v>414</v>
      </c>
      <c r="E2970" s="30" t="s">
        <v>416</v>
      </c>
      <c r="F2970" s="32" t="n">
        <v>2</v>
      </c>
      <c r="G2970" s="33" t="n">
        <v>46218</v>
      </c>
      <c r="H2970" s="33" t="n">
        <v>46218</v>
      </c>
      <c r="I2970" s="31" t="s">
        <v>535</v>
      </c>
      <c r="J2970" s="30" t="s">
        <v>416</v>
      </c>
      <c r="K2970" s="31" t="s">
        <v>418</v>
      </c>
      <c r="L2970" s="32" t="n">
        <v>2</v>
      </c>
      <c r="M2970" s="39" t="s">
        <v>413</v>
      </c>
      <c r="N2970" s="31" t="s">
        <v>414</v>
      </c>
      <c r="O2970" s="32" t="n">
        <v>2</v>
      </c>
      <c r="P2970" s="15" t="n">
        <f aca="false">IF(A2970="","",IF(O2970&lt;&gt;"",O2970,IF(L2970&lt;&gt;"",L2970,F2970)))</f>
        <v>2</v>
      </c>
    </row>
    <row r="2971" customFormat="false" ht="15" hidden="false" customHeight="true" outlineLevel="0" collapsed="false">
      <c r="A2971" s="26" t="s">
        <v>344</v>
      </c>
      <c r="B2971" s="26"/>
      <c r="C2971" s="14" t="n">
        <f aca="false">IF(A2971="","",IFERROR(VLOOKUP(A2971,'Recert Status'!$A$8:$C$400,3,FALSE()),""))</f>
        <v>0</v>
      </c>
      <c r="D2971" s="18" t="s">
        <v>367</v>
      </c>
      <c r="E2971" s="26" t="s">
        <v>363</v>
      </c>
      <c r="F2971" s="27" t="n">
        <v>1</v>
      </c>
      <c r="G2971" s="28" t="n">
        <v>46286</v>
      </c>
      <c r="H2971" s="28" t="n">
        <v>46286</v>
      </c>
      <c r="I2971" s="18" t="s">
        <v>883</v>
      </c>
      <c r="J2971" s="26" t="s">
        <v>363</v>
      </c>
      <c r="K2971" s="18" t="s">
        <v>365</v>
      </c>
      <c r="L2971" s="27" t="n">
        <v>1</v>
      </c>
      <c r="M2971" s="29" t="s">
        <v>366</v>
      </c>
      <c r="N2971" s="18" t="s">
        <v>367</v>
      </c>
      <c r="O2971" s="27" t="n">
        <v>1</v>
      </c>
      <c r="P2971" s="15" t="n">
        <f aca="false">IF(A2971="","",IF(O2971&lt;&gt;"",O2971,IF(L2971&lt;&gt;"",L2971,F2971)))</f>
        <v>1</v>
      </c>
    </row>
    <row r="2972" customFormat="false" ht="15" hidden="false" customHeight="true" outlineLevel="0" collapsed="false">
      <c r="A2972" s="30" t="s">
        <v>344</v>
      </c>
      <c r="B2972" s="30"/>
      <c r="C2972" s="21" t="n">
        <f aca="false">IF(A2972="","",IFERROR(VLOOKUP(A2972,'Recert Status'!$A$8:$C$400,3,FALSE()),""))</f>
        <v>0</v>
      </c>
      <c r="D2972" s="31" t="s">
        <v>430</v>
      </c>
      <c r="E2972" s="30" t="s">
        <v>426</v>
      </c>
      <c r="F2972" s="32" t="n">
        <v>1</v>
      </c>
      <c r="G2972" s="33" t="n">
        <v>46286</v>
      </c>
      <c r="H2972" s="33" t="n">
        <v>46286</v>
      </c>
      <c r="I2972" s="31" t="s">
        <v>890</v>
      </c>
      <c r="J2972" s="30" t="s">
        <v>426</v>
      </c>
      <c r="K2972" s="31" t="s">
        <v>428</v>
      </c>
      <c r="L2972" s="32" t="n">
        <v>1</v>
      </c>
      <c r="M2972" s="41" t="s">
        <v>429</v>
      </c>
      <c r="N2972" s="31" t="s">
        <v>430</v>
      </c>
      <c r="O2972" s="32" t="n">
        <v>1</v>
      </c>
      <c r="P2972" s="15" t="n">
        <f aca="false">IF(A2972="","",IF(O2972&lt;&gt;"",O2972,IF(L2972&lt;&gt;"",L2972,F2972)))</f>
        <v>1</v>
      </c>
    </row>
    <row r="2973" customFormat="false" ht="15" hidden="false" customHeight="true" outlineLevel="0" collapsed="false">
      <c r="A2973" s="26" t="s">
        <v>344</v>
      </c>
      <c r="B2973" s="26"/>
      <c r="C2973" s="14" t="n">
        <f aca="false">IF(A2973="","",IFERROR(VLOOKUP(A2973,'Recert Status'!$A$8:$C$400,3,FALSE()),""))</f>
        <v>0</v>
      </c>
      <c r="D2973" s="18" t="s">
        <v>387</v>
      </c>
      <c r="E2973" s="26" t="s">
        <v>389</v>
      </c>
      <c r="F2973" s="27" t="n">
        <v>1</v>
      </c>
      <c r="G2973" s="28" t="n">
        <v>46286</v>
      </c>
      <c r="H2973" s="28" t="n">
        <v>46286</v>
      </c>
      <c r="I2973" s="18" t="s">
        <v>903</v>
      </c>
      <c r="J2973" s="26" t="s">
        <v>389</v>
      </c>
      <c r="K2973" s="18" t="s">
        <v>904</v>
      </c>
      <c r="L2973" s="27" t="n">
        <v>1</v>
      </c>
      <c r="M2973" s="35" t="s">
        <v>386</v>
      </c>
      <c r="N2973" s="18" t="s">
        <v>387</v>
      </c>
      <c r="O2973" s="27" t="n">
        <v>1</v>
      </c>
      <c r="P2973" s="15" t="n">
        <f aca="false">IF(A2973="","",IF(O2973&lt;&gt;"",O2973,IF(L2973&lt;&gt;"",L2973,F2973)))</f>
        <v>1</v>
      </c>
    </row>
  </sheetData>
  <autoFilter ref="A4:P2973"/>
  <mergeCells count="2">
    <mergeCell ref="A1:P1"/>
    <mergeCell ref="A2:P2"/>
  </mergeCells>
  <printOptions headings="false" gridLines="false" gridLinesSet="true" horizontalCentered="false" verticalCentered="false"/>
  <pageMargins left="0.4" right="0.4" top="0.6" bottom="0.5" header="0.511811023622047" footer="0.5"/>
  <pageSetup paperSize="3" scale="100" fitToWidth="1" fitToHeight="0" pageOrder="downThenOver" orientation="landscape" blackAndWhite="false" draft="false" cellComments="none" horizontalDpi="300" verticalDpi="300" copies="1"/>
  <headerFooter differentFirst="false" differentOddEven="false">
    <oddHeader/>
    <oddFooter>&amp;RPage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55"/>
  </cols>
  <sheetData>
    <row r="1" customFormat="false" ht="15" hidden="false" customHeight="true" outlineLevel="0" collapsed="false">
      <c r="A1" s="2" t="s">
        <v>1781</v>
      </c>
      <c r="B1" s="2"/>
      <c r="C1" s="2"/>
    </row>
    <row r="2" customFormat="false" ht="31.5" hidden="false" customHeight="true" outlineLevel="0" collapsed="false">
      <c r="A2" s="3" t="s">
        <v>1782</v>
      </c>
      <c r="B2" s="3"/>
      <c r="C2" s="3"/>
    </row>
    <row r="4" customFormat="false" ht="15" hidden="false" customHeight="true" outlineLevel="0" collapsed="false">
      <c r="A4" s="10" t="s">
        <v>1783</v>
      </c>
      <c r="B4" s="10" t="s">
        <v>1784</v>
      </c>
      <c r="C4" s="10" t="s">
        <v>1785</v>
      </c>
    </row>
    <row r="5" customFormat="false" ht="15" hidden="false" customHeight="true" outlineLevel="0" collapsed="false">
      <c r="A5" s="42" t="s">
        <v>880</v>
      </c>
      <c r="B5" s="43" t="n">
        <v>4</v>
      </c>
      <c r="C5" s="44" t="s">
        <v>366</v>
      </c>
    </row>
    <row r="6" customFormat="false" ht="15" hidden="false" customHeight="true" outlineLevel="0" collapsed="false">
      <c r="A6" s="42" t="s">
        <v>729</v>
      </c>
      <c r="B6" s="43" t="n">
        <v>5</v>
      </c>
      <c r="C6" s="44" t="s">
        <v>429</v>
      </c>
    </row>
    <row r="7" customFormat="false" ht="15" hidden="false" customHeight="true" outlineLevel="0" collapsed="false">
      <c r="A7" s="42" t="s">
        <v>415</v>
      </c>
      <c r="B7" s="43" t="n">
        <v>3</v>
      </c>
      <c r="C7" s="44" t="s">
        <v>413</v>
      </c>
    </row>
    <row r="8" customFormat="false" ht="15" hidden="false" customHeight="true" outlineLevel="0" collapsed="false">
      <c r="A8" s="42" t="s">
        <v>1692</v>
      </c>
      <c r="B8" s="43" t="n">
        <v>6</v>
      </c>
      <c r="C8" s="44" t="s">
        <v>386</v>
      </c>
    </row>
    <row r="9" customFormat="false" ht="15" hidden="false" customHeight="true" outlineLevel="0" collapsed="false">
      <c r="A9" s="42" t="s">
        <v>1786</v>
      </c>
      <c r="B9" s="43" t="n">
        <v>2</v>
      </c>
      <c r="C9" s="44" t="s">
        <v>396</v>
      </c>
    </row>
    <row r="10" customFormat="false" ht="15" hidden="false" customHeight="true" outlineLevel="0" collapsed="false">
      <c r="A10" s="42" t="s">
        <v>870</v>
      </c>
      <c r="B10" s="43" t="n">
        <v>1</v>
      </c>
      <c r="C10" s="44" t="s">
        <v>402</v>
      </c>
    </row>
    <row r="11" customFormat="false" ht="15" hidden="false" customHeight="true" outlineLevel="0" collapsed="false">
      <c r="A11" s="42" t="s">
        <v>1727</v>
      </c>
      <c r="B11" s="43" t="n">
        <v>1</v>
      </c>
      <c r="C11" s="44" t="s">
        <v>408</v>
      </c>
    </row>
    <row r="12" customFormat="false" ht="15" hidden="false" customHeight="false" outlineLevel="0" collapsed="false">
      <c r="A12" s="45" t="s">
        <v>496</v>
      </c>
      <c r="B12" s="43" t="n">
        <v>1</v>
      </c>
      <c r="C12" s="46" t="s">
        <v>423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8"/>
  </cols>
  <sheetData>
    <row r="1" customFormat="false" ht="15" hidden="false" customHeight="true" outlineLevel="0" collapsed="false">
      <c r="A1" s="47" t="s">
        <v>1787</v>
      </c>
      <c r="B1" s="47" t="s">
        <v>1788</v>
      </c>
    </row>
    <row r="2" customFormat="false" ht="15" hidden="false" customHeight="true" outlineLevel="0" collapsed="false">
      <c r="A2" s="48" t="str">
        <f aca="false">Requirements!C5</f>
        <v>KBEMS | Airway | Airway/Respiration/Ventilation</v>
      </c>
      <c r="B2" s="48" t="str">
        <f aca="false">Requirements!A5</f>
        <v>Airway</v>
      </c>
    </row>
    <row r="3" customFormat="false" ht="15" hidden="false" customHeight="true" outlineLevel="0" collapsed="false">
      <c r="A3" s="48" t="str">
        <f aca="false">Requirements!C6</f>
        <v>KBEMS | Cardiovascular | Cardiovascular</v>
      </c>
      <c r="B3" s="48" t="str">
        <f aca="false">Requirements!A6</f>
        <v>Cardiovascular</v>
      </c>
    </row>
    <row r="4" customFormat="false" ht="15" hidden="false" customHeight="true" outlineLevel="0" collapsed="false">
      <c r="A4" s="48" t="str">
        <f aca="false">Requirements!C7</f>
        <v>KBEMS | Trauma | Trauma</v>
      </c>
      <c r="B4" s="48" t="str">
        <f aca="false">Requirements!A7</f>
        <v>Trauma</v>
      </c>
    </row>
    <row r="5" customFormat="false" ht="15" hidden="false" customHeight="true" outlineLevel="0" collapsed="false">
      <c r="A5" s="48" t="str">
        <f aca="false">Requirements!C8</f>
        <v>KBEMS | Medical | Medical</v>
      </c>
      <c r="B5" s="48" t="str">
        <f aca="false">Requirements!A8</f>
        <v>Medical</v>
      </c>
    </row>
    <row r="6" customFormat="false" ht="15" hidden="false" customHeight="true" outlineLevel="0" collapsed="false">
      <c r="A6" s="48" t="str">
        <f aca="false">Requirements!C9</f>
        <v>KBEMS | Operations | Operations</v>
      </c>
      <c r="B6" s="48" t="str">
        <f aca="false">Requirements!A9</f>
        <v>Operations</v>
      </c>
    </row>
    <row r="7" customFormat="false" ht="15" hidden="false" customHeight="true" outlineLevel="0" collapsed="false">
      <c r="A7" s="48" t="str">
        <f aca="false">Requirements!C10</f>
        <v>KBEMS | PAHT | PAHT</v>
      </c>
      <c r="B7" s="48" t="str">
        <f aca="false">Requirements!A10</f>
        <v>PAHT</v>
      </c>
    </row>
    <row r="8" customFormat="false" ht="15" hidden="false" customHeight="true" outlineLevel="0" collapsed="false">
      <c r="A8" s="48" t="str">
        <f aca="false">Requirements!C11</f>
        <v>KBEMS | SVAT | SVAT</v>
      </c>
      <c r="B8" s="48" t="str">
        <f aca="false">Requirements!A11</f>
        <v>SVAT</v>
      </c>
    </row>
    <row r="9" customFormat="false" ht="15" hidden="false" customHeight="false" outlineLevel="0" collapsed="false">
      <c r="A9" s="49" t="str">
        <f aca="false">Requirements!C12</f>
        <v>KBEMS | CPR/AED | CPR/AED</v>
      </c>
      <c r="B9" s="49" t="str">
        <f aca="false">Requirements!A12</f>
        <v>CPR/AED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5" hidden="false" customHeight="true" outlineLevel="0" collapsed="false">
      <c r="A1" s="50" t="s">
        <v>1789</v>
      </c>
    </row>
    <row r="3" customFormat="false" ht="15" hidden="false" customHeight="true" outlineLevel="0" collapsed="false">
      <c r="A3" s="51" t="s">
        <v>1790</v>
      </c>
    </row>
    <row r="4" customFormat="false" ht="15" hidden="false" customHeight="true" outlineLevel="0" collapsed="false">
      <c r="A4" s="52" t="s">
        <v>1791</v>
      </c>
    </row>
    <row r="5" customFormat="false" ht="31.5" hidden="false" customHeight="true" outlineLevel="0" collapsed="false">
      <c r="A5" s="52" t="s">
        <v>1792</v>
      </c>
    </row>
    <row r="6" customFormat="false" ht="15" hidden="false" customHeight="true" outlineLevel="0" collapsed="false">
      <c r="A6" s="52" t="s">
        <v>1793</v>
      </c>
    </row>
    <row r="8" customFormat="false" ht="15" hidden="false" customHeight="true" outlineLevel="0" collapsed="false">
      <c r="A8" s="51" t="s">
        <v>1794</v>
      </c>
    </row>
    <row r="9" customFormat="false" ht="15" hidden="false" customHeight="true" outlineLevel="0" collapsed="false">
      <c r="A9" s="52" t="s">
        <v>1795</v>
      </c>
    </row>
    <row r="10" customFormat="false" ht="15" hidden="false" customHeight="true" outlineLevel="0" collapsed="false">
      <c r="A10" s="52" t="s">
        <v>1796</v>
      </c>
    </row>
    <row r="11" customFormat="false" ht="15" hidden="false" customHeight="true" outlineLevel="0" collapsed="false">
      <c r="A11" s="52" t="s">
        <v>1797</v>
      </c>
    </row>
    <row r="13" customFormat="false" ht="15" hidden="false" customHeight="true" outlineLevel="0" collapsed="false">
      <c r="A13" s="51" t="s">
        <v>1798</v>
      </c>
    </row>
    <row r="14" customFormat="false" ht="31.5" hidden="false" customHeight="true" outlineLevel="0" collapsed="false">
      <c r="A14" s="52" t="s">
        <v>1799</v>
      </c>
    </row>
    <row r="15" customFormat="false" ht="15" hidden="false" customHeight="true" outlineLevel="0" collapsed="false">
      <c r="A15" s="52" t="s">
        <v>1800</v>
      </c>
    </row>
    <row r="16" customFormat="false" ht="15" hidden="false" customHeight="true" outlineLevel="0" collapsed="false">
      <c r="A16" s="52" t="s">
        <v>1801</v>
      </c>
    </row>
    <row r="18" customFormat="false" ht="15" hidden="false" customHeight="true" outlineLevel="0" collapsed="false">
      <c r="A18" s="51" t="s">
        <v>1802</v>
      </c>
    </row>
    <row r="19" customFormat="false" ht="15" hidden="false" customHeight="true" outlineLevel="0" collapsed="false">
      <c r="A19" s="52" t="s">
        <v>1803</v>
      </c>
    </row>
    <row r="20" customFormat="false" ht="15" hidden="false" customHeight="true" outlineLevel="0" collapsed="false">
      <c r="A20" s="52" t="s">
        <v>1804</v>
      </c>
    </row>
    <row r="21" customFormat="false" ht="15" hidden="false" customHeight="true" outlineLevel="0" collapsed="false">
      <c r="A21" s="52" t="s">
        <v>1805</v>
      </c>
    </row>
    <row r="23" customFormat="false" ht="15" hidden="false" customHeight="true" outlineLevel="0" collapsed="false">
      <c r="A23" s="51" t="s">
        <v>1806</v>
      </c>
    </row>
    <row r="24" customFormat="false" ht="15" hidden="false" customHeight="true" outlineLevel="0" collapsed="false">
      <c r="A24" s="52" t="s">
        <v>1807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2026-10-05T21:31:03Z</dcterms:created>
  <dc:creator>openpyxl</dc:creator>
  <dc:description/>
  <dc:language>en-US</dc:language>
  <cp:lastModifiedBy/>
  <dcterms:modified xsi:type="dcterms:W3CDTF">2026-10-06T00:43:58Z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